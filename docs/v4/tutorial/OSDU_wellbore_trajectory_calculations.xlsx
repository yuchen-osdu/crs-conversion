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my.shell.com/personal/bert_kampes_shell_com/Documents/Documents/01. SHELL/GM/07. MY SDU WORK/DS/Survey Calc Doc/"/>
    </mc:Choice>
  </mc:AlternateContent>
  <xr:revisionPtr revIDLastSave="3889" documentId="8_{60312AF4-2203-4E31-8014-8B6F2573DD03}" xr6:coauthVersionLast="47" xr6:coauthVersionMax="47" xr10:uidLastSave="{A1EEE044-AE46-4FE3-A7B5-4C8E29ACB16E}"/>
  <bookViews>
    <workbookView xWindow="2544" yWindow="612" windowWidth="19836" windowHeight="12216" xr2:uid="{C833DE96-23C5-40A5-8EB5-B51EB699FC2E}"/>
  </bookViews>
  <sheets>
    <sheet name="Min. Curv" sheetId="1" r:id="rId1"/>
    <sheet name="GNL" sheetId="2" r:id="rId2"/>
    <sheet name="LMP" sheetId="4" r:id="rId3"/>
    <sheet name="2drot" sheetId="5" r:id="rId4"/>
    <sheet name="wrap azimuth" sheetId="8" r:id="rId5"/>
    <sheet name="err" sheetId="6" r:id="rId6"/>
    <sheet name="Min. Curv interpolation" sheetId="7" r:id="rId7"/>
    <sheet name="INC-ONLY" sheetId="10" r:id="rId8"/>
    <sheet name="Sample data"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O7" i="10" l="1"/>
  <c r="AO11" i="10"/>
  <c r="AO12" i="10"/>
  <c r="AO13" i="10"/>
  <c r="AO14" i="10"/>
  <c r="AO15" i="10"/>
  <c r="AO16" i="10"/>
  <c r="AO17" i="10"/>
  <c r="AO18" i="10"/>
  <c r="AO19" i="10"/>
  <c r="AO20" i="10"/>
  <c r="AO21" i="10"/>
  <c r="AO22" i="10"/>
  <c r="AO23" i="10"/>
  <c r="AO24" i="10"/>
  <c r="AO25" i="10"/>
  <c r="AO26" i="10"/>
  <c r="AO27" i="10"/>
  <c r="AO28" i="10"/>
  <c r="AO29" i="10"/>
  <c r="AO30" i="10"/>
  <c r="AO31" i="10"/>
  <c r="AO32" i="10"/>
  <c r="AO33" i="10"/>
  <c r="AO34" i="10"/>
  <c r="AO35" i="10"/>
  <c r="AO36" i="10"/>
  <c r="AO37" i="10"/>
  <c r="AO38" i="10"/>
  <c r="AO39" i="10"/>
  <c r="AO40" i="10"/>
  <c r="AO41" i="10"/>
  <c r="AO42" i="10"/>
  <c r="AO43" i="10"/>
  <c r="AO44" i="10"/>
  <c r="AO45" i="10"/>
  <c r="AO46" i="10"/>
  <c r="AO10" i="10"/>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 i="1"/>
  <c r="I24" i="1"/>
  <c r="I25" i="1"/>
  <c r="I26" i="1"/>
  <c r="I27" i="1"/>
  <c r="I28" i="1"/>
  <c r="I29" i="1"/>
  <c r="I30" i="1"/>
  <c r="I31" i="1"/>
  <c r="I32" i="1"/>
  <c r="I33" i="1"/>
  <c r="I34" i="1"/>
  <c r="I22" i="1"/>
  <c r="H6" i="10"/>
  <c r="H5" i="10"/>
  <c r="AJ8" i="10"/>
  <c r="AG8" i="10"/>
  <c r="AH8" i="10"/>
  <c r="AL8" i="10"/>
  <c r="G5" i="10"/>
  <c r="G6"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9"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9" i="10"/>
  <c r="E8" i="10"/>
  <c r="J33" i="10"/>
  <c r="K33" i="10"/>
  <c r="J34" i="10"/>
  <c r="K34" i="10"/>
  <c r="J35" i="10"/>
  <c r="K35" i="10"/>
  <c r="J36" i="10"/>
  <c r="K36" i="10"/>
  <c r="J37" i="10"/>
  <c r="K37" i="10"/>
  <c r="J38" i="10"/>
  <c r="K38" i="10"/>
  <c r="J39" i="10"/>
  <c r="AI39" i="10" s="1"/>
  <c r="K39" i="10"/>
  <c r="J40" i="10"/>
  <c r="K40" i="10"/>
  <c r="J41" i="10"/>
  <c r="K41" i="10"/>
  <c r="J42" i="10"/>
  <c r="K42" i="10"/>
  <c r="J43" i="10"/>
  <c r="K43" i="10"/>
  <c r="J44" i="10"/>
  <c r="K44" i="10"/>
  <c r="J45" i="10"/>
  <c r="K45" i="10"/>
  <c r="J46" i="10"/>
  <c r="K46" i="10"/>
  <c r="AD10" i="10"/>
  <c r="AD11" i="10" s="1"/>
  <c r="AD12" i="10" s="1"/>
  <c r="AD13" i="10" s="1"/>
  <c r="AD14" i="10" s="1"/>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AD46" i="10" s="1"/>
  <c r="J29" i="10"/>
  <c r="K29" i="10"/>
  <c r="J30" i="10"/>
  <c r="K30" i="10"/>
  <c r="J31" i="10"/>
  <c r="K31" i="10"/>
  <c r="J32" i="10"/>
  <c r="K32" i="10"/>
  <c r="AE8" i="10"/>
  <c r="AD8" i="10"/>
  <c r="AC8" i="10"/>
  <c r="AB8" i="10"/>
  <c r="AA8" i="10"/>
  <c r="Z8" i="10"/>
  <c r="X8" i="10"/>
  <c r="K28" i="10"/>
  <c r="J28" i="10"/>
  <c r="AK29" i="10" s="1"/>
  <c r="K27" i="10"/>
  <c r="J27" i="10"/>
  <c r="K26" i="10"/>
  <c r="J26" i="10"/>
  <c r="K25" i="10"/>
  <c r="J25" i="10"/>
  <c r="K24" i="10"/>
  <c r="J24" i="10"/>
  <c r="K23" i="10"/>
  <c r="J23" i="10"/>
  <c r="K22" i="10"/>
  <c r="J22" i="10"/>
  <c r="K21" i="10"/>
  <c r="J21" i="10"/>
  <c r="K20" i="10"/>
  <c r="J20" i="10"/>
  <c r="K19" i="10"/>
  <c r="J19" i="10"/>
  <c r="K18" i="10"/>
  <c r="J18" i="10"/>
  <c r="K17" i="10"/>
  <c r="J17" i="10"/>
  <c r="K16" i="10"/>
  <c r="J16" i="10"/>
  <c r="K15" i="10"/>
  <c r="J15" i="10"/>
  <c r="K14" i="10"/>
  <c r="J14" i="10"/>
  <c r="K13" i="10"/>
  <c r="J13" i="10"/>
  <c r="K12" i="10"/>
  <c r="J12" i="10"/>
  <c r="K11" i="10"/>
  <c r="J11" i="10"/>
  <c r="K10" i="10"/>
  <c r="J10" i="10"/>
  <c r="K9" i="10"/>
  <c r="J9" i="10"/>
  <c r="U8" i="10"/>
  <c r="T8" i="10"/>
  <c r="S8" i="10"/>
  <c r="R8" i="10"/>
  <c r="Q8" i="10"/>
  <c r="P8" i="10"/>
  <c r="N8" i="10"/>
  <c r="A8" i="10"/>
  <c r="J113" i="9"/>
  <c r="J20" i="1"/>
  <c r="AA186" i="9"/>
  <c r="AA187" i="9"/>
  <c r="AA188" i="9"/>
  <c r="AA189" i="9"/>
  <c r="AA185" i="9"/>
  <c r="Z185" i="9"/>
  <c r="P185" i="9"/>
  <c r="X184" i="9"/>
  <c r="K185" i="9"/>
  <c r="K186" i="9"/>
  <c r="K187" i="9"/>
  <c r="K188" i="9"/>
  <c r="K189" i="9"/>
  <c r="Q186" i="9"/>
  <c r="R186" i="9" s="1"/>
  <c r="Q187" i="9"/>
  <c r="R187" i="9" s="1"/>
  <c r="Q188" i="9"/>
  <c r="R188" i="9" s="1"/>
  <c r="Q189" i="9"/>
  <c r="R189" i="9" s="1"/>
  <c r="Q185" i="9"/>
  <c r="R185" i="9" s="1"/>
  <c r="AI12" i="10" l="1"/>
  <c r="W45" i="10"/>
  <c r="X45" i="10" s="1"/>
  <c r="AK42" i="10"/>
  <c r="AI13" i="10"/>
  <c r="W20" i="10"/>
  <c r="Y20" i="10" s="1"/>
  <c r="Z20" i="10" s="1"/>
  <c r="AK30" i="10"/>
  <c r="W44" i="10"/>
  <c r="AK15" i="10"/>
  <c r="W42" i="10"/>
  <c r="Y42" i="10" s="1"/>
  <c r="M45" i="10"/>
  <c r="O45" i="10" s="1"/>
  <c r="AK41" i="10"/>
  <c r="T185" i="9"/>
  <c r="Y185" i="9" s="1"/>
  <c r="U185" i="9"/>
  <c r="V185" i="9" s="1"/>
  <c r="AG42" i="10"/>
  <c r="AJ42" i="10" s="1"/>
  <c r="AG41" i="10"/>
  <c r="AJ41" i="10" s="1"/>
  <c r="AK44" i="10"/>
  <c r="AI42" i="10"/>
  <c r="AG33" i="10"/>
  <c r="AJ33" i="10" s="1"/>
  <c r="AI34" i="10"/>
  <c r="AI41" i="10"/>
  <c r="W36" i="10"/>
  <c r="Y36" i="10" s="1"/>
  <c r="M41" i="10"/>
  <c r="N41" i="10" s="1"/>
  <c r="M40" i="10"/>
  <c r="N40" i="10" s="1"/>
  <c r="AG44" i="10"/>
  <c r="AJ44" i="10" s="1"/>
  <c r="W41" i="10"/>
  <c r="M44" i="10"/>
  <c r="N44" i="10" s="1"/>
  <c r="AK40" i="10"/>
  <c r="M46" i="10"/>
  <c r="O46" i="10" s="1"/>
  <c r="M42" i="10"/>
  <c r="N42" i="10" s="1"/>
  <c r="AI40" i="10"/>
  <c r="W31" i="10"/>
  <c r="X31" i="10" s="1"/>
  <c r="AK45" i="10"/>
  <c r="AI43" i="10"/>
  <c r="AI37" i="10"/>
  <c r="W33" i="10"/>
  <c r="X33" i="10" s="1"/>
  <c r="X44" i="10"/>
  <c r="Y44" i="10"/>
  <c r="Y41" i="10"/>
  <c r="AB41" i="10" s="1"/>
  <c r="X41" i="10"/>
  <c r="AI16" i="10"/>
  <c r="AI20" i="10"/>
  <c r="AI24" i="10"/>
  <c r="AI28" i="10"/>
  <c r="AI45" i="10"/>
  <c r="AK36" i="10"/>
  <c r="AK35" i="10"/>
  <c r="AK33" i="10"/>
  <c r="AG45" i="10"/>
  <c r="AJ45" i="10" s="1"/>
  <c r="AI44" i="10"/>
  <c r="AK43" i="10"/>
  <c r="AI35" i="10"/>
  <c r="AI33" i="10"/>
  <c r="M38" i="10"/>
  <c r="O38" i="10" s="1"/>
  <c r="AI36" i="10"/>
  <c r="AG43" i="10"/>
  <c r="AJ43" i="10" s="1"/>
  <c r="X42" i="10"/>
  <c r="AK37" i="10"/>
  <c r="AG36" i="10"/>
  <c r="AJ36" i="10" s="1"/>
  <c r="M36" i="10"/>
  <c r="N36" i="10" s="1"/>
  <c r="AI10" i="10"/>
  <c r="AI14" i="10"/>
  <c r="AI17" i="10"/>
  <c r="AI22" i="10"/>
  <c r="AI25" i="10"/>
  <c r="AI30" i="10"/>
  <c r="AG37" i="10"/>
  <c r="AJ37" i="10" s="1"/>
  <c r="M35" i="10"/>
  <c r="N35" i="10" s="1"/>
  <c r="W43" i="10"/>
  <c r="W40" i="10"/>
  <c r="Y40" i="10" s="1"/>
  <c r="W37" i="10"/>
  <c r="X37" i="10" s="1"/>
  <c r="M43" i="10"/>
  <c r="O43" i="10" s="1"/>
  <c r="M33" i="10"/>
  <c r="N33" i="10" s="1"/>
  <c r="Z42" i="10"/>
  <c r="AB42" i="10"/>
  <c r="N46" i="10"/>
  <c r="AK38" i="10"/>
  <c r="M37" i="10"/>
  <c r="AG34" i="10"/>
  <c r="AJ34" i="10" s="1"/>
  <c r="W34" i="10"/>
  <c r="AK46" i="10"/>
  <c r="AG39" i="10"/>
  <c r="AJ39" i="10" s="1"/>
  <c r="W39" i="10"/>
  <c r="M34" i="10"/>
  <c r="AI46" i="10"/>
  <c r="M39" i="10"/>
  <c r="AI38" i="10"/>
  <c r="AG46" i="10"/>
  <c r="AJ46" i="10" s="1"/>
  <c r="W46" i="10"/>
  <c r="AG38" i="10"/>
  <c r="AJ38" i="10" s="1"/>
  <c r="W38" i="10"/>
  <c r="AK34" i="10"/>
  <c r="Y45" i="10"/>
  <c r="O40" i="10"/>
  <c r="AK39" i="10"/>
  <c r="AG35" i="10"/>
  <c r="AJ35" i="10" s="1"/>
  <c r="W35" i="10"/>
  <c r="AG40" i="10"/>
  <c r="AJ40" i="10" s="1"/>
  <c r="AI26" i="10"/>
  <c r="AI18" i="10"/>
  <c r="AI32" i="10"/>
  <c r="W18" i="10"/>
  <c r="Y18" i="10" s="1"/>
  <c r="W22" i="10"/>
  <c r="X22" i="10" s="1"/>
  <c r="W26" i="10"/>
  <c r="Y26" i="10" s="1"/>
  <c r="AI31" i="10"/>
  <c r="AI23" i="10"/>
  <c r="AI15" i="10"/>
  <c r="W10" i="10"/>
  <c r="X10" i="10" s="1"/>
  <c r="AI29" i="10"/>
  <c r="AI21" i="10"/>
  <c r="AK17" i="10"/>
  <c r="AG25" i="10"/>
  <c r="AJ25" i="10" s="1"/>
  <c r="AI27" i="10"/>
  <c r="AI19" i="10"/>
  <c r="AI11" i="10"/>
  <c r="U187" i="9"/>
  <c r="V187" i="9" s="1"/>
  <c r="T187" i="9"/>
  <c r="Y187" i="9" s="1"/>
  <c r="T186" i="9"/>
  <c r="Y186" i="9" s="1"/>
  <c r="U186" i="9"/>
  <c r="V186" i="9" s="1"/>
  <c r="AG12" i="10"/>
  <c r="AJ12" i="10" s="1"/>
  <c r="AG16" i="10"/>
  <c r="AJ16" i="10" s="1"/>
  <c r="AG20" i="10"/>
  <c r="AJ20" i="10" s="1"/>
  <c r="AK24" i="10"/>
  <c r="AK28" i="10"/>
  <c r="AK31" i="10"/>
  <c r="AG17" i="10"/>
  <c r="AJ17" i="10" s="1"/>
  <c r="AG14" i="10"/>
  <c r="AJ14" i="10" s="1"/>
  <c r="W17" i="10"/>
  <c r="Y17" i="10" s="1"/>
  <c r="W21" i="10"/>
  <c r="Y21" i="10" s="1"/>
  <c r="W25" i="10"/>
  <c r="X25" i="10" s="1"/>
  <c r="AK16" i="10"/>
  <c r="AK25" i="10"/>
  <c r="AG32" i="10"/>
  <c r="AJ32" i="10" s="1"/>
  <c r="AG24" i="10"/>
  <c r="AJ24" i="10" s="1"/>
  <c r="AK22" i="10"/>
  <c r="AK32" i="10"/>
  <c r="AG31" i="10"/>
  <c r="AJ31" i="10" s="1"/>
  <c r="AG23" i="10"/>
  <c r="AJ23" i="10" s="1"/>
  <c r="AG15" i="10"/>
  <c r="AJ15" i="10" s="1"/>
  <c r="AG18" i="10"/>
  <c r="AJ18" i="10" s="1"/>
  <c r="W23" i="10"/>
  <c r="Y23" i="10" s="1"/>
  <c r="AK23" i="10"/>
  <c r="W12" i="10"/>
  <c r="Y12" i="10" s="1"/>
  <c r="AB12" i="10" s="1"/>
  <c r="W16" i="10"/>
  <c r="Y16" i="10" s="1"/>
  <c r="W24" i="10"/>
  <c r="X24" i="10" s="1"/>
  <c r="AK21" i="10"/>
  <c r="AG30" i="10"/>
  <c r="AJ30" i="10" s="1"/>
  <c r="AG22" i="10"/>
  <c r="AJ22" i="10" s="1"/>
  <c r="AK27" i="10"/>
  <c r="AK12" i="10"/>
  <c r="W28" i="10"/>
  <c r="Y28" i="10" s="1"/>
  <c r="AB28" i="10" s="1"/>
  <c r="AK20" i="10"/>
  <c r="AG29" i="10"/>
  <c r="AJ29" i="10" s="1"/>
  <c r="AG21" i="10"/>
  <c r="AJ21" i="10" s="1"/>
  <c r="AG13" i="10"/>
  <c r="AJ13" i="10" s="1"/>
  <c r="W19" i="10"/>
  <c r="Y19" i="10" s="1"/>
  <c r="Z19" i="10" s="1"/>
  <c r="AG26" i="10"/>
  <c r="AJ26" i="10" s="1"/>
  <c r="W32" i="10"/>
  <c r="Y32" i="10" s="1"/>
  <c r="W27" i="10"/>
  <c r="Y27" i="10" s="1"/>
  <c r="AB27" i="10" s="1"/>
  <c r="AK19" i="10"/>
  <c r="AG28" i="10"/>
  <c r="AJ28" i="10" s="1"/>
  <c r="AK26" i="10"/>
  <c r="AG10" i="10"/>
  <c r="AJ10" i="10" s="1"/>
  <c r="AL10" i="10" s="1"/>
  <c r="AK18" i="10"/>
  <c r="AG27" i="10"/>
  <c r="AJ27" i="10" s="1"/>
  <c r="AG19" i="10"/>
  <c r="AJ19" i="10" s="1"/>
  <c r="AG11" i="10"/>
  <c r="AJ11" i="10" s="1"/>
  <c r="W15" i="10"/>
  <c r="X15" i="10" s="1"/>
  <c r="AK14" i="10"/>
  <c r="W14" i="10"/>
  <c r="X14" i="10" s="1"/>
  <c r="W13" i="10"/>
  <c r="Y13" i="10" s="1"/>
  <c r="AK13" i="10"/>
  <c r="AK10" i="10"/>
  <c r="W11" i="10"/>
  <c r="Y11" i="10" s="1"/>
  <c r="AB11" i="10" s="1"/>
  <c r="AK11" i="10"/>
  <c r="AB20" i="10"/>
  <c r="Y10" i="10"/>
  <c r="W29" i="10"/>
  <c r="X29" i="10" s="1"/>
  <c r="Y31" i="10"/>
  <c r="W30" i="10"/>
  <c r="M30" i="10"/>
  <c r="O30" i="10" s="1"/>
  <c r="M31" i="10"/>
  <c r="N31" i="10" s="1"/>
  <c r="M32" i="10"/>
  <c r="O32" i="10" s="1"/>
  <c r="M29" i="10"/>
  <c r="O29" i="10" s="1"/>
  <c r="M18" i="10"/>
  <c r="O18" i="10" s="1"/>
  <c r="R18" i="10" s="1"/>
  <c r="M10" i="10"/>
  <c r="O10" i="10" s="1"/>
  <c r="R10" i="10" s="1"/>
  <c r="U10" i="10" s="1"/>
  <c r="M26" i="10"/>
  <c r="O26" i="10" s="1"/>
  <c r="P26" i="10" s="1"/>
  <c r="M23" i="10"/>
  <c r="O23" i="10" s="1"/>
  <c r="M11" i="10"/>
  <c r="O11" i="10" s="1"/>
  <c r="M19" i="10"/>
  <c r="O19" i="10" s="1"/>
  <c r="M16" i="10"/>
  <c r="N16" i="10" s="1"/>
  <c r="M13" i="10"/>
  <c r="O13" i="10" s="1"/>
  <c r="M17" i="10"/>
  <c r="O17" i="10" s="1"/>
  <c r="M27" i="10"/>
  <c r="O27" i="10" s="1"/>
  <c r="M12" i="10"/>
  <c r="O12" i="10" s="1"/>
  <c r="M20" i="10"/>
  <c r="O20" i="10" s="1"/>
  <c r="M22" i="10"/>
  <c r="O22" i="10" s="1"/>
  <c r="M25" i="10"/>
  <c r="N25" i="10" s="1"/>
  <c r="M14" i="10"/>
  <c r="O14" i="10" s="1"/>
  <c r="M28" i="10"/>
  <c r="O28" i="10" s="1"/>
  <c r="M15" i="10"/>
  <c r="M21" i="10"/>
  <c r="M24" i="10"/>
  <c r="U189" i="9"/>
  <c r="V189" i="9" s="1"/>
  <c r="T189" i="9"/>
  <c r="Y189" i="9" s="1"/>
  <c r="U188" i="9"/>
  <c r="V188" i="9" s="1"/>
  <c r="T188" i="9"/>
  <c r="Y188" i="9" s="1"/>
  <c r="K121" i="9"/>
  <c r="K122" i="9"/>
  <c r="N122" i="9" s="1"/>
  <c r="K123" i="9"/>
  <c r="N123" i="9" s="1"/>
  <c r="K124" i="9"/>
  <c r="N124" i="9" s="1"/>
  <c r="K125" i="9"/>
  <c r="N125" i="9" s="1"/>
  <c r="K126" i="9"/>
  <c r="N126" i="9" s="1"/>
  <c r="K127" i="9"/>
  <c r="N127" i="9" s="1"/>
  <c r="K128" i="9"/>
  <c r="N128" i="9" s="1"/>
  <c r="K129" i="9"/>
  <c r="N129" i="9" s="1"/>
  <c r="K130" i="9"/>
  <c r="N130" i="9" s="1"/>
  <c r="K131" i="9"/>
  <c r="N131" i="9" s="1"/>
  <c r="K132" i="9"/>
  <c r="N132" i="9" s="1"/>
  <c r="K133" i="9"/>
  <c r="N133" i="9" s="1"/>
  <c r="K134" i="9"/>
  <c r="N134" i="9" s="1"/>
  <c r="K135" i="9"/>
  <c r="N135" i="9" s="1"/>
  <c r="K136" i="9"/>
  <c r="N136" i="9" s="1"/>
  <c r="K137" i="9"/>
  <c r="N137" i="9" s="1"/>
  <c r="K138" i="9"/>
  <c r="N138" i="9" s="1"/>
  <c r="K139" i="9"/>
  <c r="N139" i="9" s="1"/>
  <c r="K140" i="9"/>
  <c r="N140" i="9" s="1"/>
  <c r="K141" i="9"/>
  <c r="N141" i="9" s="1"/>
  <c r="K142" i="9"/>
  <c r="N142" i="9" s="1"/>
  <c r="K143" i="9"/>
  <c r="N143" i="9" s="1"/>
  <c r="K144" i="9"/>
  <c r="N144" i="9" s="1"/>
  <c r="K145" i="9"/>
  <c r="N145" i="9" s="1"/>
  <c r="K146" i="9"/>
  <c r="N146" i="9" s="1"/>
  <c r="K147" i="9"/>
  <c r="N147" i="9" s="1"/>
  <c r="K120" i="9"/>
  <c r="L120" i="9" s="1"/>
  <c r="N185" i="9"/>
  <c r="W185" i="9" s="1"/>
  <c r="X185" i="9" s="1"/>
  <c r="N186" i="9"/>
  <c r="W186" i="9" s="1"/>
  <c r="N187" i="9"/>
  <c r="W187" i="9" s="1"/>
  <c r="N188" i="9"/>
  <c r="W188" i="9" s="1"/>
  <c r="N189" i="9"/>
  <c r="W189" i="9" s="1"/>
  <c r="X20" i="10" l="1"/>
  <c r="X28" i="10"/>
  <c r="Z41" i="10"/>
  <c r="X32" i="10"/>
  <c r="X16" i="10"/>
  <c r="X26" i="10"/>
  <c r="Q45" i="10"/>
  <c r="R45" i="10"/>
  <c r="P45" i="10"/>
  <c r="X40" i="10"/>
  <c r="X12" i="10"/>
  <c r="Z12" i="10"/>
  <c r="O41" i="10"/>
  <c r="R41" i="10" s="1"/>
  <c r="N45" i="10"/>
  <c r="Y22" i="10"/>
  <c r="AB19" i="10"/>
  <c r="O33" i="10"/>
  <c r="Q33" i="10" s="1"/>
  <c r="L121" i="9"/>
  <c r="X186" i="9"/>
  <c r="X187" i="9" s="1"/>
  <c r="X188" i="9" s="1"/>
  <c r="X189" i="9" s="1"/>
  <c r="AB36" i="10"/>
  <c r="Z36" i="10"/>
  <c r="Y37" i="10"/>
  <c r="AB37" i="10" s="1"/>
  <c r="O42" i="10"/>
  <c r="P42" i="10" s="1"/>
  <c r="N38" i="10"/>
  <c r="X36" i="10"/>
  <c r="N43" i="10"/>
  <c r="O44" i="10"/>
  <c r="P44" i="10" s="1"/>
  <c r="X18" i="10"/>
  <c r="Z11" i="10"/>
  <c r="X11" i="10"/>
  <c r="Y33" i="10"/>
  <c r="AB33" i="10" s="1"/>
  <c r="O35" i="10"/>
  <c r="R35" i="10" s="1"/>
  <c r="X23" i="10"/>
  <c r="O36" i="10"/>
  <c r="R36" i="10" s="1"/>
  <c r="AB44" i="10"/>
  <c r="Z44" i="10"/>
  <c r="Y43" i="10"/>
  <c r="X43" i="10"/>
  <c r="O37" i="10"/>
  <c r="N37" i="10"/>
  <c r="P40" i="10"/>
  <c r="Q40" i="10"/>
  <c r="R40" i="10"/>
  <c r="Z45" i="10"/>
  <c r="AB45" i="10"/>
  <c r="P43" i="10"/>
  <c r="Q43" i="10"/>
  <c r="R43" i="10"/>
  <c r="R44" i="10"/>
  <c r="X38" i="10"/>
  <c r="Y38" i="10"/>
  <c r="X35" i="10"/>
  <c r="Y35" i="10"/>
  <c r="X46" i="10"/>
  <c r="Y46" i="10"/>
  <c r="N39" i="10"/>
  <c r="O39" i="10"/>
  <c r="O34" i="10"/>
  <c r="N34" i="10"/>
  <c r="Y34" i="10"/>
  <c r="X34" i="10"/>
  <c r="P46" i="10"/>
  <c r="R46" i="10"/>
  <c r="Q46" i="10"/>
  <c r="Z40" i="10"/>
  <c r="AB40" i="10"/>
  <c r="P38" i="10"/>
  <c r="Q38" i="10"/>
  <c r="R38" i="10"/>
  <c r="Y39" i="10"/>
  <c r="X39" i="10"/>
  <c r="Y25" i="10"/>
  <c r="AB25" i="10" s="1"/>
  <c r="Y14" i="10"/>
  <c r="AB14" i="10" s="1"/>
  <c r="L122" i="9"/>
  <c r="L123" i="9" s="1"/>
  <c r="L124" i="9" s="1"/>
  <c r="L125" i="9" s="1"/>
  <c r="L126" i="9" s="1"/>
  <c r="L127" i="9" s="1"/>
  <c r="L128" i="9" s="1"/>
  <c r="L129" i="9" s="1"/>
  <c r="L130" i="9" s="1"/>
  <c r="L131" i="9" s="1"/>
  <c r="L132" i="9" s="1"/>
  <c r="L133" i="9" s="1"/>
  <c r="L134" i="9" s="1"/>
  <c r="L135" i="9" s="1"/>
  <c r="L136" i="9" s="1"/>
  <c r="L137" i="9" s="1"/>
  <c r="L138" i="9" s="1"/>
  <c r="L139" i="9" s="1"/>
  <c r="L140" i="9" s="1"/>
  <c r="L141" i="9" s="1"/>
  <c r="L142" i="9" s="1"/>
  <c r="L143" i="9" s="1"/>
  <c r="L144" i="9" s="1"/>
  <c r="L145" i="9" s="1"/>
  <c r="L146" i="9" s="1"/>
  <c r="L147" i="9" s="1"/>
  <c r="J10" i="9" s="1"/>
  <c r="N121" i="9"/>
  <c r="N120" i="9"/>
  <c r="O120" i="9" s="1"/>
  <c r="Z28" i="10"/>
  <c r="P18" i="10"/>
  <c r="X19" i="10"/>
  <c r="X27" i="10"/>
  <c r="X21" i="10"/>
  <c r="Y24" i="10"/>
  <c r="AB24" i="10" s="1"/>
  <c r="Y15" i="10"/>
  <c r="Z15" i="10" s="1"/>
  <c r="X17" i="10"/>
  <c r="Z27" i="10"/>
  <c r="AH10" i="10"/>
  <c r="AH11" i="10" s="1"/>
  <c r="X13" i="10"/>
  <c r="AL11" i="10"/>
  <c r="N10" i="10"/>
  <c r="Z23" i="10"/>
  <c r="AB23" i="10"/>
  <c r="N30" i="10"/>
  <c r="Z21" i="10"/>
  <c r="AB21" i="10"/>
  <c r="AB16" i="10"/>
  <c r="Z16" i="10"/>
  <c r="Z13" i="10"/>
  <c r="AB13" i="10"/>
  <c r="AB18" i="10"/>
  <c r="Z18" i="10"/>
  <c r="AB17" i="10"/>
  <c r="Z17" i="10"/>
  <c r="Z22" i="10"/>
  <c r="AB22" i="10"/>
  <c r="Y29" i="10"/>
  <c r="AB29" i="10" s="1"/>
  <c r="Z10" i="10"/>
  <c r="AC10" i="10" s="1"/>
  <c r="AB10" i="10"/>
  <c r="AE10" i="10" s="1"/>
  <c r="AE11" i="10" s="1"/>
  <c r="AE12" i="10" s="1"/>
  <c r="AB26" i="10"/>
  <c r="Z26" i="10"/>
  <c r="AB32" i="10"/>
  <c r="Z32" i="10"/>
  <c r="N32" i="10"/>
  <c r="Y30" i="10"/>
  <c r="X30" i="10"/>
  <c r="AB31" i="10"/>
  <c r="Z31" i="10"/>
  <c r="Q18" i="10"/>
  <c r="N26" i="10"/>
  <c r="O31" i="10"/>
  <c r="P31" i="10" s="1"/>
  <c r="N18" i="10"/>
  <c r="N29" i="10"/>
  <c r="R26" i="10"/>
  <c r="N17" i="10"/>
  <c r="N23" i="10"/>
  <c r="P29" i="10"/>
  <c r="Q29" i="10"/>
  <c r="R29" i="10"/>
  <c r="P30" i="10"/>
  <c r="Q30" i="10"/>
  <c r="R30" i="10"/>
  <c r="R32" i="10"/>
  <c r="Q32" i="10"/>
  <c r="P32" i="10"/>
  <c r="Q26" i="10"/>
  <c r="R23" i="10"/>
  <c r="P23" i="10"/>
  <c r="N27" i="10"/>
  <c r="N22" i="10"/>
  <c r="Q23" i="10"/>
  <c r="O25" i="10"/>
  <c r="P25" i="10" s="1"/>
  <c r="N19" i="10"/>
  <c r="N11" i="10"/>
  <c r="P10" i="10"/>
  <c r="Q10" i="10"/>
  <c r="T10" i="10" s="1"/>
  <c r="N13" i="10"/>
  <c r="N28" i="10"/>
  <c r="O16" i="10"/>
  <c r="P16" i="10" s="1"/>
  <c r="N14" i="10"/>
  <c r="N12" i="10"/>
  <c r="N20" i="10"/>
  <c r="O21" i="10"/>
  <c r="N21" i="10"/>
  <c r="R28" i="10"/>
  <c r="Q28" i="10"/>
  <c r="P28" i="10"/>
  <c r="R13" i="10"/>
  <c r="Q13" i="10"/>
  <c r="P13" i="10"/>
  <c r="Q12" i="10"/>
  <c r="R12" i="10"/>
  <c r="P12" i="10"/>
  <c r="Q14" i="10"/>
  <c r="R14" i="10"/>
  <c r="P14" i="10"/>
  <c r="R20" i="10"/>
  <c r="Q20" i="10"/>
  <c r="P20" i="10"/>
  <c r="P19" i="10"/>
  <c r="R19" i="10"/>
  <c r="Q19" i="10"/>
  <c r="N15" i="10"/>
  <c r="O15" i="10"/>
  <c r="R22" i="10"/>
  <c r="P22" i="10"/>
  <c r="Q22" i="10"/>
  <c r="R17" i="10"/>
  <c r="P17" i="10"/>
  <c r="Q17" i="10"/>
  <c r="O24" i="10"/>
  <c r="N24" i="10"/>
  <c r="P27" i="10"/>
  <c r="R27" i="10"/>
  <c r="Q27" i="10"/>
  <c r="P11" i="10"/>
  <c r="R11" i="10"/>
  <c r="Q11" i="10"/>
  <c r="K154" i="9"/>
  <c r="N154" i="9" s="1"/>
  <c r="K155" i="9"/>
  <c r="N155" i="9" s="1"/>
  <c r="K156" i="9"/>
  <c r="N156" i="9" s="1"/>
  <c r="K157" i="9"/>
  <c r="N157" i="9" s="1"/>
  <c r="K158" i="9"/>
  <c r="N158" i="9" s="1"/>
  <c r="K159" i="9"/>
  <c r="N159" i="9" s="1"/>
  <c r="K160" i="9"/>
  <c r="N160" i="9" s="1"/>
  <c r="K161" i="9"/>
  <c r="N161" i="9" s="1"/>
  <c r="K162" i="9"/>
  <c r="N162" i="9" s="1"/>
  <c r="K163" i="9"/>
  <c r="N163" i="9" s="1"/>
  <c r="K164" i="9"/>
  <c r="N164" i="9" s="1"/>
  <c r="K165" i="9"/>
  <c r="N165" i="9" s="1"/>
  <c r="K166" i="9"/>
  <c r="N166" i="9" s="1"/>
  <c r="K167" i="9"/>
  <c r="N167" i="9" s="1"/>
  <c r="K168" i="9"/>
  <c r="N168" i="9" s="1"/>
  <c r="K169" i="9"/>
  <c r="N169" i="9" s="1"/>
  <c r="K170" i="9"/>
  <c r="N170" i="9" s="1"/>
  <c r="K171" i="9"/>
  <c r="N171" i="9" s="1"/>
  <c r="K172" i="9"/>
  <c r="N172" i="9" s="1"/>
  <c r="K173" i="9"/>
  <c r="N173" i="9" s="1"/>
  <c r="K174" i="9"/>
  <c r="N174" i="9" s="1"/>
  <c r="K175" i="9"/>
  <c r="N175" i="9" s="1"/>
  <c r="K176" i="9"/>
  <c r="N176" i="9" s="1"/>
  <c r="K177" i="9"/>
  <c r="N177" i="9" s="1"/>
  <c r="K178" i="9"/>
  <c r="N178" i="9" s="1"/>
  <c r="K179" i="9"/>
  <c r="N179" i="9" s="1"/>
  <c r="K180" i="9"/>
  <c r="N180" i="9" s="1"/>
  <c r="K181" i="9"/>
  <c r="N181" i="9" s="1"/>
  <c r="K182" i="9"/>
  <c r="N182" i="9" s="1"/>
  <c r="K183" i="9"/>
  <c r="N183" i="9" s="1"/>
  <c r="K184" i="9"/>
  <c r="N184" i="9" s="1"/>
  <c r="K153" i="9"/>
  <c r="K97" i="9"/>
  <c r="N97" i="9" s="1"/>
  <c r="K98" i="9"/>
  <c r="N98" i="9" s="1"/>
  <c r="K99" i="9"/>
  <c r="N99" i="9" s="1"/>
  <c r="K100" i="9"/>
  <c r="N100" i="9" s="1"/>
  <c r="K101" i="9"/>
  <c r="N101" i="9" s="1"/>
  <c r="K102" i="9"/>
  <c r="N102" i="9" s="1"/>
  <c r="K103" i="9"/>
  <c r="N103" i="9" s="1"/>
  <c r="K104" i="9"/>
  <c r="N104" i="9" s="1"/>
  <c r="K105" i="9"/>
  <c r="N105" i="9" s="1"/>
  <c r="K106" i="9"/>
  <c r="N106" i="9" s="1"/>
  <c r="K107" i="9"/>
  <c r="N107" i="9" s="1"/>
  <c r="K108" i="9"/>
  <c r="N108" i="9" s="1"/>
  <c r="K109" i="9"/>
  <c r="N109" i="9" s="1"/>
  <c r="K110" i="9"/>
  <c r="N110" i="9" s="1"/>
  <c r="K111" i="9"/>
  <c r="N111" i="9" s="1"/>
  <c r="K112" i="9"/>
  <c r="N112" i="9" s="1"/>
  <c r="K113" i="9"/>
  <c r="N113" i="9" s="1"/>
  <c r="K96" i="9"/>
  <c r="K68" i="9"/>
  <c r="N68" i="9" s="1"/>
  <c r="K69" i="9"/>
  <c r="N69" i="9" s="1"/>
  <c r="K70" i="9"/>
  <c r="N70" i="9" s="1"/>
  <c r="K71" i="9"/>
  <c r="N71" i="9" s="1"/>
  <c r="K72" i="9"/>
  <c r="N72" i="9" s="1"/>
  <c r="K73" i="9"/>
  <c r="N73" i="9" s="1"/>
  <c r="K74" i="9"/>
  <c r="N74" i="9" s="1"/>
  <c r="K75" i="9"/>
  <c r="N75" i="9" s="1"/>
  <c r="K76" i="9"/>
  <c r="N76" i="9" s="1"/>
  <c r="K77" i="9"/>
  <c r="N77" i="9" s="1"/>
  <c r="K78" i="9"/>
  <c r="N78" i="9" s="1"/>
  <c r="K79" i="9"/>
  <c r="N79" i="9" s="1"/>
  <c r="K80" i="9"/>
  <c r="N80" i="9" s="1"/>
  <c r="K81" i="9"/>
  <c r="N81" i="9" s="1"/>
  <c r="K82" i="9"/>
  <c r="N82" i="9" s="1"/>
  <c r="K83" i="9"/>
  <c r="N83" i="9" s="1"/>
  <c r="K84" i="9"/>
  <c r="N84" i="9" s="1"/>
  <c r="K85" i="9"/>
  <c r="N85" i="9" s="1"/>
  <c r="K86" i="9"/>
  <c r="N86" i="9" s="1"/>
  <c r="K87" i="9"/>
  <c r="N87" i="9" s="1"/>
  <c r="K88" i="9"/>
  <c r="N88" i="9" s="1"/>
  <c r="K89" i="9"/>
  <c r="N89" i="9" s="1"/>
  <c r="K67" i="9"/>
  <c r="K20" i="9"/>
  <c r="N20" i="9" s="1"/>
  <c r="K21" i="9"/>
  <c r="N21" i="9" s="1"/>
  <c r="K22" i="9"/>
  <c r="N22" i="9" s="1"/>
  <c r="K23" i="9"/>
  <c r="N23" i="9" s="1"/>
  <c r="K24" i="9"/>
  <c r="N24" i="9" s="1"/>
  <c r="K25" i="9"/>
  <c r="N25" i="9" s="1"/>
  <c r="K26" i="9"/>
  <c r="N26" i="9" s="1"/>
  <c r="K27" i="9"/>
  <c r="N27" i="9" s="1"/>
  <c r="K28" i="9"/>
  <c r="N28" i="9" s="1"/>
  <c r="K29" i="9"/>
  <c r="N29" i="9" s="1"/>
  <c r="K30" i="9"/>
  <c r="N30" i="9" s="1"/>
  <c r="K31" i="9"/>
  <c r="N31" i="9" s="1"/>
  <c r="K32" i="9"/>
  <c r="N32" i="9" s="1"/>
  <c r="K33" i="9"/>
  <c r="N33" i="9" s="1"/>
  <c r="K34" i="9"/>
  <c r="N34" i="9" s="1"/>
  <c r="K35" i="9"/>
  <c r="N35" i="9" s="1"/>
  <c r="K36" i="9"/>
  <c r="N36" i="9" s="1"/>
  <c r="K37" i="9"/>
  <c r="N37" i="9" s="1"/>
  <c r="K38" i="9"/>
  <c r="N38" i="9" s="1"/>
  <c r="K39" i="9"/>
  <c r="N39" i="9" s="1"/>
  <c r="K40" i="9"/>
  <c r="N40" i="9" s="1"/>
  <c r="K41" i="9"/>
  <c r="N41" i="9" s="1"/>
  <c r="K42" i="9"/>
  <c r="N42" i="9" s="1"/>
  <c r="K43" i="9"/>
  <c r="N43" i="9" s="1"/>
  <c r="K44" i="9"/>
  <c r="N44" i="9" s="1"/>
  <c r="K45" i="9"/>
  <c r="N45" i="9" s="1"/>
  <c r="K46" i="9"/>
  <c r="N46" i="9" s="1"/>
  <c r="K47" i="9"/>
  <c r="N47" i="9" s="1"/>
  <c r="K48" i="9"/>
  <c r="N48" i="9" s="1"/>
  <c r="K49" i="9"/>
  <c r="N49" i="9" s="1"/>
  <c r="K50" i="9"/>
  <c r="N50" i="9" s="1"/>
  <c r="K51" i="9"/>
  <c r="N51" i="9" s="1"/>
  <c r="K52" i="9"/>
  <c r="N52" i="9" s="1"/>
  <c r="K53" i="9"/>
  <c r="N53" i="9" s="1"/>
  <c r="K54" i="9"/>
  <c r="N54" i="9" s="1"/>
  <c r="K55" i="9"/>
  <c r="N55" i="9" s="1"/>
  <c r="K56" i="9"/>
  <c r="N56" i="9" s="1"/>
  <c r="K57" i="9"/>
  <c r="N57" i="9" s="1"/>
  <c r="K58" i="9"/>
  <c r="N58" i="9" s="1"/>
  <c r="K59" i="9"/>
  <c r="N59" i="9" s="1"/>
  <c r="K60" i="9"/>
  <c r="N60" i="9" s="1"/>
  <c r="K61" i="9"/>
  <c r="N61" i="9" s="1"/>
  <c r="K19" i="9"/>
  <c r="N19" i="9" s="1"/>
  <c r="O19" i="9" s="1"/>
  <c r="AC20" i="9"/>
  <c r="AC21" i="9"/>
  <c r="AC22" i="9"/>
  <c r="AC23" i="9"/>
  <c r="AC24" i="9"/>
  <c r="AC25" i="9"/>
  <c r="AC26" i="9"/>
  <c r="AC27" i="9"/>
  <c r="AC28" i="9"/>
  <c r="AC29" i="9"/>
  <c r="AC30" i="9"/>
  <c r="AC31" i="9"/>
  <c r="AC39" i="9"/>
  <c r="AC19" i="9"/>
  <c r="AD19" i="9" s="1"/>
  <c r="X20" i="9"/>
  <c r="R19" i="9"/>
  <c r="S19" i="9" s="1"/>
  <c r="R96" i="9"/>
  <c r="R97" i="9" s="1"/>
  <c r="R98" i="9" s="1"/>
  <c r="P96" i="9"/>
  <c r="P97" i="9" s="1"/>
  <c r="P98" i="9" s="1"/>
  <c r="P99" i="9" s="1"/>
  <c r="P100" i="9" s="1"/>
  <c r="P101" i="9" s="1"/>
  <c r="P102" i="9" s="1"/>
  <c r="P103" i="9" s="1"/>
  <c r="P104" i="9" s="1"/>
  <c r="P105" i="9" s="1"/>
  <c r="P106" i="9" s="1"/>
  <c r="P107" i="9" s="1"/>
  <c r="P108" i="9" s="1"/>
  <c r="P109" i="9" s="1"/>
  <c r="P110" i="9" s="1"/>
  <c r="P111" i="9" s="1"/>
  <c r="P112" i="9" s="1"/>
  <c r="P113" i="9" s="1"/>
  <c r="R67" i="9"/>
  <c r="S67" i="9" s="1"/>
  <c r="P67" i="9"/>
  <c r="P68" i="9" s="1"/>
  <c r="P69" i="9" s="1"/>
  <c r="P70" i="9" s="1"/>
  <c r="P71" i="9" s="1"/>
  <c r="P72" i="9" s="1"/>
  <c r="P73" i="9" s="1"/>
  <c r="P74" i="9" s="1"/>
  <c r="P75" i="9" s="1"/>
  <c r="P76" i="9" s="1"/>
  <c r="P77" i="9" s="1"/>
  <c r="P78" i="9" s="1"/>
  <c r="P79" i="9" s="1"/>
  <c r="P80" i="9" s="1"/>
  <c r="P81" i="9" s="1"/>
  <c r="P82" i="9" s="1"/>
  <c r="P83" i="9" s="1"/>
  <c r="P84" i="9" s="1"/>
  <c r="P85" i="9" s="1"/>
  <c r="P86" i="9" s="1"/>
  <c r="P87" i="9" s="1"/>
  <c r="P88" i="9" s="1"/>
  <c r="P89" i="9" s="1"/>
  <c r="P19" i="9"/>
  <c r="Z19" i="9" s="1"/>
  <c r="N11" i="9"/>
  <c r="N10" i="9"/>
  <c r="N9" i="9"/>
  <c r="N8" i="9"/>
  <c r="H11" i="9"/>
  <c r="H10" i="9"/>
  <c r="H9" i="9"/>
  <c r="H8" i="9"/>
  <c r="C11" i="9"/>
  <c r="C10" i="9"/>
  <c r="C9" i="9"/>
  <c r="C8" i="9"/>
  <c r="E11" i="9"/>
  <c r="E10" i="9"/>
  <c r="E9" i="9"/>
  <c r="E8" i="9"/>
  <c r="J67" i="9"/>
  <c r="M67" i="9"/>
  <c r="J68" i="9"/>
  <c r="M68" i="9"/>
  <c r="J69" i="9"/>
  <c r="M69" i="9"/>
  <c r="J70" i="9"/>
  <c r="M70" i="9"/>
  <c r="J71" i="9"/>
  <c r="M71" i="9"/>
  <c r="J72" i="9"/>
  <c r="M72" i="9"/>
  <c r="J73" i="9"/>
  <c r="M73" i="9"/>
  <c r="J74" i="9"/>
  <c r="M74" i="9"/>
  <c r="J75" i="9"/>
  <c r="M75" i="9"/>
  <c r="J76" i="9"/>
  <c r="M76" i="9"/>
  <c r="J77" i="9"/>
  <c r="M77" i="9"/>
  <c r="J78" i="9"/>
  <c r="M78" i="9"/>
  <c r="J79" i="9"/>
  <c r="M79" i="9"/>
  <c r="J80" i="9"/>
  <c r="M80" i="9"/>
  <c r="J81" i="9"/>
  <c r="M81" i="9"/>
  <c r="J82" i="9"/>
  <c r="M82" i="9"/>
  <c r="J83" i="9"/>
  <c r="M83" i="9"/>
  <c r="J84" i="9"/>
  <c r="M84" i="9"/>
  <c r="J85" i="9"/>
  <c r="M85" i="9"/>
  <c r="J86" i="9"/>
  <c r="M86" i="9"/>
  <c r="J87" i="9"/>
  <c r="M87" i="9"/>
  <c r="J88" i="9"/>
  <c r="M88" i="9"/>
  <c r="J89" i="9"/>
  <c r="M89" i="9"/>
  <c r="J95" i="9"/>
  <c r="M95" i="9"/>
  <c r="J96" i="9"/>
  <c r="M96" i="9"/>
  <c r="J97" i="9"/>
  <c r="M97" i="9"/>
  <c r="J98" i="9"/>
  <c r="M98" i="9"/>
  <c r="J99" i="9"/>
  <c r="M99" i="9"/>
  <c r="J100" i="9"/>
  <c r="M100" i="9"/>
  <c r="J101" i="9"/>
  <c r="M101" i="9"/>
  <c r="J102" i="9"/>
  <c r="M102" i="9"/>
  <c r="J103" i="9"/>
  <c r="M103" i="9"/>
  <c r="J104" i="9"/>
  <c r="M104" i="9"/>
  <c r="J105" i="9"/>
  <c r="M105" i="9"/>
  <c r="J106" i="9"/>
  <c r="M106" i="9"/>
  <c r="J107" i="9"/>
  <c r="M107" i="9"/>
  <c r="J108" i="9"/>
  <c r="M108" i="9"/>
  <c r="J109" i="9"/>
  <c r="M109" i="9"/>
  <c r="J110" i="9"/>
  <c r="M110" i="9"/>
  <c r="J111" i="9"/>
  <c r="M111" i="9"/>
  <c r="J112" i="9"/>
  <c r="M112" i="9"/>
  <c r="M113" i="9"/>
  <c r="J119" i="9"/>
  <c r="M119" i="9"/>
  <c r="J120" i="9"/>
  <c r="M120" i="9"/>
  <c r="J121" i="9"/>
  <c r="M121" i="9"/>
  <c r="J122" i="9"/>
  <c r="M122" i="9"/>
  <c r="J123" i="9"/>
  <c r="M123" i="9"/>
  <c r="J124" i="9"/>
  <c r="M124" i="9"/>
  <c r="J125" i="9"/>
  <c r="M125" i="9"/>
  <c r="J126" i="9"/>
  <c r="M126" i="9"/>
  <c r="J127" i="9"/>
  <c r="M127" i="9"/>
  <c r="J128" i="9"/>
  <c r="M128" i="9"/>
  <c r="J129" i="9"/>
  <c r="M129" i="9"/>
  <c r="J130" i="9"/>
  <c r="M130" i="9"/>
  <c r="J131" i="9"/>
  <c r="M131" i="9"/>
  <c r="J132" i="9"/>
  <c r="M132" i="9"/>
  <c r="J133" i="9"/>
  <c r="M133" i="9"/>
  <c r="J134" i="9"/>
  <c r="M134" i="9"/>
  <c r="J135" i="9"/>
  <c r="M135" i="9"/>
  <c r="J136" i="9"/>
  <c r="M136" i="9"/>
  <c r="J137" i="9"/>
  <c r="M137" i="9"/>
  <c r="J138" i="9"/>
  <c r="M138" i="9"/>
  <c r="J139" i="9"/>
  <c r="M139" i="9"/>
  <c r="J140" i="9"/>
  <c r="M140" i="9"/>
  <c r="J141" i="9"/>
  <c r="M141" i="9"/>
  <c r="J142" i="9"/>
  <c r="M142" i="9"/>
  <c r="J143" i="9"/>
  <c r="M143" i="9"/>
  <c r="J144" i="9"/>
  <c r="M144" i="9"/>
  <c r="J145" i="9"/>
  <c r="M145" i="9"/>
  <c r="J146" i="9"/>
  <c r="M146" i="9"/>
  <c r="J147" i="9"/>
  <c r="M147" i="9"/>
  <c r="J152" i="9"/>
  <c r="M152" i="9"/>
  <c r="J153" i="9"/>
  <c r="M153" i="9"/>
  <c r="J154" i="9"/>
  <c r="M154" i="9"/>
  <c r="J155" i="9"/>
  <c r="M155" i="9"/>
  <c r="J156" i="9"/>
  <c r="M156" i="9"/>
  <c r="J157" i="9"/>
  <c r="M157" i="9"/>
  <c r="J158" i="9"/>
  <c r="M158" i="9"/>
  <c r="J159" i="9"/>
  <c r="M159" i="9"/>
  <c r="J160" i="9"/>
  <c r="M160" i="9"/>
  <c r="J161" i="9"/>
  <c r="M161" i="9"/>
  <c r="J162" i="9"/>
  <c r="M162" i="9"/>
  <c r="J163" i="9"/>
  <c r="M163" i="9"/>
  <c r="J164" i="9"/>
  <c r="M164" i="9"/>
  <c r="J165" i="9"/>
  <c r="M165" i="9"/>
  <c r="J166" i="9"/>
  <c r="M166" i="9"/>
  <c r="J167" i="9"/>
  <c r="M167" i="9"/>
  <c r="J168" i="9"/>
  <c r="M168" i="9"/>
  <c r="J169" i="9"/>
  <c r="M169" i="9"/>
  <c r="J170" i="9"/>
  <c r="M170" i="9"/>
  <c r="J171" i="9"/>
  <c r="M171" i="9"/>
  <c r="J172" i="9"/>
  <c r="M172" i="9"/>
  <c r="J173" i="9"/>
  <c r="M173" i="9"/>
  <c r="J174" i="9"/>
  <c r="M174" i="9"/>
  <c r="J175" i="9"/>
  <c r="M175" i="9"/>
  <c r="J176" i="9"/>
  <c r="M176" i="9"/>
  <c r="J177" i="9"/>
  <c r="M177" i="9"/>
  <c r="J178" i="9"/>
  <c r="M178" i="9"/>
  <c r="J179" i="9"/>
  <c r="M179" i="9"/>
  <c r="J180" i="9"/>
  <c r="M180" i="9"/>
  <c r="J181" i="9"/>
  <c r="M181" i="9"/>
  <c r="J182" i="9"/>
  <c r="M182" i="9"/>
  <c r="J183" i="9"/>
  <c r="M183" i="9"/>
  <c r="J184" i="9"/>
  <c r="M184" i="9"/>
  <c r="J185" i="9"/>
  <c r="M185" i="9"/>
  <c r="J186" i="9"/>
  <c r="M186" i="9"/>
  <c r="J187" i="9"/>
  <c r="M187" i="9"/>
  <c r="J188" i="9"/>
  <c r="M188" i="9"/>
  <c r="J189" i="9"/>
  <c r="M189" i="9"/>
  <c r="M66" i="9"/>
  <c r="J66"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18" i="9"/>
  <c r="Z14" i="10" l="1"/>
  <c r="Q42" i="10"/>
  <c r="Z25" i="10"/>
  <c r="P36" i="10"/>
  <c r="Q36" i="10"/>
  <c r="P33" i="10"/>
  <c r="R33" i="10"/>
  <c r="AC11" i="10"/>
  <c r="AC12" i="10" s="1"/>
  <c r="AC13" i="10" s="1"/>
  <c r="AC14" i="10" s="1"/>
  <c r="AC15" i="10" s="1"/>
  <c r="AC16" i="10" s="1"/>
  <c r="AC17" i="10" s="1"/>
  <c r="AC18" i="10" s="1"/>
  <c r="AC19" i="10" s="1"/>
  <c r="AC20" i="10" s="1"/>
  <c r="AC21" i="10" s="1"/>
  <c r="AC22" i="10" s="1"/>
  <c r="AC23" i="10" s="1"/>
  <c r="Z37" i="10"/>
  <c r="Q41" i="10"/>
  <c r="P41" i="10"/>
  <c r="Q44" i="10"/>
  <c r="P35" i="10"/>
  <c r="Z33" i="10"/>
  <c r="R42" i="10"/>
  <c r="Q35" i="10"/>
  <c r="Z43" i="10"/>
  <c r="AB43" i="10"/>
  <c r="Q39" i="10"/>
  <c r="R39" i="10"/>
  <c r="P39" i="10"/>
  <c r="Z34" i="10"/>
  <c r="AB34" i="10"/>
  <c r="Z38" i="10"/>
  <c r="AB38" i="10"/>
  <c r="Z35" i="10"/>
  <c r="AB35" i="10"/>
  <c r="AB46" i="10"/>
  <c r="Z46" i="10"/>
  <c r="Z39" i="10"/>
  <c r="AB39" i="10"/>
  <c r="P34" i="10"/>
  <c r="Q34" i="10"/>
  <c r="R34" i="10"/>
  <c r="P37" i="10"/>
  <c r="Q37" i="10"/>
  <c r="R37" i="10"/>
  <c r="Z24" i="10"/>
  <c r="I9" i="9"/>
  <c r="O9" i="9"/>
  <c r="L19" i="9"/>
  <c r="L20" i="9" s="1"/>
  <c r="L21" i="9" s="1"/>
  <c r="L22" i="9" s="1"/>
  <c r="L23" i="9" s="1"/>
  <c r="L24" i="9" s="1"/>
  <c r="L25" i="9" s="1"/>
  <c r="L26" i="9" s="1"/>
  <c r="L27" i="9" s="1"/>
  <c r="L28" i="9" s="1"/>
  <c r="L29" i="9" s="1"/>
  <c r="L30" i="9" s="1"/>
  <c r="L31" i="9" s="1"/>
  <c r="L32" i="9" s="1"/>
  <c r="L33" i="9" s="1"/>
  <c r="L34" i="9" s="1"/>
  <c r="L35" i="9" s="1"/>
  <c r="L36" i="9" s="1"/>
  <c r="L37" i="9" s="1"/>
  <c r="L38" i="9" s="1"/>
  <c r="L39" i="9" s="1"/>
  <c r="L40" i="9" s="1"/>
  <c r="L41" i="9" s="1"/>
  <c r="L42" i="9" s="1"/>
  <c r="L43" i="9" s="1"/>
  <c r="L44" i="9" s="1"/>
  <c r="L45" i="9" s="1"/>
  <c r="L46" i="9" s="1"/>
  <c r="L47" i="9" s="1"/>
  <c r="L48" i="9" s="1"/>
  <c r="L49" i="9" s="1"/>
  <c r="L50" i="9" s="1"/>
  <c r="L51" i="9" s="1"/>
  <c r="L52" i="9" s="1"/>
  <c r="L53" i="9" s="1"/>
  <c r="L54" i="9" s="1"/>
  <c r="L55" i="9" s="1"/>
  <c r="L56" i="9" s="1"/>
  <c r="L57" i="9" s="1"/>
  <c r="L58" i="9" s="1"/>
  <c r="L59" i="9" s="1"/>
  <c r="L60" i="9" s="1"/>
  <c r="L61" i="9" s="1"/>
  <c r="O68" i="9"/>
  <c r="O69" i="9" s="1"/>
  <c r="O70" i="9" s="1"/>
  <c r="O71" i="9" s="1"/>
  <c r="O72" i="9" s="1"/>
  <c r="O73" i="9" s="1"/>
  <c r="O74" i="9" s="1"/>
  <c r="O75" i="9" s="1"/>
  <c r="O76" i="9" s="1"/>
  <c r="O77" i="9" s="1"/>
  <c r="O78" i="9" s="1"/>
  <c r="O79" i="9" s="1"/>
  <c r="O80" i="9" s="1"/>
  <c r="O81" i="9" s="1"/>
  <c r="O82" i="9" s="1"/>
  <c r="O83" i="9" s="1"/>
  <c r="O84" i="9" s="1"/>
  <c r="O85" i="9" s="1"/>
  <c r="O86" i="9" s="1"/>
  <c r="O87" i="9" s="1"/>
  <c r="O88" i="9" s="1"/>
  <c r="O89" i="9" s="1"/>
  <c r="O20" i="9"/>
  <c r="O21" i="9" s="1"/>
  <c r="O22" i="9" s="1"/>
  <c r="O23" i="9" s="1"/>
  <c r="O24" i="9" s="1"/>
  <c r="O25" i="9" s="1"/>
  <c r="O26" i="9" s="1"/>
  <c r="O27" i="9" s="1"/>
  <c r="O28" i="9" s="1"/>
  <c r="O29" i="9" s="1"/>
  <c r="O30" i="9" s="1"/>
  <c r="O31" i="9" s="1"/>
  <c r="O32" i="9" s="1"/>
  <c r="O33" i="9" s="1"/>
  <c r="O34" i="9" s="1"/>
  <c r="O35" i="9" s="1"/>
  <c r="O36" i="9" s="1"/>
  <c r="O37" i="9" s="1"/>
  <c r="O38" i="9" s="1"/>
  <c r="O39" i="9" s="1"/>
  <c r="O40" i="9" s="1"/>
  <c r="O41" i="9" s="1"/>
  <c r="O42" i="9" s="1"/>
  <c r="O43" i="9" s="1"/>
  <c r="O44" i="9" s="1"/>
  <c r="O45" i="9" s="1"/>
  <c r="O46" i="9" s="1"/>
  <c r="O47" i="9" s="1"/>
  <c r="O48" i="9" s="1"/>
  <c r="O49" i="9" s="1"/>
  <c r="O50" i="9" s="1"/>
  <c r="O51" i="9" s="1"/>
  <c r="O52" i="9" s="1"/>
  <c r="O53" i="9" s="1"/>
  <c r="O54" i="9" s="1"/>
  <c r="O55" i="9" s="1"/>
  <c r="O56" i="9" s="1"/>
  <c r="O57" i="9" s="1"/>
  <c r="O58" i="9" s="1"/>
  <c r="O59" i="9" s="1"/>
  <c r="O60" i="9" s="1"/>
  <c r="O61" i="9" s="1"/>
  <c r="L96" i="9"/>
  <c r="L97" i="9" s="1"/>
  <c r="L98" i="9" s="1"/>
  <c r="L99" i="9" s="1"/>
  <c r="L100" i="9" s="1"/>
  <c r="L101" i="9" s="1"/>
  <c r="L102" i="9" s="1"/>
  <c r="L103" i="9" s="1"/>
  <c r="L104" i="9" s="1"/>
  <c r="L105" i="9" s="1"/>
  <c r="L106" i="9" s="1"/>
  <c r="L107" i="9" s="1"/>
  <c r="L108" i="9" s="1"/>
  <c r="L109" i="9" s="1"/>
  <c r="L110" i="9" s="1"/>
  <c r="L111" i="9" s="1"/>
  <c r="L112" i="9" s="1"/>
  <c r="L113" i="9" s="1"/>
  <c r="J9" i="9" s="1"/>
  <c r="N96" i="9"/>
  <c r="O96" i="9" s="1"/>
  <c r="O97" i="9" s="1"/>
  <c r="O98" i="9" s="1"/>
  <c r="O99" i="9" s="1"/>
  <c r="O100" i="9" s="1"/>
  <c r="O101" i="9" s="1"/>
  <c r="O102" i="9" s="1"/>
  <c r="O103" i="9" s="1"/>
  <c r="O104" i="9" s="1"/>
  <c r="O105" i="9" s="1"/>
  <c r="O106" i="9" s="1"/>
  <c r="O107" i="9" s="1"/>
  <c r="O108" i="9" s="1"/>
  <c r="O109" i="9" s="1"/>
  <c r="O110" i="9" s="1"/>
  <c r="O111" i="9" s="1"/>
  <c r="O112" i="9" s="1"/>
  <c r="O113" i="9" s="1"/>
  <c r="P9" i="9" s="1"/>
  <c r="L67" i="9"/>
  <c r="L68" i="9" s="1"/>
  <c r="L69" i="9" s="1"/>
  <c r="L70" i="9" s="1"/>
  <c r="L71" i="9" s="1"/>
  <c r="L72" i="9" s="1"/>
  <c r="L73" i="9" s="1"/>
  <c r="L74" i="9" s="1"/>
  <c r="L75" i="9" s="1"/>
  <c r="L76" i="9" s="1"/>
  <c r="L77" i="9" s="1"/>
  <c r="L78" i="9" s="1"/>
  <c r="L79" i="9" s="1"/>
  <c r="L80" i="9" s="1"/>
  <c r="L81" i="9" s="1"/>
  <c r="L82" i="9" s="1"/>
  <c r="L83" i="9" s="1"/>
  <c r="L84" i="9" s="1"/>
  <c r="L85" i="9" s="1"/>
  <c r="L86" i="9" s="1"/>
  <c r="L87" i="9" s="1"/>
  <c r="L88" i="9" s="1"/>
  <c r="L89" i="9" s="1"/>
  <c r="N67" i="9"/>
  <c r="O67" i="9" s="1"/>
  <c r="L153" i="9"/>
  <c r="L154" i="9" s="1"/>
  <c r="L155" i="9" s="1"/>
  <c r="L156" i="9" s="1"/>
  <c r="L157" i="9" s="1"/>
  <c r="L158" i="9" s="1"/>
  <c r="L159" i="9" s="1"/>
  <c r="L160" i="9" s="1"/>
  <c r="L161" i="9" s="1"/>
  <c r="L162" i="9" s="1"/>
  <c r="L163" i="9" s="1"/>
  <c r="L164" i="9" s="1"/>
  <c r="L165" i="9" s="1"/>
  <c r="L166" i="9" s="1"/>
  <c r="L167" i="9" s="1"/>
  <c r="L168" i="9" s="1"/>
  <c r="L169" i="9" s="1"/>
  <c r="L170" i="9" s="1"/>
  <c r="L171" i="9" s="1"/>
  <c r="L172" i="9" s="1"/>
  <c r="L173" i="9" s="1"/>
  <c r="L174" i="9" s="1"/>
  <c r="L175" i="9" s="1"/>
  <c r="L176" i="9" s="1"/>
  <c r="L177" i="9" s="1"/>
  <c r="L178" i="9" s="1"/>
  <c r="L179" i="9" s="1"/>
  <c r="L180" i="9" s="1"/>
  <c r="L181" i="9" s="1"/>
  <c r="L182" i="9" s="1"/>
  <c r="L183" i="9" s="1"/>
  <c r="L184" i="9" s="1"/>
  <c r="L185" i="9" s="1"/>
  <c r="L186" i="9" s="1"/>
  <c r="L187" i="9" s="1"/>
  <c r="L188" i="9" s="1"/>
  <c r="L189" i="9" s="1"/>
  <c r="J11" i="9" s="1"/>
  <c r="N153" i="9"/>
  <c r="O153" i="9" s="1"/>
  <c r="O154" i="9" s="1"/>
  <c r="O155" i="9" s="1"/>
  <c r="O156" i="9" s="1"/>
  <c r="O157" i="9" s="1"/>
  <c r="O158" i="9" s="1"/>
  <c r="O159" i="9" s="1"/>
  <c r="O160" i="9" s="1"/>
  <c r="O161" i="9" s="1"/>
  <c r="O162" i="9" s="1"/>
  <c r="O163" i="9" s="1"/>
  <c r="O164" i="9" s="1"/>
  <c r="O165" i="9" s="1"/>
  <c r="O166" i="9" s="1"/>
  <c r="O167" i="9" s="1"/>
  <c r="O168" i="9" s="1"/>
  <c r="O169" i="9" s="1"/>
  <c r="O170" i="9" s="1"/>
  <c r="O171" i="9" s="1"/>
  <c r="O172" i="9" s="1"/>
  <c r="O173" i="9" s="1"/>
  <c r="O174" i="9" s="1"/>
  <c r="O175" i="9" s="1"/>
  <c r="O176" i="9" s="1"/>
  <c r="O177" i="9" s="1"/>
  <c r="O178" i="9" s="1"/>
  <c r="O179" i="9" s="1"/>
  <c r="O180" i="9" s="1"/>
  <c r="O181" i="9" s="1"/>
  <c r="O182" i="9" s="1"/>
  <c r="O183" i="9" s="1"/>
  <c r="O184" i="9" s="1"/>
  <c r="O185" i="9" s="1"/>
  <c r="O186" i="9" s="1"/>
  <c r="O187" i="9" s="1"/>
  <c r="O188" i="9" s="1"/>
  <c r="O189" i="9" s="1"/>
  <c r="P11" i="9" s="1"/>
  <c r="O121" i="9"/>
  <c r="O122" i="9" s="1"/>
  <c r="O123" i="9" s="1"/>
  <c r="O124" i="9" s="1"/>
  <c r="O125" i="9" s="1"/>
  <c r="O126" i="9" s="1"/>
  <c r="O127" i="9" s="1"/>
  <c r="O128" i="9" s="1"/>
  <c r="O129" i="9" s="1"/>
  <c r="O130" i="9" s="1"/>
  <c r="O131" i="9" s="1"/>
  <c r="O132" i="9" s="1"/>
  <c r="O133" i="9" s="1"/>
  <c r="O134" i="9" s="1"/>
  <c r="O135" i="9" s="1"/>
  <c r="O136" i="9" s="1"/>
  <c r="O137" i="9" s="1"/>
  <c r="O138" i="9" s="1"/>
  <c r="O139" i="9" s="1"/>
  <c r="O140" i="9" s="1"/>
  <c r="O141" i="9" s="1"/>
  <c r="O142" i="9" s="1"/>
  <c r="O143" i="9" s="1"/>
  <c r="O144" i="9" s="1"/>
  <c r="O145" i="9" s="1"/>
  <c r="O146" i="9" s="1"/>
  <c r="O147" i="9" s="1"/>
  <c r="P10" i="9" s="1"/>
  <c r="I10" i="9"/>
  <c r="O10" i="9"/>
  <c r="O8" i="9"/>
  <c r="I8" i="9"/>
  <c r="AB15" i="10"/>
  <c r="R31" i="10"/>
  <c r="Q31" i="10"/>
  <c r="AN10" i="10"/>
  <c r="AM10" i="10"/>
  <c r="AH12" i="10"/>
  <c r="AL12" i="10"/>
  <c r="AN11" i="10"/>
  <c r="U11" i="10"/>
  <c r="U12" i="10" s="1"/>
  <c r="U13" i="10" s="1"/>
  <c r="U14" i="10" s="1"/>
  <c r="S10" i="10"/>
  <c r="S11" i="10" s="1"/>
  <c r="S12" i="10" s="1"/>
  <c r="S13" i="10" s="1"/>
  <c r="S14" i="10" s="1"/>
  <c r="Z29" i="10"/>
  <c r="AE13" i="10"/>
  <c r="AE14" i="10" s="1"/>
  <c r="Z30" i="10"/>
  <c r="AB30" i="10"/>
  <c r="R25" i="10"/>
  <c r="Q25" i="10"/>
  <c r="T11" i="10"/>
  <c r="T12" i="10" s="1"/>
  <c r="T13" i="10" s="1"/>
  <c r="T14" i="10" s="1"/>
  <c r="Q16" i="10"/>
  <c r="R16" i="10"/>
  <c r="P15" i="10"/>
  <c r="R15" i="10"/>
  <c r="Q15" i="10"/>
  <c r="Q24" i="10"/>
  <c r="P24" i="10"/>
  <c r="R24" i="10"/>
  <c r="R21" i="10"/>
  <c r="Q21" i="10"/>
  <c r="P21" i="10"/>
  <c r="O11" i="9"/>
  <c r="I11" i="9"/>
  <c r="AD20" i="9"/>
  <c r="AD21" i="9" s="1"/>
  <c r="AD22" i="9" s="1"/>
  <c r="AD23" i="9" s="1"/>
  <c r="AD24" i="9" s="1"/>
  <c r="AD25" i="9" s="1"/>
  <c r="AD26" i="9" s="1"/>
  <c r="AD27" i="9" s="1"/>
  <c r="AD28" i="9" s="1"/>
  <c r="AD29" i="9" s="1"/>
  <c r="AD30" i="9" s="1"/>
  <c r="AD31" i="9" s="1"/>
  <c r="AB19" i="9"/>
  <c r="S96" i="9"/>
  <c r="X21" i="9"/>
  <c r="P20" i="9"/>
  <c r="W19" i="9"/>
  <c r="R20" i="9"/>
  <c r="R21" i="9" s="1"/>
  <c r="R22" i="9" s="1"/>
  <c r="R23" i="9" s="1"/>
  <c r="R24" i="9" s="1"/>
  <c r="R25" i="9" s="1"/>
  <c r="R26" i="9" s="1"/>
  <c r="R27" i="9" s="1"/>
  <c r="R28" i="9" s="1"/>
  <c r="R29" i="9" s="1"/>
  <c r="R30" i="9" s="1"/>
  <c r="R31" i="9" s="1"/>
  <c r="R32" i="9" s="1"/>
  <c r="R33" i="9" s="1"/>
  <c r="R34" i="9" s="1"/>
  <c r="R35" i="9" s="1"/>
  <c r="R36" i="9" s="1"/>
  <c r="R37" i="9" s="1"/>
  <c r="R38" i="9" s="1"/>
  <c r="R39" i="9" s="1"/>
  <c r="R40" i="9" s="1"/>
  <c r="R41" i="9" s="1"/>
  <c r="R42" i="9" s="1"/>
  <c r="R43" i="9" s="1"/>
  <c r="R44" i="9" s="1"/>
  <c r="R45" i="9" s="1"/>
  <c r="R46" i="9" s="1"/>
  <c r="R47" i="9" s="1"/>
  <c r="R48" i="9" s="1"/>
  <c r="R49" i="9" s="1"/>
  <c r="R50" i="9" s="1"/>
  <c r="R51" i="9" s="1"/>
  <c r="R52" i="9" s="1"/>
  <c r="R53" i="9" s="1"/>
  <c r="R54" i="9" s="1"/>
  <c r="R55" i="9" s="1"/>
  <c r="R56" i="9" s="1"/>
  <c r="R57" i="9" s="1"/>
  <c r="R58" i="9" s="1"/>
  <c r="R59" i="9" s="1"/>
  <c r="R60" i="9" s="1"/>
  <c r="R61" i="9" s="1"/>
  <c r="S98" i="9"/>
  <c r="R99" i="9"/>
  <c r="S97" i="9"/>
  <c r="R68" i="9"/>
  <c r="E7" i="9"/>
  <c r="N7" i="9"/>
  <c r="H7" i="9"/>
  <c r="C7" i="9"/>
  <c r="I37" i="4"/>
  <c r="AM11" i="10" l="1"/>
  <c r="AE15" i="10"/>
  <c r="AE16" i="10" s="1"/>
  <c r="AE17" i="10" s="1"/>
  <c r="AE18" i="10" s="1"/>
  <c r="AE19" i="10" s="1"/>
  <c r="AE20" i="10" s="1"/>
  <c r="AE21" i="10" s="1"/>
  <c r="AE22" i="10" s="1"/>
  <c r="AE23" i="10" s="1"/>
  <c r="AE24" i="10" s="1"/>
  <c r="AE25" i="10" s="1"/>
  <c r="AE26" i="10" s="1"/>
  <c r="AE27" i="10" s="1"/>
  <c r="AE28" i="10" s="1"/>
  <c r="AE29" i="10" s="1"/>
  <c r="AC24" i="10"/>
  <c r="AC25" i="10" s="1"/>
  <c r="AC26" i="10" s="1"/>
  <c r="AC27" i="10" s="1"/>
  <c r="AC28" i="10" s="1"/>
  <c r="AC29" i="10" s="1"/>
  <c r="AC30" i="10" s="1"/>
  <c r="AC31" i="10" s="1"/>
  <c r="AC32" i="10" s="1"/>
  <c r="AC33" i="10" s="1"/>
  <c r="AC34" i="10" s="1"/>
  <c r="AC35" i="10" s="1"/>
  <c r="AC36" i="10" s="1"/>
  <c r="AC37" i="10" s="1"/>
  <c r="AC38" i="10" s="1"/>
  <c r="AC39" i="10" s="1"/>
  <c r="AC40" i="10" s="1"/>
  <c r="AC41" i="10" s="1"/>
  <c r="AC42" i="10" s="1"/>
  <c r="AC43" i="10" s="1"/>
  <c r="AC44" i="10" s="1"/>
  <c r="AC45" i="10" s="1"/>
  <c r="AC46" i="10" s="1"/>
  <c r="I7" i="9"/>
  <c r="O7" i="9"/>
  <c r="AE30" i="10"/>
  <c r="AE31" i="10" s="1"/>
  <c r="AE32" i="10" s="1"/>
  <c r="AE33" i="10" s="1"/>
  <c r="AE34" i="10" s="1"/>
  <c r="AE35" i="10" s="1"/>
  <c r="AE36" i="10" s="1"/>
  <c r="AE37" i="10" s="1"/>
  <c r="AE38" i="10" s="1"/>
  <c r="AE39" i="10" s="1"/>
  <c r="AE40" i="10" s="1"/>
  <c r="AE41" i="10" s="1"/>
  <c r="AE42" i="10" s="1"/>
  <c r="AE43" i="10" s="1"/>
  <c r="AE44" i="10" s="1"/>
  <c r="AE45" i="10" s="1"/>
  <c r="AE46" i="10" s="1"/>
  <c r="AH13" i="10"/>
  <c r="AM12" i="10"/>
  <c r="AN12" i="10"/>
  <c r="AL13" i="10"/>
  <c r="U15" i="10"/>
  <c r="U16" i="10" s="1"/>
  <c r="U17" i="10" s="1"/>
  <c r="U18" i="10" s="1"/>
  <c r="U19" i="10" s="1"/>
  <c r="U20" i="10" s="1"/>
  <c r="U21" i="10" s="1"/>
  <c r="U22" i="10" s="1"/>
  <c r="U23" i="10" s="1"/>
  <c r="U24" i="10" s="1"/>
  <c r="U25" i="10" s="1"/>
  <c r="U26" i="10" s="1"/>
  <c r="U27" i="10" s="1"/>
  <c r="U28" i="10" s="1"/>
  <c r="U29" i="10" s="1"/>
  <c r="U30" i="10" s="1"/>
  <c r="U31" i="10" s="1"/>
  <c r="U32" i="10" s="1"/>
  <c r="U33" i="10" s="1"/>
  <c r="U34" i="10" s="1"/>
  <c r="U35" i="10" s="1"/>
  <c r="U36" i="10" s="1"/>
  <c r="U37" i="10" s="1"/>
  <c r="U38" i="10" s="1"/>
  <c r="U39" i="10" s="1"/>
  <c r="U40" i="10" s="1"/>
  <c r="U41" i="10" s="1"/>
  <c r="U42" i="10" s="1"/>
  <c r="U43" i="10" s="1"/>
  <c r="U44" i="10" s="1"/>
  <c r="U45" i="10" s="1"/>
  <c r="U46" i="10" s="1"/>
  <c r="T15" i="10"/>
  <c r="T16" i="10" s="1"/>
  <c r="T17" i="10" s="1"/>
  <c r="T18" i="10" s="1"/>
  <c r="T19" i="10" s="1"/>
  <c r="T20" i="10" s="1"/>
  <c r="T21" i="10" s="1"/>
  <c r="T22" i="10" s="1"/>
  <c r="T23" i="10" s="1"/>
  <c r="T24" i="10" s="1"/>
  <c r="T25" i="10" s="1"/>
  <c r="T26" i="10" s="1"/>
  <c r="T27" i="10" s="1"/>
  <c r="T28" i="10" s="1"/>
  <c r="T29" i="10" s="1"/>
  <c r="T30" i="10" s="1"/>
  <c r="T31" i="10" s="1"/>
  <c r="T32" i="10" s="1"/>
  <c r="T33" i="10" s="1"/>
  <c r="T34" i="10" s="1"/>
  <c r="T35" i="10" s="1"/>
  <c r="T36" i="10" s="1"/>
  <c r="T37" i="10" s="1"/>
  <c r="T38" i="10" s="1"/>
  <c r="T39" i="10" s="1"/>
  <c r="T40" i="10" s="1"/>
  <c r="T41" i="10" s="1"/>
  <c r="T42" i="10" s="1"/>
  <c r="T43" i="10" s="1"/>
  <c r="T44" i="10" s="1"/>
  <c r="T45" i="10" s="1"/>
  <c r="T46" i="10" s="1"/>
  <c r="S15" i="10"/>
  <c r="S16" i="10" s="1"/>
  <c r="S17" i="10" s="1"/>
  <c r="S18" i="10" s="1"/>
  <c r="S19" i="10" s="1"/>
  <c r="S20" i="10" s="1"/>
  <c r="S21" i="10" s="1"/>
  <c r="S22" i="10" s="1"/>
  <c r="S23" i="10" s="1"/>
  <c r="S24" i="10" s="1"/>
  <c r="S25" i="10" s="1"/>
  <c r="S26" i="10" s="1"/>
  <c r="S27" i="10" s="1"/>
  <c r="S28" i="10" s="1"/>
  <c r="S29" i="10" s="1"/>
  <c r="S30" i="10" s="1"/>
  <c r="S31" i="10" s="1"/>
  <c r="S32" i="10" s="1"/>
  <c r="S33" i="10" s="1"/>
  <c r="S34" i="10" s="1"/>
  <c r="S35" i="10" s="1"/>
  <c r="S36" i="10" s="1"/>
  <c r="S37" i="10" s="1"/>
  <c r="S38" i="10" s="1"/>
  <c r="S39" i="10" s="1"/>
  <c r="S40" i="10" s="1"/>
  <c r="S41" i="10" s="1"/>
  <c r="S42" i="10" s="1"/>
  <c r="S43" i="10" s="1"/>
  <c r="S44" i="10" s="1"/>
  <c r="S45" i="10" s="1"/>
  <c r="S46" i="10" s="1"/>
  <c r="P21" i="9"/>
  <c r="Z21" i="9" s="1"/>
  <c r="AB20" i="9"/>
  <c r="W20" i="9"/>
  <c r="X22" i="9"/>
  <c r="S99" i="9"/>
  <c r="R100" i="9"/>
  <c r="Z20" i="9"/>
  <c r="S20" i="9"/>
  <c r="R69" i="9"/>
  <c r="S68" i="9"/>
  <c r="Q230" i="7"/>
  <c r="R230" i="7" s="1"/>
  <c r="S230" i="7"/>
  <c r="Q231" i="7"/>
  <c r="R231" i="7" s="1"/>
  <c r="S231" i="7"/>
  <c r="Q232" i="7"/>
  <c r="R232" i="7" s="1"/>
  <c r="S232" i="7"/>
  <c r="Q233" i="7"/>
  <c r="R233" i="7" s="1"/>
  <c r="S233" i="7"/>
  <c r="AH14" i="10" l="1"/>
  <c r="AM13" i="10"/>
  <c r="AL14" i="10"/>
  <c r="AN13" i="10"/>
  <c r="W21" i="9"/>
  <c r="P22" i="9"/>
  <c r="Z22" i="9" s="1"/>
  <c r="AB21" i="9"/>
  <c r="S100" i="9"/>
  <c r="R101" i="9"/>
  <c r="X23" i="9"/>
  <c r="S21" i="9"/>
  <c r="R70" i="9"/>
  <c r="S69" i="9"/>
  <c r="AF20" i="7"/>
  <c r="AE20" i="7"/>
  <c r="AD20" i="7"/>
  <c r="AH15" i="10" l="1"/>
  <c r="AM14" i="10"/>
  <c r="AL15" i="10"/>
  <c r="AN14" i="10"/>
  <c r="P23" i="9"/>
  <c r="Z23" i="9" s="1"/>
  <c r="AB22" i="9"/>
  <c r="W22" i="9"/>
  <c r="X24" i="9"/>
  <c r="S70" i="9"/>
  <c r="R71" i="9"/>
  <c r="R102" i="9"/>
  <c r="S101" i="9"/>
  <c r="S22" i="9"/>
  <c r="R24" i="7"/>
  <c r="S24" i="7"/>
  <c r="R25" i="7"/>
  <c r="S25" i="7"/>
  <c r="R26" i="7"/>
  <c r="S26" i="7"/>
  <c r="Q31" i="7"/>
  <c r="R31" i="7" s="1"/>
  <c r="S31" i="7"/>
  <c r="Q32" i="7"/>
  <c r="R32" i="7"/>
  <c r="S32" i="7"/>
  <c r="Q33" i="7"/>
  <c r="R33" i="7" s="1"/>
  <c r="S33" i="7"/>
  <c r="Q34" i="7"/>
  <c r="R34" i="7" s="1"/>
  <c r="S34" i="7"/>
  <c r="R23" i="7"/>
  <c r="R22" i="7"/>
  <c r="R101" i="7"/>
  <c r="R140" i="7"/>
  <c r="R208" i="7"/>
  <c r="R28" i="7"/>
  <c r="R29" i="7"/>
  <c r="R30" i="7"/>
  <c r="R27" i="7"/>
  <c r="S30" i="7"/>
  <c r="S27" i="7"/>
  <c r="S28" i="7"/>
  <c r="E28" i="8"/>
  <c r="F28" i="8"/>
  <c r="G28" i="8"/>
  <c r="H28" i="8"/>
  <c r="I28" i="8"/>
  <c r="J28" i="8"/>
  <c r="D28" i="8"/>
  <c r="E23" i="8"/>
  <c r="F23" i="8"/>
  <c r="G23" i="8"/>
  <c r="H23" i="8"/>
  <c r="I23" i="8"/>
  <c r="J23" i="8"/>
  <c r="D23" i="8"/>
  <c r="AH16" i="10" l="1"/>
  <c r="AM15" i="10"/>
  <c r="AL16" i="10"/>
  <c r="AN15" i="10"/>
  <c r="W23" i="9"/>
  <c r="P24" i="9"/>
  <c r="Z24" i="9" s="1"/>
  <c r="AB23" i="9"/>
  <c r="S102" i="9"/>
  <c r="R103" i="9"/>
  <c r="X25" i="9"/>
  <c r="S71" i="9"/>
  <c r="R72" i="9"/>
  <c r="S23" i="9"/>
  <c r="J24" i="8"/>
  <c r="J25" i="8" s="1"/>
  <c r="D24" i="8"/>
  <c r="D25" i="8" s="1"/>
  <c r="E24" i="8"/>
  <c r="E25" i="8" s="1"/>
  <c r="F24" i="8"/>
  <c r="F25" i="8" s="1"/>
  <c r="G24" i="8"/>
  <c r="G25" i="8" s="1"/>
  <c r="H24" i="8"/>
  <c r="H25" i="8" s="1"/>
  <c r="I24" i="8"/>
  <c r="I25" i="8" s="1"/>
  <c r="AH17" i="10" l="1"/>
  <c r="AM16" i="10"/>
  <c r="AN16" i="10"/>
  <c r="AL17" i="10"/>
  <c r="P25" i="9"/>
  <c r="Z25" i="9" s="1"/>
  <c r="AB24" i="9"/>
  <c r="W24" i="9"/>
  <c r="S72" i="9"/>
  <c r="R73" i="9"/>
  <c r="R104" i="9"/>
  <c r="S103" i="9"/>
  <c r="X26" i="9"/>
  <c r="S24" i="9"/>
  <c r="S23" i="7"/>
  <c r="S22" i="7"/>
  <c r="AH18" i="10" l="1"/>
  <c r="AM17" i="10"/>
  <c r="AL18" i="10"/>
  <c r="AN17" i="10"/>
  <c r="W25" i="9"/>
  <c r="P26" i="9"/>
  <c r="Z26" i="9" s="1"/>
  <c r="AB25" i="9"/>
  <c r="X27" i="9"/>
  <c r="R105" i="9"/>
  <c r="S104" i="9"/>
  <c r="S73" i="9"/>
  <c r="R74" i="9"/>
  <c r="S25" i="9"/>
  <c r="Q37" i="7"/>
  <c r="R37" i="7" s="1"/>
  <c r="S37" i="7"/>
  <c r="Q38" i="7"/>
  <c r="R38" i="7" s="1"/>
  <c r="S38" i="7"/>
  <c r="Q39" i="7"/>
  <c r="R39" i="7" s="1"/>
  <c r="S39" i="7"/>
  <c r="Q40" i="7"/>
  <c r="R40" i="7" s="1"/>
  <c r="S40" i="7"/>
  <c r="Q41" i="7"/>
  <c r="R41" i="7" s="1"/>
  <c r="S41" i="7"/>
  <c r="Q42" i="7"/>
  <c r="R42" i="7" s="1"/>
  <c r="S42" i="7"/>
  <c r="Q43" i="7"/>
  <c r="R43" i="7" s="1"/>
  <c r="S43" i="7"/>
  <c r="Q44" i="7"/>
  <c r="R44" i="7" s="1"/>
  <c r="S44" i="7"/>
  <c r="Q45" i="7"/>
  <c r="R45" i="7" s="1"/>
  <c r="S45" i="7"/>
  <c r="Q46" i="7"/>
  <c r="R46" i="7" s="1"/>
  <c r="S46" i="7"/>
  <c r="Q47" i="7"/>
  <c r="R47" i="7" s="1"/>
  <c r="S47" i="7"/>
  <c r="Q48" i="7"/>
  <c r="R48" i="7" s="1"/>
  <c r="S48" i="7"/>
  <c r="Q49" i="7"/>
  <c r="R49" i="7" s="1"/>
  <c r="S49" i="7"/>
  <c r="Q50" i="7"/>
  <c r="R50" i="7" s="1"/>
  <c r="S50" i="7"/>
  <c r="Q51" i="7"/>
  <c r="R51" i="7" s="1"/>
  <c r="S51" i="7"/>
  <c r="Q52" i="7"/>
  <c r="R52" i="7" s="1"/>
  <c r="S52" i="7"/>
  <c r="Q53" i="7"/>
  <c r="R53" i="7" s="1"/>
  <c r="S53" i="7"/>
  <c r="Q54" i="7"/>
  <c r="R54" i="7" s="1"/>
  <c r="S54" i="7"/>
  <c r="Q55" i="7"/>
  <c r="R55" i="7" s="1"/>
  <c r="S55" i="7"/>
  <c r="Q56" i="7"/>
  <c r="R56" i="7" s="1"/>
  <c r="S56" i="7"/>
  <c r="Q57" i="7"/>
  <c r="R57" i="7" s="1"/>
  <c r="S57" i="7"/>
  <c r="Q58" i="7"/>
  <c r="R58" i="7" s="1"/>
  <c r="S58" i="7"/>
  <c r="Q59" i="7"/>
  <c r="R59" i="7" s="1"/>
  <c r="S59" i="7"/>
  <c r="Q60" i="7"/>
  <c r="R60" i="7" s="1"/>
  <c r="S60" i="7"/>
  <c r="Q61" i="7"/>
  <c r="R61" i="7" s="1"/>
  <c r="S61" i="7"/>
  <c r="Q62" i="7"/>
  <c r="R62" i="7" s="1"/>
  <c r="S62" i="7"/>
  <c r="Q63" i="7"/>
  <c r="R63" i="7" s="1"/>
  <c r="S63" i="7"/>
  <c r="Q64" i="7"/>
  <c r="R64" i="7" s="1"/>
  <c r="S64" i="7"/>
  <c r="Q65" i="7"/>
  <c r="R65" i="7" s="1"/>
  <c r="S65" i="7"/>
  <c r="Q66" i="7"/>
  <c r="R66" i="7" s="1"/>
  <c r="S66" i="7"/>
  <c r="Q67" i="7"/>
  <c r="R67" i="7" s="1"/>
  <c r="S67" i="7"/>
  <c r="Q68" i="7"/>
  <c r="R68" i="7" s="1"/>
  <c r="S68" i="7"/>
  <c r="Q69" i="7"/>
  <c r="R69" i="7" s="1"/>
  <c r="S69" i="7"/>
  <c r="Q70" i="7"/>
  <c r="R70" i="7" s="1"/>
  <c r="S70" i="7"/>
  <c r="Q71" i="7"/>
  <c r="R71" i="7" s="1"/>
  <c r="S71" i="7"/>
  <c r="Q72" i="7"/>
  <c r="R72" i="7" s="1"/>
  <c r="S72" i="7"/>
  <c r="Q73" i="7"/>
  <c r="R73" i="7" s="1"/>
  <c r="S73" i="7"/>
  <c r="Q74" i="7"/>
  <c r="R74" i="7" s="1"/>
  <c r="S74" i="7"/>
  <c r="Q75" i="7"/>
  <c r="R75" i="7" s="1"/>
  <c r="S75" i="7"/>
  <c r="Q76" i="7"/>
  <c r="R76" i="7" s="1"/>
  <c r="S76" i="7"/>
  <c r="Q77" i="7"/>
  <c r="R77" i="7" s="1"/>
  <c r="S77" i="7"/>
  <c r="Q78" i="7"/>
  <c r="R78" i="7" s="1"/>
  <c r="S78" i="7"/>
  <c r="Q79" i="7"/>
  <c r="R79" i="7" s="1"/>
  <c r="S79" i="7"/>
  <c r="Q80" i="7"/>
  <c r="R80" i="7" s="1"/>
  <c r="S80" i="7"/>
  <c r="Q81" i="7"/>
  <c r="R81" i="7" s="1"/>
  <c r="S81" i="7"/>
  <c r="Q82" i="7"/>
  <c r="R82" i="7" s="1"/>
  <c r="S82" i="7"/>
  <c r="Q83" i="7"/>
  <c r="R83" i="7" s="1"/>
  <c r="S83" i="7"/>
  <c r="Q84" i="7"/>
  <c r="R84" i="7" s="1"/>
  <c r="S84" i="7"/>
  <c r="Q85" i="7"/>
  <c r="R85" i="7" s="1"/>
  <c r="S85" i="7"/>
  <c r="Q86" i="7"/>
  <c r="R86" i="7" s="1"/>
  <c r="S86" i="7"/>
  <c r="Q87" i="7"/>
  <c r="R87" i="7" s="1"/>
  <c r="S87" i="7"/>
  <c r="Q88" i="7"/>
  <c r="R88" i="7" s="1"/>
  <c r="S88" i="7"/>
  <c r="Q89" i="7"/>
  <c r="R89" i="7" s="1"/>
  <c r="S89" i="7"/>
  <c r="Q90" i="7"/>
  <c r="R90" i="7" s="1"/>
  <c r="S90" i="7"/>
  <c r="Q91" i="7"/>
  <c r="R91" i="7" s="1"/>
  <c r="S91" i="7"/>
  <c r="Q92" i="7"/>
  <c r="R92" i="7" s="1"/>
  <c r="S92" i="7"/>
  <c r="Q93" i="7"/>
  <c r="R93" i="7" s="1"/>
  <c r="S93" i="7"/>
  <c r="Q94" i="7"/>
  <c r="R94" i="7" s="1"/>
  <c r="S94" i="7"/>
  <c r="Q95" i="7"/>
  <c r="R95" i="7" s="1"/>
  <c r="S95" i="7"/>
  <c r="Q96" i="7"/>
  <c r="R96" i="7" s="1"/>
  <c r="S96" i="7"/>
  <c r="Q97" i="7"/>
  <c r="R97" i="7" s="1"/>
  <c r="S97" i="7"/>
  <c r="Q98" i="7"/>
  <c r="R98" i="7" s="1"/>
  <c r="S98" i="7"/>
  <c r="Q99" i="7"/>
  <c r="R99" i="7" s="1"/>
  <c r="S99" i="7"/>
  <c r="Q100" i="7"/>
  <c r="R100" i="7" s="1"/>
  <c r="S100" i="7"/>
  <c r="S101" i="7"/>
  <c r="Q102" i="7"/>
  <c r="R102" i="7" s="1"/>
  <c r="S102" i="7"/>
  <c r="Q103" i="7"/>
  <c r="R103" i="7" s="1"/>
  <c r="S103" i="7"/>
  <c r="Q104" i="7"/>
  <c r="R104" i="7" s="1"/>
  <c r="S104" i="7"/>
  <c r="Q105" i="7"/>
  <c r="R105" i="7" s="1"/>
  <c r="S105" i="7"/>
  <c r="Q106" i="7"/>
  <c r="R106" i="7" s="1"/>
  <c r="S106" i="7"/>
  <c r="Q107" i="7"/>
  <c r="R107" i="7" s="1"/>
  <c r="S107" i="7"/>
  <c r="Q108" i="7"/>
  <c r="R108" i="7" s="1"/>
  <c r="S108" i="7"/>
  <c r="Q109" i="7"/>
  <c r="R109" i="7" s="1"/>
  <c r="S109" i="7"/>
  <c r="Q110" i="7"/>
  <c r="R110" i="7" s="1"/>
  <c r="S110" i="7"/>
  <c r="Q111" i="7"/>
  <c r="R111" i="7" s="1"/>
  <c r="S111" i="7"/>
  <c r="Q112" i="7"/>
  <c r="R112" i="7" s="1"/>
  <c r="S112" i="7"/>
  <c r="Q113" i="7"/>
  <c r="R113" i="7" s="1"/>
  <c r="S113" i="7"/>
  <c r="Q114" i="7"/>
  <c r="R114" i="7" s="1"/>
  <c r="S114" i="7"/>
  <c r="Q115" i="7"/>
  <c r="R115" i="7" s="1"/>
  <c r="S115" i="7"/>
  <c r="Q116" i="7"/>
  <c r="R116" i="7" s="1"/>
  <c r="S116" i="7"/>
  <c r="Q117" i="7"/>
  <c r="R117" i="7" s="1"/>
  <c r="S117" i="7"/>
  <c r="Q118" i="7"/>
  <c r="R118" i="7" s="1"/>
  <c r="S118" i="7"/>
  <c r="Q119" i="7"/>
  <c r="R119" i="7" s="1"/>
  <c r="S119" i="7"/>
  <c r="Q120" i="7"/>
  <c r="R120" i="7" s="1"/>
  <c r="S120" i="7"/>
  <c r="Q121" i="7"/>
  <c r="R121" i="7" s="1"/>
  <c r="S121" i="7"/>
  <c r="Q122" i="7"/>
  <c r="R122" i="7" s="1"/>
  <c r="S122" i="7"/>
  <c r="Q123" i="7"/>
  <c r="R123" i="7" s="1"/>
  <c r="S123" i="7"/>
  <c r="Q124" i="7"/>
  <c r="R124" i="7" s="1"/>
  <c r="S124" i="7"/>
  <c r="Q125" i="7"/>
  <c r="R125" i="7" s="1"/>
  <c r="S125" i="7"/>
  <c r="Q126" i="7"/>
  <c r="R126" i="7" s="1"/>
  <c r="S126" i="7"/>
  <c r="Q127" i="7"/>
  <c r="R127" i="7" s="1"/>
  <c r="S127" i="7"/>
  <c r="Q128" i="7"/>
  <c r="R128" i="7" s="1"/>
  <c r="S128" i="7"/>
  <c r="Q129" i="7"/>
  <c r="R129" i="7" s="1"/>
  <c r="S129" i="7"/>
  <c r="Q130" i="7"/>
  <c r="R130" i="7" s="1"/>
  <c r="S130" i="7"/>
  <c r="Q131" i="7"/>
  <c r="R131" i="7" s="1"/>
  <c r="S131" i="7"/>
  <c r="Q132" i="7"/>
  <c r="R132" i="7" s="1"/>
  <c r="S132" i="7"/>
  <c r="Q133" i="7"/>
  <c r="R133" i="7" s="1"/>
  <c r="S133" i="7"/>
  <c r="Q134" i="7"/>
  <c r="R134" i="7" s="1"/>
  <c r="S134" i="7"/>
  <c r="Q135" i="7"/>
  <c r="R135" i="7" s="1"/>
  <c r="S135" i="7"/>
  <c r="Q136" i="7"/>
  <c r="R136" i="7" s="1"/>
  <c r="S136" i="7"/>
  <c r="Q137" i="7"/>
  <c r="R137" i="7" s="1"/>
  <c r="S137" i="7"/>
  <c r="Q138" i="7"/>
  <c r="R138" i="7" s="1"/>
  <c r="S138" i="7"/>
  <c r="Q139" i="7"/>
  <c r="R139" i="7" s="1"/>
  <c r="S139" i="7"/>
  <c r="S140" i="7"/>
  <c r="Q141" i="7"/>
  <c r="R141" i="7" s="1"/>
  <c r="S141" i="7"/>
  <c r="Q142" i="7"/>
  <c r="R142" i="7" s="1"/>
  <c r="S142" i="7"/>
  <c r="Q143" i="7"/>
  <c r="R143" i="7" s="1"/>
  <c r="S143" i="7"/>
  <c r="Q144" i="7"/>
  <c r="R144" i="7" s="1"/>
  <c r="S144" i="7"/>
  <c r="Q145" i="7"/>
  <c r="R145" i="7" s="1"/>
  <c r="S145" i="7"/>
  <c r="Q146" i="7"/>
  <c r="R146" i="7" s="1"/>
  <c r="S146" i="7"/>
  <c r="Q147" i="7"/>
  <c r="R147" i="7" s="1"/>
  <c r="S147" i="7"/>
  <c r="Q148" i="7"/>
  <c r="R148" i="7" s="1"/>
  <c r="S148" i="7"/>
  <c r="Q149" i="7"/>
  <c r="R149" i="7" s="1"/>
  <c r="S149" i="7"/>
  <c r="Q150" i="7"/>
  <c r="R150" i="7" s="1"/>
  <c r="S150" i="7"/>
  <c r="Q151" i="7"/>
  <c r="R151" i="7" s="1"/>
  <c r="S151" i="7"/>
  <c r="Q152" i="7"/>
  <c r="R152" i="7" s="1"/>
  <c r="S152" i="7"/>
  <c r="Q153" i="7"/>
  <c r="R153" i="7" s="1"/>
  <c r="S153" i="7"/>
  <c r="Q154" i="7"/>
  <c r="R154" i="7" s="1"/>
  <c r="S154" i="7"/>
  <c r="Q155" i="7"/>
  <c r="R155" i="7" s="1"/>
  <c r="S155" i="7"/>
  <c r="Q156" i="7"/>
  <c r="R156" i="7" s="1"/>
  <c r="S156" i="7"/>
  <c r="Q157" i="7"/>
  <c r="R157" i="7" s="1"/>
  <c r="S157" i="7"/>
  <c r="Q158" i="7"/>
  <c r="R158" i="7" s="1"/>
  <c r="S158" i="7"/>
  <c r="Q159" i="7"/>
  <c r="R159" i="7" s="1"/>
  <c r="S159" i="7"/>
  <c r="Q160" i="7"/>
  <c r="R160" i="7" s="1"/>
  <c r="S160" i="7"/>
  <c r="Q161" i="7"/>
  <c r="R161" i="7" s="1"/>
  <c r="S161" i="7"/>
  <c r="Q162" i="7"/>
  <c r="R162" i="7" s="1"/>
  <c r="S162" i="7"/>
  <c r="Q163" i="7"/>
  <c r="R163" i="7" s="1"/>
  <c r="S163" i="7"/>
  <c r="Q164" i="7"/>
  <c r="R164" i="7" s="1"/>
  <c r="S164" i="7"/>
  <c r="Q165" i="7"/>
  <c r="R165" i="7" s="1"/>
  <c r="S165" i="7"/>
  <c r="Q166" i="7"/>
  <c r="R166" i="7" s="1"/>
  <c r="S166" i="7"/>
  <c r="Q167" i="7"/>
  <c r="R167" i="7" s="1"/>
  <c r="S167" i="7"/>
  <c r="Q168" i="7"/>
  <c r="R168" i="7" s="1"/>
  <c r="S168" i="7"/>
  <c r="Q169" i="7"/>
  <c r="R169" i="7" s="1"/>
  <c r="S169" i="7"/>
  <c r="Q170" i="7"/>
  <c r="R170" i="7" s="1"/>
  <c r="S170" i="7"/>
  <c r="Q171" i="7"/>
  <c r="R171" i="7" s="1"/>
  <c r="S171" i="7"/>
  <c r="Q172" i="7"/>
  <c r="R172" i="7" s="1"/>
  <c r="S172" i="7"/>
  <c r="Q173" i="7"/>
  <c r="R173" i="7" s="1"/>
  <c r="S173" i="7"/>
  <c r="Q174" i="7"/>
  <c r="R174" i="7" s="1"/>
  <c r="S174" i="7"/>
  <c r="Q175" i="7"/>
  <c r="R175" i="7" s="1"/>
  <c r="S175" i="7"/>
  <c r="Q176" i="7"/>
  <c r="R176" i="7" s="1"/>
  <c r="S176" i="7"/>
  <c r="Q177" i="7"/>
  <c r="R177" i="7" s="1"/>
  <c r="S177" i="7"/>
  <c r="Q178" i="7"/>
  <c r="R178" i="7" s="1"/>
  <c r="S178" i="7"/>
  <c r="Q179" i="7"/>
  <c r="R179" i="7" s="1"/>
  <c r="S179" i="7"/>
  <c r="Q180" i="7"/>
  <c r="R180" i="7" s="1"/>
  <c r="S180" i="7"/>
  <c r="Q181" i="7"/>
  <c r="R181" i="7" s="1"/>
  <c r="S181" i="7"/>
  <c r="Q182" i="7"/>
  <c r="R182" i="7" s="1"/>
  <c r="S182" i="7"/>
  <c r="Q183" i="7"/>
  <c r="R183" i="7" s="1"/>
  <c r="S183" i="7"/>
  <c r="Q184" i="7"/>
  <c r="R184" i="7" s="1"/>
  <c r="S184" i="7"/>
  <c r="Q185" i="7"/>
  <c r="R185" i="7" s="1"/>
  <c r="S185" i="7"/>
  <c r="Q186" i="7"/>
  <c r="R186" i="7" s="1"/>
  <c r="S186" i="7"/>
  <c r="Q187" i="7"/>
  <c r="R187" i="7" s="1"/>
  <c r="S187" i="7"/>
  <c r="Q188" i="7"/>
  <c r="R188" i="7" s="1"/>
  <c r="S188" i="7"/>
  <c r="Q189" i="7"/>
  <c r="R189" i="7" s="1"/>
  <c r="S189" i="7"/>
  <c r="Q190" i="7"/>
  <c r="R190" i="7" s="1"/>
  <c r="S190" i="7"/>
  <c r="Q191" i="7"/>
  <c r="R191" i="7" s="1"/>
  <c r="S191" i="7"/>
  <c r="Q192" i="7"/>
  <c r="R192" i="7" s="1"/>
  <c r="S192" i="7"/>
  <c r="Q193" i="7"/>
  <c r="R193" i="7" s="1"/>
  <c r="S193" i="7"/>
  <c r="Q194" i="7"/>
  <c r="R194" i="7" s="1"/>
  <c r="S194" i="7"/>
  <c r="Q195" i="7"/>
  <c r="R195" i="7" s="1"/>
  <c r="S195" i="7"/>
  <c r="Q196" i="7"/>
  <c r="R196" i="7" s="1"/>
  <c r="S196" i="7"/>
  <c r="Q197" i="7"/>
  <c r="R197" i="7" s="1"/>
  <c r="S197" i="7"/>
  <c r="Q198" i="7"/>
  <c r="R198" i="7" s="1"/>
  <c r="S198" i="7"/>
  <c r="Q199" i="7"/>
  <c r="R199" i="7" s="1"/>
  <c r="S199" i="7"/>
  <c r="Q200" i="7"/>
  <c r="R200" i="7" s="1"/>
  <c r="S200" i="7"/>
  <c r="Q201" i="7"/>
  <c r="R201" i="7" s="1"/>
  <c r="S201" i="7"/>
  <c r="Q202" i="7"/>
  <c r="R202" i="7" s="1"/>
  <c r="S202" i="7"/>
  <c r="Q203" i="7"/>
  <c r="R203" i="7" s="1"/>
  <c r="S203" i="7"/>
  <c r="Q204" i="7"/>
  <c r="R204" i="7" s="1"/>
  <c r="S204" i="7"/>
  <c r="Q205" i="7"/>
  <c r="R205" i="7" s="1"/>
  <c r="S205" i="7"/>
  <c r="Q206" i="7"/>
  <c r="R206" i="7" s="1"/>
  <c r="S206" i="7"/>
  <c r="Q207" i="7"/>
  <c r="R207" i="7" s="1"/>
  <c r="S207" i="7"/>
  <c r="S208" i="7"/>
  <c r="Q209" i="7"/>
  <c r="R209" i="7" s="1"/>
  <c r="S209" i="7"/>
  <c r="Q210" i="7"/>
  <c r="R210" i="7" s="1"/>
  <c r="S210" i="7"/>
  <c r="Q211" i="7"/>
  <c r="R211" i="7" s="1"/>
  <c r="S211" i="7"/>
  <c r="Q212" i="7"/>
  <c r="R212" i="7" s="1"/>
  <c r="S212" i="7"/>
  <c r="Q213" i="7"/>
  <c r="R213" i="7" s="1"/>
  <c r="S213" i="7"/>
  <c r="Q214" i="7"/>
  <c r="R214" i="7" s="1"/>
  <c r="S214" i="7"/>
  <c r="Q215" i="7"/>
  <c r="R215" i="7" s="1"/>
  <c r="S215" i="7"/>
  <c r="Q216" i="7"/>
  <c r="R216" i="7" s="1"/>
  <c r="S216" i="7"/>
  <c r="Q217" i="7"/>
  <c r="R217" i="7" s="1"/>
  <c r="S217" i="7"/>
  <c r="Q218" i="7"/>
  <c r="R218" i="7" s="1"/>
  <c r="S218" i="7"/>
  <c r="Q219" i="7"/>
  <c r="R219" i="7" s="1"/>
  <c r="S219" i="7"/>
  <c r="Q220" i="7"/>
  <c r="R220" i="7" s="1"/>
  <c r="S220" i="7"/>
  <c r="Q221" i="7"/>
  <c r="R221" i="7" s="1"/>
  <c r="S221" i="7"/>
  <c r="Q222" i="7"/>
  <c r="R222" i="7" s="1"/>
  <c r="S222" i="7"/>
  <c r="Q223" i="7"/>
  <c r="R223" i="7" s="1"/>
  <c r="S223" i="7"/>
  <c r="Q224" i="7"/>
  <c r="R224" i="7" s="1"/>
  <c r="S224" i="7"/>
  <c r="Q225" i="7"/>
  <c r="R225" i="7" s="1"/>
  <c r="S225" i="7"/>
  <c r="Q226" i="7"/>
  <c r="R226" i="7" s="1"/>
  <c r="S226" i="7"/>
  <c r="Q227" i="7"/>
  <c r="R227" i="7" s="1"/>
  <c r="S227" i="7"/>
  <c r="Q228" i="7"/>
  <c r="R228" i="7" s="1"/>
  <c r="S228" i="7"/>
  <c r="Q229" i="7"/>
  <c r="R229" i="7" s="1"/>
  <c r="S229" i="7"/>
  <c r="Q36" i="7"/>
  <c r="R36" i="7" s="1"/>
  <c r="Q35" i="7"/>
  <c r="R35" i="7" s="1"/>
  <c r="S36" i="7"/>
  <c r="S35" i="7"/>
  <c r="S29" i="7"/>
  <c r="S19" i="7"/>
  <c r="R19" i="7"/>
  <c r="Q19" i="7"/>
  <c r="F233" i="7"/>
  <c r="E233" i="7"/>
  <c r="F232" i="7"/>
  <c r="E232" i="7"/>
  <c r="F231" i="7"/>
  <c r="E231" i="7"/>
  <c r="F230" i="7"/>
  <c r="E230" i="7"/>
  <c r="F229" i="7"/>
  <c r="E229" i="7"/>
  <c r="F228" i="7"/>
  <c r="E228" i="7"/>
  <c r="F227" i="7"/>
  <c r="E227" i="7"/>
  <c r="F226" i="7"/>
  <c r="E226" i="7"/>
  <c r="F225" i="7"/>
  <c r="E225" i="7"/>
  <c r="F224" i="7"/>
  <c r="E224" i="7"/>
  <c r="F223" i="7"/>
  <c r="E223" i="7"/>
  <c r="F222" i="7"/>
  <c r="E222" i="7"/>
  <c r="F221" i="7"/>
  <c r="E221" i="7"/>
  <c r="F220" i="7"/>
  <c r="E220" i="7"/>
  <c r="F219" i="7"/>
  <c r="E219" i="7"/>
  <c r="F218" i="7"/>
  <c r="E218" i="7"/>
  <c r="F217" i="7"/>
  <c r="E217" i="7"/>
  <c r="F216" i="7"/>
  <c r="E216" i="7"/>
  <c r="F215" i="7"/>
  <c r="E215" i="7"/>
  <c r="F214" i="7"/>
  <c r="E214" i="7"/>
  <c r="F213" i="7"/>
  <c r="E213" i="7"/>
  <c r="F212" i="7"/>
  <c r="E212" i="7"/>
  <c r="F211" i="7"/>
  <c r="E211" i="7"/>
  <c r="F210" i="7"/>
  <c r="E210" i="7"/>
  <c r="F209" i="7"/>
  <c r="E209" i="7"/>
  <c r="F208" i="7"/>
  <c r="E208" i="7"/>
  <c r="F207" i="7"/>
  <c r="E207" i="7"/>
  <c r="F206" i="7"/>
  <c r="E206" i="7"/>
  <c r="F205" i="7"/>
  <c r="E205" i="7"/>
  <c r="F204" i="7"/>
  <c r="E204" i="7"/>
  <c r="F203" i="7"/>
  <c r="E203" i="7"/>
  <c r="F202" i="7"/>
  <c r="E202" i="7"/>
  <c r="F201" i="7"/>
  <c r="E201" i="7"/>
  <c r="F200" i="7"/>
  <c r="E200" i="7"/>
  <c r="F199" i="7"/>
  <c r="E199" i="7"/>
  <c r="F198" i="7"/>
  <c r="E198" i="7"/>
  <c r="F197" i="7"/>
  <c r="E197" i="7"/>
  <c r="F196" i="7"/>
  <c r="E196" i="7"/>
  <c r="F195" i="7"/>
  <c r="E195" i="7"/>
  <c r="F194" i="7"/>
  <c r="E194" i="7"/>
  <c r="F193" i="7"/>
  <c r="E193" i="7"/>
  <c r="F192" i="7"/>
  <c r="E192" i="7"/>
  <c r="F191" i="7"/>
  <c r="E191" i="7"/>
  <c r="F190" i="7"/>
  <c r="E190" i="7"/>
  <c r="F189" i="7"/>
  <c r="E189" i="7"/>
  <c r="F188" i="7"/>
  <c r="E188" i="7"/>
  <c r="F187" i="7"/>
  <c r="E187" i="7"/>
  <c r="F186" i="7"/>
  <c r="E186" i="7"/>
  <c r="F185" i="7"/>
  <c r="E185" i="7"/>
  <c r="F184" i="7"/>
  <c r="E184" i="7"/>
  <c r="F183" i="7"/>
  <c r="E183" i="7"/>
  <c r="F182" i="7"/>
  <c r="E182" i="7"/>
  <c r="F181" i="7"/>
  <c r="E181" i="7"/>
  <c r="F180" i="7"/>
  <c r="E180" i="7"/>
  <c r="F179" i="7"/>
  <c r="E179" i="7"/>
  <c r="F178" i="7"/>
  <c r="E178" i="7"/>
  <c r="F177" i="7"/>
  <c r="E177" i="7"/>
  <c r="F176" i="7"/>
  <c r="E176" i="7"/>
  <c r="F175" i="7"/>
  <c r="E175" i="7"/>
  <c r="F174" i="7"/>
  <c r="E174" i="7"/>
  <c r="F173" i="7"/>
  <c r="E173" i="7"/>
  <c r="F172" i="7"/>
  <c r="E172" i="7"/>
  <c r="F171" i="7"/>
  <c r="E171" i="7"/>
  <c r="F170" i="7"/>
  <c r="E170" i="7"/>
  <c r="F169" i="7"/>
  <c r="E169" i="7"/>
  <c r="F168" i="7"/>
  <c r="E168" i="7"/>
  <c r="F167" i="7"/>
  <c r="E167" i="7"/>
  <c r="F166" i="7"/>
  <c r="E166" i="7"/>
  <c r="F165" i="7"/>
  <c r="E165" i="7"/>
  <c r="F164" i="7"/>
  <c r="E164" i="7"/>
  <c r="F163" i="7"/>
  <c r="E163" i="7"/>
  <c r="F162" i="7"/>
  <c r="E162" i="7"/>
  <c r="F161" i="7"/>
  <c r="E161" i="7"/>
  <c r="F160" i="7"/>
  <c r="E160" i="7"/>
  <c r="F159" i="7"/>
  <c r="E159" i="7"/>
  <c r="F158" i="7"/>
  <c r="E158" i="7"/>
  <c r="F157" i="7"/>
  <c r="E157" i="7"/>
  <c r="F156" i="7"/>
  <c r="E156" i="7"/>
  <c r="F155" i="7"/>
  <c r="E155" i="7"/>
  <c r="F154" i="7"/>
  <c r="E154" i="7"/>
  <c r="F153" i="7"/>
  <c r="E153" i="7"/>
  <c r="F152" i="7"/>
  <c r="E152" i="7"/>
  <c r="F151" i="7"/>
  <c r="E151" i="7"/>
  <c r="F150" i="7"/>
  <c r="E150" i="7"/>
  <c r="F149" i="7"/>
  <c r="E149" i="7"/>
  <c r="F148" i="7"/>
  <c r="E148" i="7"/>
  <c r="F147" i="7"/>
  <c r="E147" i="7"/>
  <c r="F146" i="7"/>
  <c r="E146" i="7"/>
  <c r="F145" i="7"/>
  <c r="E145" i="7"/>
  <c r="F144" i="7"/>
  <c r="E144" i="7"/>
  <c r="F143" i="7"/>
  <c r="E143" i="7"/>
  <c r="F142" i="7"/>
  <c r="E142" i="7"/>
  <c r="F141" i="7"/>
  <c r="E141" i="7"/>
  <c r="F140" i="7"/>
  <c r="E140" i="7"/>
  <c r="F139" i="7"/>
  <c r="E139" i="7"/>
  <c r="F138" i="7"/>
  <c r="E138" i="7"/>
  <c r="F137" i="7"/>
  <c r="E137" i="7"/>
  <c r="F136" i="7"/>
  <c r="E136" i="7"/>
  <c r="F135" i="7"/>
  <c r="E135" i="7"/>
  <c r="F134" i="7"/>
  <c r="E134" i="7"/>
  <c r="F133" i="7"/>
  <c r="E133" i="7"/>
  <c r="F132" i="7"/>
  <c r="E132" i="7"/>
  <c r="F131" i="7"/>
  <c r="E131" i="7"/>
  <c r="F130" i="7"/>
  <c r="E130" i="7"/>
  <c r="F129" i="7"/>
  <c r="E129" i="7"/>
  <c r="F128" i="7"/>
  <c r="E128" i="7"/>
  <c r="F127" i="7"/>
  <c r="E127" i="7"/>
  <c r="F126" i="7"/>
  <c r="E126" i="7"/>
  <c r="F125" i="7"/>
  <c r="E125" i="7"/>
  <c r="F124" i="7"/>
  <c r="E124" i="7"/>
  <c r="F123" i="7"/>
  <c r="E123" i="7"/>
  <c r="F122" i="7"/>
  <c r="E122" i="7"/>
  <c r="F121" i="7"/>
  <c r="E121" i="7"/>
  <c r="F120" i="7"/>
  <c r="E120" i="7"/>
  <c r="F119" i="7"/>
  <c r="E119" i="7"/>
  <c r="F118" i="7"/>
  <c r="E118" i="7"/>
  <c r="F117" i="7"/>
  <c r="E117" i="7"/>
  <c r="F116" i="7"/>
  <c r="E116" i="7"/>
  <c r="F115" i="7"/>
  <c r="E115" i="7"/>
  <c r="F114" i="7"/>
  <c r="E114" i="7"/>
  <c r="F113" i="7"/>
  <c r="E113" i="7"/>
  <c r="F112" i="7"/>
  <c r="E112" i="7"/>
  <c r="F111" i="7"/>
  <c r="E111" i="7"/>
  <c r="F110" i="7"/>
  <c r="E110" i="7"/>
  <c r="F109" i="7"/>
  <c r="E109" i="7"/>
  <c r="F108" i="7"/>
  <c r="E108" i="7"/>
  <c r="F107" i="7"/>
  <c r="E107" i="7"/>
  <c r="F106" i="7"/>
  <c r="E106" i="7"/>
  <c r="F105" i="7"/>
  <c r="E105" i="7"/>
  <c r="F104" i="7"/>
  <c r="E104" i="7"/>
  <c r="F103" i="7"/>
  <c r="E103" i="7"/>
  <c r="F102" i="7"/>
  <c r="E102" i="7"/>
  <c r="F101" i="7"/>
  <c r="E101" i="7"/>
  <c r="F100" i="7"/>
  <c r="E100" i="7"/>
  <c r="F99" i="7"/>
  <c r="E99" i="7"/>
  <c r="F98" i="7"/>
  <c r="E98" i="7"/>
  <c r="F97" i="7"/>
  <c r="E97" i="7"/>
  <c r="F96" i="7"/>
  <c r="E96" i="7"/>
  <c r="F95" i="7"/>
  <c r="E95" i="7"/>
  <c r="F94" i="7"/>
  <c r="E94" i="7"/>
  <c r="F93" i="7"/>
  <c r="E93" i="7"/>
  <c r="F92" i="7"/>
  <c r="E92" i="7"/>
  <c r="F91" i="7"/>
  <c r="E91" i="7"/>
  <c r="F90" i="7"/>
  <c r="E90" i="7"/>
  <c r="F89" i="7"/>
  <c r="E89" i="7"/>
  <c r="F88" i="7"/>
  <c r="E88" i="7"/>
  <c r="F87" i="7"/>
  <c r="E87" i="7"/>
  <c r="F86" i="7"/>
  <c r="E86" i="7"/>
  <c r="F85" i="7"/>
  <c r="E85" i="7"/>
  <c r="F84" i="7"/>
  <c r="E84" i="7"/>
  <c r="F83" i="7"/>
  <c r="E83" i="7"/>
  <c r="F82" i="7"/>
  <c r="E82" i="7"/>
  <c r="F81" i="7"/>
  <c r="E81" i="7"/>
  <c r="F80" i="7"/>
  <c r="E80" i="7"/>
  <c r="F79" i="7"/>
  <c r="E79" i="7"/>
  <c r="F78" i="7"/>
  <c r="E78" i="7"/>
  <c r="F77" i="7"/>
  <c r="E77" i="7"/>
  <c r="F76" i="7"/>
  <c r="E76" i="7"/>
  <c r="F75" i="7"/>
  <c r="E75" i="7"/>
  <c r="F74" i="7"/>
  <c r="E74" i="7"/>
  <c r="F73" i="7"/>
  <c r="E73" i="7"/>
  <c r="F72" i="7"/>
  <c r="E72" i="7"/>
  <c r="F71" i="7"/>
  <c r="E71" i="7"/>
  <c r="F70" i="7"/>
  <c r="E70" i="7"/>
  <c r="F69" i="7"/>
  <c r="E69" i="7"/>
  <c r="F68" i="7"/>
  <c r="E68" i="7"/>
  <c r="F67" i="7"/>
  <c r="E67" i="7"/>
  <c r="F66" i="7"/>
  <c r="E66" i="7"/>
  <c r="F65" i="7"/>
  <c r="E65" i="7"/>
  <c r="F64" i="7"/>
  <c r="E64" i="7"/>
  <c r="F63" i="7"/>
  <c r="E63" i="7"/>
  <c r="F62" i="7"/>
  <c r="E62" i="7"/>
  <c r="F61" i="7"/>
  <c r="E61" i="7"/>
  <c r="F60" i="7"/>
  <c r="E60" i="7"/>
  <c r="F59" i="7"/>
  <c r="E59" i="7"/>
  <c r="F58" i="7"/>
  <c r="E58" i="7"/>
  <c r="F57" i="7"/>
  <c r="E57" i="7"/>
  <c r="F56" i="7"/>
  <c r="E56" i="7"/>
  <c r="F55" i="7"/>
  <c r="E55" i="7"/>
  <c r="F54" i="7"/>
  <c r="E54" i="7"/>
  <c r="F53" i="7"/>
  <c r="E53" i="7"/>
  <c r="F52" i="7"/>
  <c r="E52" i="7"/>
  <c r="F51" i="7"/>
  <c r="E51" i="7"/>
  <c r="F50" i="7"/>
  <c r="E50" i="7"/>
  <c r="F49" i="7"/>
  <c r="E49" i="7"/>
  <c r="F48" i="7"/>
  <c r="E48" i="7"/>
  <c r="F47" i="7"/>
  <c r="E47" i="7"/>
  <c r="F46" i="7"/>
  <c r="E46" i="7"/>
  <c r="F45" i="7"/>
  <c r="E45" i="7"/>
  <c r="F44" i="7"/>
  <c r="E44" i="7"/>
  <c r="F43" i="7"/>
  <c r="E43" i="7"/>
  <c r="F42" i="7"/>
  <c r="E42" i="7"/>
  <c r="F41" i="7"/>
  <c r="E41" i="7"/>
  <c r="F40" i="7"/>
  <c r="E40" i="7"/>
  <c r="F39" i="7"/>
  <c r="E39" i="7"/>
  <c r="F38" i="7"/>
  <c r="E38" i="7"/>
  <c r="F37" i="7"/>
  <c r="E37" i="7"/>
  <c r="F36" i="7"/>
  <c r="E36" i="7"/>
  <c r="F35" i="7"/>
  <c r="E35" i="7"/>
  <c r="F34" i="7"/>
  <c r="E34" i="7"/>
  <c r="F33" i="7"/>
  <c r="E33" i="7"/>
  <c r="F32" i="7"/>
  <c r="E32" i="7"/>
  <c r="F31" i="7"/>
  <c r="E31" i="7"/>
  <c r="F30" i="7"/>
  <c r="E30" i="7"/>
  <c r="F29" i="7"/>
  <c r="E29" i="7"/>
  <c r="F28" i="7"/>
  <c r="E28" i="7"/>
  <c r="F27" i="7"/>
  <c r="E27" i="7"/>
  <c r="F26" i="7"/>
  <c r="E26" i="7"/>
  <c r="F25" i="7"/>
  <c r="E25" i="7"/>
  <c r="F24" i="7"/>
  <c r="E24" i="7"/>
  <c r="F23" i="7"/>
  <c r="E23" i="7"/>
  <c r="F22" i="7"/>
  <c r="E22" i="7"/>
  <c r="F21" i="7"/>
  <c r="E21" i="7"/>
  <c r="O20" i="7"/>
  <c r="N20" i="7"/>
  <c r="M20" i="7"/>
  <c r="L20" i="7"/>
  <c r="K20" i="7"/>
  <c r="J20" i="7"/>
  <c r="A20" i="7"/>
  <c r="M19" i="7"/>
  <c r="AH19" i="10" l="1"/>
  <c r="AM18" i="10"/>
  <c r="AL19" i="10"/>
  <c r="AN18" i="10"/>
  <c r="P27" i="9"/>
  <c r="Z27" i="9" s="1"/>
  <c r="AB26" i="9"/>
  <c r="W26" i="9"/>
  <c r="R106" i="9"/>
  <c r="S105" i="9"/>
  <c r="S74" i="9"/>
  <c r="R75" i="9"/>
  <c r="X28" i="9"/>
  <c r="S26" i="9"/>
  <c r="H230" i="7"/>
  <c r="I230" i="7" s="1"/>
  <c r="H232" i="7"/>
  <c r="H233" i="7"/>
  <c r="H231" i="7"/>
  <c r="H164" i="7"/>
  <c r="H93" i="7"/>
  <c r="H99" i="7"/>
  <c r="T99" i="7" s="1"/>
  <c r="H117" i="7"/>
  <c r="H141" i="7"/>
  <c r="H213" i="7"/>
  <c r="H162" i="7"/>
  <c r="T162" i="7" s="1"/>
  <c r="H181" i="7"/>
  <c r="T181" i="7" s="1"/>
  <c r="H95" i="7"/>
  <c r="T95" i="7" s="1"/>
  <c r="H96" i="7"/>
  <c r="T96" i="7" s="1"/>
  <c r="H63" i="7"/>
  <c r="T63" i="7" s="1"/>
  <c r="H50" i="7"/>
  <c r="H92" i="7"/>
  <c r="T92" i="7" s="1"/>
  <c r="H98" i="7"/>
  <c r="T98" i="7" s="1"/>
  <c r="H200" i="7"/>
  <c r="T200" i="7" s="1"/>
  <c r="H68" i="7"/>
  <c r="H137" i="7"/>
  <c r="H29" i="7"/>
  <c r="H35" i="7"/>
  <c r="T35" i="7" s="1"/>
  <c r="H41" i="7"/>
  <c r="H149" i="7"/>
  <c r="T149" i="7" s="1"/>
  <c r="H64" i="7"/>
  <c r="H146" i="7"/>
  <c r="H30" i="7"/>
  <c r="H36" i="7"/>
  <c r="T36" i="7" s="1"/>
  <c r="H53" i="7"/>
  <c r="T53" i="7" s="1"/>
  <c r="H188" i="7"/>
  <c r="H217" i="7"/>
  <c r="H182" i="7"/>
  <c r="H61" i="7"/>
  <c r="H201" i="7"/>
  <c r="H125" i="7"/>
  <c r="T125" i="7" s="1"/>
  <c r="H143" i="7"/>
  <c r="H185" i="7"/>
  <c r="H226" i="7"/>
  <c r="T226" i="7" s="1"/>
  <c r="H39" i="7"/>
  <c r="H126" i="7"/>
  <c r="H151" i="7"/>
  <c r="T151" i="7" s="1"/>
  <c r="H89" i="7"/>
  <c r="H195" i="7"/>
  <c r="H225" i="7"/>
  <c r="H27" i="7"/>
  <c r="T27" i="7" s="1"/>
  <c r="H32" i="7"/>
  <c r="H46" i="7"/>
  <c r="H123" i="7"/>
  <c r="T123" i="7" s="1"/>
  <c r="H168" i="7"/>
  <c r="T168" i="7" s="1"/>
  <c r="H178" i="7"/>
  <c r="T178" i="7" s="1"/>
  <c r="H187" i="7"/>
  <c r="H196" i="7"/>
  <c r="T196" i="7" s="1"/>
  <c r="H207" i="7"/>
  <c r="H220" i="7"/>
  <c r="H37" i="7"/>
  <c r="H52" i="7"/>
  <c r="H65" i="7"/>
  <c r="H174" i="7"/>
  <c r="H212" i="7"/>
  <c r="H28" i="7"/>
  <c r="T28" i="7" s="1"/>
  <c r="H48" i="7"/>
  <c r="H111" i="7"/>
  <c r="T111" i="7" s="1"/>
  <c r="H124" i="7"/>
  <c r="H150" i="7"/>
  <c r="T150" i="7" s="1"/>
  <c r="H154" i="7"/>
  <c r="H47" i="7"/>
  <c r="H24" i="7"/>
  <c r="H58" i="7"/>
  <c r="H155" i="7"/>
  <c r="H199" i="7"/>
  <c r="H22" i="7"/>
  <c r="H78" i="7"/>
  <c r="H108" i="7"/>
  <c r="H148" i="7"/>
  <c r="H219" i="7"/>
  <c r="H227" i="7"/>
  <c r="H25" i="7"/>
  <c r="H129" i="7"/>
  <c r="H194" i="7"/>
  <c r="T194" i="7" s="1"/>
  <c r="H205" i="7"/>
  <c r="T205" i="7" s="1"/>
  <c r="H81" i="7"/>
  <c r="H110" i="7"/>
  <c r="H118" i="7"/>
  <c r="H140" i="7"/>
  <c r="H214" i="7"/>
  <c r="H31" i="7"/>
  <c r="H43" i="7"/>
  <c r="H40" i="7"/>
  <c r="H56" i="7"/>
  <c r="H45" i="7"/>
  <c r="H44" i="7"/>
  <c r="H38" i="7"/>
  <c r="H51" i="7"/>
  <c r="H57" i="7"/>
  <c r="H54" i="7"/>
  <c r="H55" i="7"/>
  <c r="H62" i="7"/>
  <c r="H69" i="7"/>
  <c r="H76" i="7"/>
  <c r="H77" i="7"/>
  <c r="H71" i="7"/>
  <c r="T71" i="7" s="1"/>
  <c r="H70" i="7"/>
  <c r="T70" i="7" s="1"/>
  <c r="H33" i="7"/>
  <c r="H34" i="7"/>
  <c r="H23" i="7"/>
  <c r="H26" i="7"/>
  <c r="H42" i="7"/>
  <c r="T42" i="7" s="1"/>
  <c r="H49" i="7"/>
  <c r="H59" i="7"/>
  <c r="H85" i="7"/>
  <c r="H84" i="7"/>
  <c r="T84" i="7" s="1"/>
  <c r="H67" i="7"/>
  <c r="H66" i="7"/>
  <c r="H74" i="7"/>
  <c r="H73" i="7"/>
  <c r="T73" i="7" s="1"/>
  <c r="H87" i="7"/>
  <c r="H75" i="7"/>
  <c r="T75" i="7" s="1"/>
  <c r="H80" i="7"/>
  <c r="H83" i="7"/>
  <c r="H60" i="7"/>
  <c r="T60" i="7" s="1"/>
  <c r="H86" i="7"/>
  <c r="T86" i="7" s="1"/>
  <c r="H90" i="7"/>
  <c r="H91" i="7"/>
  <c r="T91" i="7" s="1"/>
  <c r="H97" i="7"/>
  <c r="H82" i="7"/>
  <c r="T82" i="7" s="1"/>
  <c r="H114" i="7"/>
  <c r="H130" i="7"/>
  <c r="H112" i="7"/>
  <c r="T112" i="7" s="1"/>
  <c r="H135" i="7"/>
  <c r="H136" i="7"/>
  <c r="H101" i="7"/>
  <c r="H102" i="7"/>
  <c r="H88" i="7"/>
  <c r="H79" i="7"/>
  <c r="T79" i="7" s="1"/>
  <c r="H104" i="7"/>
  <c r="H103" i="7"/>
  <c r="T103" i="7" s="1"/>
  <c r="H145" i="7"/>
  <c r="H144" i="7"/>
  <c r="H100" i="7"/>
  <c r="H72" i="7"/>
  <c r="T72" i="7" s="1"/>
  <c r="H94" i="7"/>
  <c r="H160" i="7"/>
  <c r="H113" i="7"/>
  <c r="H122" i="7"/>
  <c r="T122" i="7" s="1"/>
  <c r="H121" i="7"/>
  <c r="T121" i="7" s="1"/>
  <c r="H105" i="7"/>
  <c r="H116" i="7"/>
  <c r="H115" i="7"/>
  <c r="H119" i="7"/>
  <c r="H134" i="7"/>
  <c r="H106" i="7"/>
  <c r="H107" i="7"/>
  <c r="H138" i="7"/>
  <c r="H142" i="7"/>
  <c r="T142" i="7" s="1"/>
  <c r="H109" i="7"/>
  <c r="T109" i="7" s="1"/>
  <c r="H127" i="7"/>
  <c r="T127" i="7" s="1"/>
  <c r="H133" i="7"/>
  <c r="H132" i="7"/>
  <c r="H120" i="7"/>
  <c r="H128" i="7"/>
  <c r="H147" i="7"/>
  <c r="H153" i="7"/>
  <c r="H152" i="7"/>
  <c r="H173" i="7"/>
  <c r="H172" i="7"/>
  <c r="T172" i="7" s="1"/>
  <c r="H157" i="7"/>
  <c r="H156" i="7"/>
  <c r="T156" i="7" s="1"/>
  <c r="H139" i="7"/>
  <c r="H208" i="7"/>
  <c r="T208" i="7" s="1"/>
  <c r="H166" i="7"/>
  <c r="H197" i="7"/>
  <c r="T197" i="7" s="1"/>
  <c r="H131" i="7"/>
  <c r="T131" i="7" s="1"/>
  <c r="H158" i="7"/>
  <c r="H183" i="7"/>
  <c r="H161" i="7"/>
  <c r="H192" i="7"/>
  <c r="H180" i="7"/>
  <c r="T180" i="7" s="1"/>
  <c r="H179" i="7"/>
  <c r="H169" i="7"/>
  <c r="H170" i="7"/>
  <c r="T170" i="7" s="1"/>
  <c r="H175" i="7"/>
  <c r="H189" i="7"/>
  <c r="H190" i="7"/>
  <c r="T190" i="7" s="1"/>
  <c r="H163" i="7"/>
  <c r="H171" i="7"/>
  <c r="H176" i="7"/>
  <c r="H191" i="7"/>
  <c r="H224" i="7"/>
  <c r="H223" i="7"/>
  <c r="H165" i="7"/>
  <c r="H167" i="7"/>
  <c r="H177" i="7"/>
  <c r="H159" i="7"/>
  <c r="T159" i="7" s="1"/>
  <c r="H210" i="7"/>
  <c r="H184" i="7"/>
  <c r="H186" i="7"/>
  <c r="H202" i="7"/>
  <c r="T202" i="7" s="1"/>
  <c r="H204" i="7"/>
  <c r="H193" i="7"/>
  <c r="T193" i="7" s="1"/>
  <c r="H211" i="7"/>
  <c r="T211" i="7" s="1"/>
  <c r="H216" i="7"/>
  <c r="H228" i="7"/>
  <c r="H229" i="7"/>
  <c r="H218" i="7"/>
  <c r="H221" i="7"/>
  <c r="H222" i="7"/>
  <c r="T222" i="7" s="1"/>
  <c r="H209" i="7"/>
  <c r="H203" i="7"/>
  <c r="T203" i="7" s="1"/>
  <c r="H206" i="7"/>
  <c r="H215" i="7"/>
  <c r="H198" i="7"/>
  <c r="AH20" i="10" l="1"/>
  <c r="AM19" i="10"/>
  <c r="AL20" i="10"/>
  <c r="AN19" i="10"/>
  <c r="T230" i="7"/>
  <c r="W27" i="9"/>
  <c r="P28" i="9"/>
  <c r="Z28" i="9" s="1"/>
  <c r="AB27" i="9"/>
  <c r="X29" i="9"/>
  <c r="S75" i="9"/>
  <c r="R76" i="9"/>
  <c r="R107" i="9"/>
  <c r="S106" i="9"/>
  <c r="S27" i="9"/>
  <c r="I231" i="7"/>
  <c r="T231" i="7"/>
  <c r="W230" i="7"/>
  <c r="X230" i="7" s="1"/>
  <c r="U230" i="7"/>
  <c r="V230" i="7" s="1"/>
  <c r="Z230" i="7"/>
  <c r="J230" i="7"/>
  <c r="L230" i="7"/>
  <c r="K230" i="7"/>
  <c r="I233" i="7"/>
  <c r="T233" i="7"/>
  <c r="T232" i="7"/>
  <c r="I232" i="7"/>
  <c r="I31" i="7"/>
  <c r="T31" i="7"/>
  <c r="U28" i="7"/>
  <c r="V28" i="7" s="1"/>
  <c r="Z28" i="7"/>
  <c r="W28" i="7"/>
  <c r="X28" i="7" s="1"/>
  <c r="I26" i="7"/>
  <c r="T26" i="7"/>
  <c r="I32" i="7"/>
  <c r="J32" i="7" s="1"/>
  <c r="T32" i="7"/>
  <c r="I34" i="7"/>
  <c r="K34" i="7" s="1"/>
  <c r="T34" i="7"/>
  <c r="W27" i="7"/>
  <c r="X27" i="7" s="1"/>
  <c r="U27" i="7"/>
  <c r="V27" i="7" s="1"/>
  <c r="Z27" i="7"/>
  <c r="I33" i="7"/>
  <c r="T33" i="7"/>
  <c r="I24" i="7"/>
  <c r="J24" i="7" s="1"/>
  <c r="T24" i="7"/>
  <c r="I25" i="7"/>
  <c r="J25" i="7" s="1"/>
  <c r="T25" i="7"/>
  <c r="U79" i="7"/>
  <c r="V79" i="7" s="1"/>
  <c r="W79" i="7"/>
  <c r="Z79" i="7"/>
  <c r="W226" i="7"/>
  <c r="X226" i="7" s="1"/>
  <c r="U226" i="7"/>
  <c r="Z226" i="7"/>
  <c r="U60" i="7"/>
  <c r="V60" i="7" s="1"/>
  <c r="W60" i="7"/>
  <c r="X60" i="7" s="1"/>
  <c r="Z60" i="7"/>
  <c r="W142" i="7"/>
  <c r="X142" i="7" s="1"/>
  <c r="U142" i="7"/>
  <c r="V142" i="7" s="1"/>
  <c r="Z142" i="7"/>
  <c r="U125" i="7"/>
  <c r="V125" i="7" s="1"/>
  <c r="W125" i="7"/>
  <c r="X125" i="7" s="1"/>
  <c r="Z125" i="7"/>
  <c r="U181" i="7"/>
  <c r="V181" i="7" s="1"/>
  <c r="Z181" i="7"/>
  <c r="W181" i="7"/>
  <c r="U86" i="7"/>
  <c r="V86" i="7" s="1"/>
  <c r="W86" i="7"/>
  <c r="X86" i="7" s="1"/>
  <c r="Z86" i="7"/>
  <c r="Z127" i="7"/>
  <c r="U127" i="7"/>
  <c r="V127" i="7" s="1"/>
  <c r="W127" i="7"/>
  <c r="W95" i="7"/>
  <c r="X95" i="7" s="1"/>
  <c r="Z95" i="7"/>
  <c r="U95" i="7"/>
  <c r="V95" i="7" s="1"/>
  <c r="Z180" i="7"/>
  <c r="W180" i="7"/>
  <c r="X180" i="7" s="1"/>
  <c r="U180" i="7"/>
  <c r="V180" i="7" s="1"/>
  <c r="U172" i="7"/>
  <c r="W172" i="7"/>
  <c r="X172" i="7" s="1"/>
  <c r="Z172" i="7"/>
  <c r="U75" i="7"/>
  <c r="V75" i="7" s="1"/>
  <c r="W75" i="7"/>
  <c r="Z75" i="7"/>
  <c r="U35" i="7"/>
  <c r="V35" i="7" s="1"/>
  <c r="Z35" i="7"/>
  <c r="W35" i="7"/>
  <c r="X35" i="7" s="1"/>
  <c r="U162" i="7"/>
  <c r="V162" i="7" s="1"/>
  <c r="W162" i="7"/>
  <c r="X162" i="7" s="1"/>
  <c r="Z162" i="7"/>
  <c r="U159" i="7"/>
  <c r="W159" i="7"/>
  <c r="X159" i="7" s="1"/>
  <c r="Z159" i="7"/>
  <c r="U178" i="7"/>
  <c r="V178" i="7" s="1"/>
  <c r="Z178" i="7"/>
  <c r="W178" i="7"/>
  <c r="X178" i="7" s="1"/>
  <c r="U123" i="7"/>
  <c r="V123" i="7" s="1"/>
  <c r="W123" i="7"/>
  <c r="Z123" i="7"/>
  <c r="U72" i="7"/>
  <c r="V72" i="7" s="1"/>
  <c r="W72" i="7"/>
  <c r="X72" i="7" s="1"/>
  <c r="Z72" i="7"/>
  <c r="U121" i="7"/>
  <c r="V121" i="7" s="1"/>
  <c r="W121" i="7"/>
  <c r="Z121" i="7"/>
  <c r="U170" i="7"/>
  <c r="W170" i="7"/>
  <c r="X170" i="7" s="1"/>
  <c r="Z170" i="7"/>
  <c r="Z168" i="7"/>
  <c r="U168" i="7"/>
  <c r="V168" i="7" s="1"/>
  <c r="W168" i="7"/>
  <c r="X168" i="7" s="1"/>
  <c r="U149" i="7"/>
  <c r="V149" i="7" s="1"/>
  <c r="W149" i="7"/>
  <c r="X149" i="7" s="1"/>
  <c r="Z149" i="7"/>
  <c r="U211" i="7"/>
  <c r="W211" i="7"/>
  <c r="X211" i="7" s="1"/>
  <c r="Z211" i="7"/>
  <c r="U112" i="7"/>
  <c r="V112" i="7" s="1"/>
  <c r="W112" i="7"/>
  <c r="X112" i="7" s="1"/>
  <c r="Z112" i="7"/>
  <c r="U193" i="7"/>
  <c r="V193" i="7" s="1"/>
  <c r="Z193" i="7"/>
  <c r="W193" i="7"/>
  <c r="X193" i="7" s="1"/>
  <c r="U73" i="7"/>
  <c r="V73" i="7" s="1"/>
  <c r="W73" i="7"/>
  <c r="Z73" i="7"/>
  <c r="U205" i="7"/>
  <c r="Z205" i="7"/>
  <c r="W205" i="7"/>
  <c r="X205" i="7" s="1"/>
  <c r="U63" i="7"/>
  <c r="V63" i="7" s="1"/>
  <c r="W63" i="7"/>
  <c r="Z63" i="7"/>
  <c r="U156" i="7"/>
  <c r="V156" i="7" s="1"/>
  <c r="Z156" i="7"/>
  <c r="W156" i="7"/>
  <c r="X156" i="7" s="1"/>
  <c r="U203" i="7"/>
  <c r="V203" i="7" s="1"/>
  <c r="Z203" i="7"/>
  <c r="W203" i="7"/>
  <c r="X203" i="7" s="1"/>
  <c r="U70" i="7"/>
  <c r="W70" i="7"/>
  <c r="X70" i="7" s="1"/>
  <c r="Z70" i="7"/>
  <c r="U194" i="7"/>
  <c r="V194" i="7" s="1"/>
  <c r="Z194" i="7"/>
  <c r="W194" i="7"/>
  <c r="U96" i="7"/>
  <c r="V96" i="7" s="1"/>
  <c r="W96" i="7"/>
  <c r="X96" i="7" s="1"/>
  <c r="Z96" i="7"/>
  <c r="U42" i="7"/>
  <c r="V42" i="7" s="1"/>
  <c r="W42" i="7"/>
  <c r="X42" i="7" s="1"/>
  <c r="Z42" i="7"/>
  <c r="Z202" i="7"/>
  <c r="W202" i="7"/>
  <c r="X202" i="7" s="1"/>
  <c r="U202" i="7"/>
  <c r="V202" i="7" s="1"/>
  <c r="U82" i="7"/>
  <c r="V82" i="7" s="1"/>
  <c r="W82" i="7"/>
  <c r="X82" i="7" s="1"/>
  <c r="Z82" i="7"/>
  <c r="Z71" i="7"/>
  <c r="U71" i="7"/>
  <c r="V71" i="7" s="1"/>
  <c r="W71" i="7"/>
  <c r="X71" i="7" s="1"/>
  <c r="W200" i="7"/>
  <c r="Z200" i="7"/>
  <c r="U200" i="7"/>
  <c r="V200" i="7" s="1"/>
  <c r="U99" i="7"/>
  <c r="W99" i="7"/>
  <c r="Z99" i="7"/>
  <c r="U111" i="7"/>
  <c r="V111" i="7" s="1"/>
  <c r="W111" i="7"/>
  <c r="Z111" i="7"/>
  <c r="U222" i="7"/>
  <c r="V222" i="7" s="1"/>
  <c r="Z222" i="7"/>
  <c r="W222" i="7"/>
  <c r="X222" i="7" s="1"/>
  <c r="W103" i="7"/>
  <c r="U103" i="7"/>
  <c r="V103" i="7" s="1"/>
  <c r="Z103" i="7"/>
  <c r="U151" i="7"/>
  <c r="W151" i="7"/>
  <c r="X151" i="7" s="1"/>
  <c r="Z151" i="7"/>
  <c r="U53" i="7"/>
  <c r="V53" i="7" s="1"/>
  <c r="W53" i="7"/>
  <c r="Z53" i="7"/>
  <c r="U98" i="7"/>
  <c r="V98" i="7" s="1"/>
  <c r="W98" i="7"/>
  <c r="X98" i="7" s="1"/>
  <c r="Z98" i="7"/>
  <c r="U208" i="7"/>
  <c r="V208" i="7" s="1"/>
  <c r="W208" i="7"/>
  <c r="X208" i="7" s="1"/>
  <c r="Z208" i="7"/>
  <c r="U122" i="7"/>
  <c r="W122" i="7"/>
  <c r="X122" i="7" s="1"/>
  <c r="Z122" i="7"/>
  <c r="U109" i="7"/>
  <c r="V109" i="7" s="1"/>
  <c r="W109" i="7"/>
  <c r="Z109" i="7"/>
  <c r="Z131" i="7"/>
  <c r="U131" i="7"/>
  <c r="W131" i="7"/>
  <c r="X131" i="7" s="1"/>
  <c r="Z190" i="7"/>
  <c r="W190" i="7"/>
  <c r="X190" i="7" s="1"/>
  <c r="U190" i="7"/>
  <c r="V190" i="7" s="1"/>
  <c r="U197" i="7"/>
  <c r="V197" i="7" s="1"/>
  <c r="W197" i="7"/>
  <c r="Z197" i="7"/>
  <c r="U91" i="7"/>
  <c r="V91" i="7" s="1"/>
  <c r="Z91" i="7"/>
  <c r="W91" i="7"/>
  <c r="U84" i="7"/>
  <c r="V84" i="7" s="1"/>
  <c r="W84" i="7"/>
  <c r="X84" i="7" s="1"/>
  <c r="Z84" i="7"/>
  <c r="U150" i="7"/>
  <c r="V150" i="7" s="1"/>
  <c r="W150" i="7"/>
  <c r="Z150" i="7"/>
  <c r="U196" i="7"/>
  <c r="V196" i="7" s="1"/>
  <c r="W196" i="7"/>
  <c r="X196" i="7" s="1"/>
  <c r="Z196" i="7"/>
  <c r="U36" i="7"/>
  <c r="V36" i="7" s="1"/>
  <c r="W36" i="7"/>
  <c r="X36" i="7" s="1"/>
  <c r="Z36" i="7"/>
  <c r="U92" i="7"/>
  <c r="V92" i="7" s="1"/>
  <c r="W92" i="7"/>
  <c r="X92" i="7" s="1"/>
  <c r="Z92" i="7"/>
  <c r="T94" i="7"/>
  <c r="T110" i="7"/>
  <c r="T46" i="7"/>
  <c r="T183" i="7"/>
  <c r="X181" i="7"/>
  <c r="I56" i="7"/>
  <c r="L56" i="7" s="1"/>
  <c r="T56" i="7"/>
  <c r="I175" i="7"/>
  <c r="L175" i="7" s="1"/>
  <c r="I138" i="7"/>
  <c r="K138" i="7" s="1"/>
  <c r="I229" i="7"/>
  <c r="J229" i="7" s="1"/>
  <c r="I204" i="7"/>
  <c r="K204" i="7" s="1"/>
  <c r="T204" i="7"/>
  <c r="I165" i="7"/>
  <c r="L165" i="7" s="1"/>
  <c r="T165" i="7"/>
  <c r="I169" i="7"/>
  <c r="L169" i="7" s="1"/>
  <c r="I208" i="7"/>
  <c r="J208" i="7" s="1"/>
  <c r="I147" i="7"/>
  <c r="K147" i="7" s="1"/>
  <c r="I160" i="7"/>
  <c r="L160" i="7" s="1"/>
  <c r="T160" i="7"/>
  <c r="I88" i="7"/>
  <c r="L88" i="7" s="1"/>
  <c r="I85" i="7"/>
  <c r="L85" i="7" s="1"/>
  <c r="I71" i="7"/>
  <c r="J71" i="7" s="1"/>
  <c r="I45" i="7"/>
  <c r="J45" i="7" s="1"/>
  <c r="I81" i="7"/>
  <c r="J81" i="7" s="1"/>
  <c r="I155" i="7"/>
  <c r="J155" i="7" s="1"/>
  <c r="I65" i="7"/>
  <c r="L65" i="7" s="1"/>
  <c r="I61" i="7"/>
  <c r="L61" i="7" s="1"/>
  <c r="T29" i="7"/>
  <c r="I213" i="7"/>
  <c r="T81" i="7"/>
  <c r="T174" i="7"/>
  <c r="T119" i="7"/>
  <c r="I182" i="7"/>
  <c r="K182" i="7" s="1"/>
  <c r="T182" i="7"/>
  <c r="I224" i="7"/>
  <c r="J224" i="7" s="1"/>
  <c r="I139" i="7"/>
  <c r="L139" i="7" s="1"/>
  <c r="I120" i="7"/>
  <c r="K120" i="7" s="1"/>
  <c r="I106" i="7"/>
  <c r="K106" i="7" s="1"/>
  <c r="I77" i="7"/>
  <c r="J77" i="7" s="1"/>
  <c r="I40" i="7"/>
  <c r="K40" i="7" s="1"/>
  <c r="I194" i="7"/>
  <c r="K194" i="7" s="1"/>
  <c r="I37" i="7"/>
  <c r="K37" i="7" s="1"/>
  <c r="I195" i="7"/>
  <c r="K195" i="7" s="1"/>
  <c r="I217" i="7"/>
  <c r="L217" i="7" s="1"/>
  <c r="I68" i="7"/>
  <c r="L68" i="7" s="1"/>
  <c r="I117" i="7"/>
  <c r="K117" i="7" s="1"/>
  <c r="T67" i="7"/>
  <c r="T157" i="7"/>
  <c r="T113" i="7"/>
  <c r="T64" i="7"/>
  <c r="T65" i="7"/>
  <c r="T137" i="7"/>
  <c r="I223" i="7"/>
  <c r="K223" i="7" s="1"/>
  <c r="I52" i="7"/>
  <c r="K52" i="7" s="1"/>
  <c r="T215" i="7"/>
  <c r="I206" i="7"/>
  <c r="K206" i="7" s="1"/>
  <c r="I216" i="7"/>
  <c r="K216" i="7" s="1"/>
  <c r="T216" i="7"/>
  <c r="I191" i="7"/>
  <c r="L191" i="7" s="1"/>
  <c r="I179" i="7"/>
  <c r="L179" i="7" s="1"/>
  <c r="I134" i="7"/>
  <c r="L134" i="7" s="1"/>
  <c r="I72" i="7"/>
  <c r="J72" i="7" s="1"/>
  <c r="I102" i="7"/>
  <c r="K102" i="7" s="1"/>
  <c r="I83" i="7"/>
  <c r="L83" i="7" s="1"/>
  <c r="I76" i="7"/>
  <c r="K76" i="7" s="1"/>
  <c r="I43" i="7"/>
  <c r="K43" i="7" s="1"/>
  <c r="I129" i="7"/>
  <c r="J129" i="7" s="1"/>
  <c r="T129" i="7"/>
  <c r="I47" i="7"/>
  <c r="K47" i="7" s="1"/>
  <c r="I220" i="7"/>
  <c r="J220" i="7" s="1"/>
  <c r="I89" i="7"/>
  <c r="K89" i="7" s="1"/>
  <c r="I188" i="7"/>
  <c r="L188" i="7" s="1"/>
  <c r="T188" i="7"/>
  <c r="I200" i="7"/>
  <c r="I99" i="7"/>
  <c r="V99" i="7"/>
  <c r="T214" i="7"/>
  <c r="T51" i="7"/>
  <c r="T116" i="7"/>
  <c r="T85" i="7"/>
  <c r="T213" i="7"/>
  <c r="T68" i="7"/>
  <c r="T179" i="7"/>
  <c r="T74" i="7"/>
  <c r="T40" i="7"/>
  <c r="T41" i="7"/>
  <c r="T169" i="7"/>
  <c r="I225" i="7"/>
  <c r="L225" i="7" s="1"/>
  <c r="I176" i="7"/>
  <c r="J176" i="7" s="1"/>
  <c r="T176" i="7"/>
  <c r="I180" i="7"/>
  <c r="K180" i="7" s="1"/>
  <c r="I132" i="7"/>
  <c r="L132" i="7" s="1"/>
  <c r="T132" i="7"/>
  <c r="I119" i="7"/>
  <c r="L119" i="7" s="1"/>
  <c r="I101" i="7"/>
  <c r="K101" i="7" s="1"/>
  <c r="I80" i="7"/>
  <c r="J80" i="7" s="1"/>
  <c r="T80" i="7"/>
  <c r="I59" i="7"/>
  <c r="J59" i="7" s="1"/>
  <c r="I69" i="7"/>
  <c r="L69" i="7" s="1"/>
  <c r="I154" i="7"/>
  <c r="K154" i="7" s="1"/>
  <c r="I207" i="7"/>
  <c r="L207" i="7" s="1"/>
  <c r="I151" i="7"/>
  <c r="K151" i="7" s="1"/>
  <c r="V151" i="7"/>
  <c r="I53" i="7"/>
  <c r="L53" i="7" s="1"/>
  <c r="I98" i="7"/>
  <c r="I93" i="7"/>
  <c r="T139" i="7"/>
  <c r="T107" i="7"/>
  <c r="T59" i="7"/>
  <c r="T47" i="7"/>
  <c r="T134" i="7"/>
  <c r="T207" i="7"/>
  <c r="T191" i="7"/>
  <c r="X194" i="7"/>
  <c r="I128" i="7"/>
  <c r="K128" i="7" s="1"/>
  <c r="I58" i="7"/>
  <c r="K58" i="7" s="1"/>
  <c r="I209" i="7"/>
  <c r="L209" i="7" s="1"/>
  <c r="I171" i="7"/>
  <c r="K171" i="7" s="1"/>
  <c r="I192" i="7"/>
  <c r="L192" i="7" s="1"/>
  <c r="I133" i="7"/>
  <c r="L133" i="7" s="1"/>
  <c r="I115" i="7"/>
  <c r="K115" i="7" s="1"/>
  <c r="I136" i="7"/>
  <c r="J136" i="7" s="1"/>
  <c r="I114" i="7"/>
  <c r="L114" i="7" s="1"/>
  <c r="T114" i="7"/>
  <c r="I75" i="7"/>
  <c r="L75" i="7" s="1"/>
  <c r="I49" i="7"/>
  <c r="J49" i="7" s="1"/>
  <c r="I62" i="7"/>
  <c r="J62" i="7" s="1"/>
  <c r="I227" i="7"/>
  <c r="L227" i="7" s="1"/>
  <c r="T227" i="7"/>
  <c r="I150" i="7"/>
  <c r="K150" i="7" s="1"/>
  <c r="I196" i="7"/>
  <c r="I126" i="7"/>
  <c r="K126" i="7" s="1"/>
  <c r="T126" i="7"/>
  <c r="I36" i="7"/>
  <c r="K36" i="7" s="1"/>
  <c r="I92" i="7"/>
  <c r="K92" i="7" s="1"/>
  <c r="T93" i="7"/>
  <c r="T136" i="7"/>
  <c r="T83" i="7"/>
  <c r="T45" i="7"/>
  <c r="T217" i="7"/>
  <c r="T201" i="7"/>
  <c r="T100" i="7"/>
  <c r="T128" i="7"/>
  <c r="I202" i="7"/>
  <c r="L202" i="7" s="1"/>
  <c r="I137" i="7"/>
  <c r="K137" i="7" s="1"/>
  <c r="I184" i="7"/>
  <c r="K184" i="7" s="1"/>
  <c r="T184" i="7"/>
  <c r="I161" i="7"/>
  <c r="K161" i="7" s="1"/>
  <c r="I156" i="7"/>
  <c r="K156" i="7" s="1"/>
  <c r="I127" i="7"/>
  <c r="J127" i="7" s="1"/>
  <c r="I116" i="7"/>
  <c r="J116" i="7" s="1"/>
  <c r="I135" i="7"/>
  <c r="K135" i="7" s="1"/>
  <c r="I82" i="7"/>
  <c r="L82" i="7" s="1"/>
  <c r="I87" i="7"/>
  <c r="L87" i="7" s="1"/>
  <c r="I42" i="7"/>
  <c r="K42" i="7" s="1"/>
  <c r="I55" i="7"/>
  <c r="L55" i="7" s="1"/>
  <c r="I219" i="7"/>
  <c r="I124" i="7"/>
  <c r="J124" i="7" s="1"/>
  <c r="T124" i="7"/>
  <c r="I187" i="7"/>
  <c r="K187" i="7" s="1"/>
  <c r="I39" i="7"/>
  <c r="T39" i="7"/>
  <c r="T30" i="7"/>
  <c r="I50" i="7"/>
  <c r="L50" i="7" s="1"/>
  <c r="I164" i="7"/>
  <c r="T164" i="7"/>
  <c r="T138" i="7"/>
  <c r="T69" i="7"/>
  <c r="T187" i="7"/>
  <c r="T87" i="7"/>
  <c r="T106" i="7"/>
  <c r="T206" i="7"/>
  <c r="T186" i="7"/>
  <c r="I198" i="7"/>
  <c r="J198" i="7" s="1"/>
  <c r="I141" i="7"/>
  <c r="T141" i="7"/>
  <c r="I211" i="7"/>
  <c r="L211" i="7" s="1"/>
  <c r="V211" i="7"/>
  <c r="I210" i="7"/>
  <c r="J210" i="7" s="1"/>
  <c r="I190" i="7"/>
  <c r="L190" i="7" s="1"/>
  <c r="I183" i="7"/>
  <c r="K183" i="7" s="1"/>
  <c r="I157" i="7"/>
  <c r="L157" i="7" s="1"/>
  <c r="I109" i="7"/>
  <c r="K109" i="7" s="1"/>
  <c r="I144" i="7"/>
  <c r="L144" i="7" s="1"/>
  <c r="I112" i="7"/>
  <c r="L112" i="7" s="1"/>
  <c r="I97" i="7"/>
  <c r="K97" i="7" s="1"/>
  <c r="I73" i="7"/>
  <c r="K73" i="7" s="1"/>
  <c r="I54" i="7"/>
  <c r="K54" i="7" s="1"/>
  <c r="T54" i="7"/>
  <c r="I214" i="7"/>
  <c r="J214" i="7" s="1"/>
  <c r="I148" i="7"/>
  <c r="K148" i="7" s="1"/>
  <c r="I111" i="7"/>
  <c r="L111" i="7" s="1"/>
  <c r="I178" i="7"/>
  <c r="L178" i="7" s="1"/>
  <c r="I226" i="7"/>
  <c r="J226" i="7" s="1"/>
  <c r="V226" i="7"/>
  <c r="I146" i="7"/>
  <c r="J146" i="7" s="1"/>
  <c r="T146" i="7"/>
  <c r="I63" i="7"/>
  <c r="J63" i="7" s="1"/>
  <c r="T115" i="7"/>
  <c r="T161" i="7"/>
  <c r="T209" i="7"/>
  <c r="T133" i="7"/>
  <c r="T76" i="7"/>
  <c r="T192" i="7"/>
  <c r="T101" i="7"/>
  <c r="T155" i="7"/>
  <c r="T220" i="7"/>
  <c r="I222" i="7"/>
  <c r="K222" i="7" s="1"/>
  <c r="I193" i="7"/>
  <c r="J193" i="7" s="1"/>
  <c r="I189" i="7"/>
  <c r="K189" i="7" s="1"/>
  <c r="T189" i="7"/>
  <c r="I158" i="7"/>
  <c r="L158" i="7" s="1"/>
  <c r="T158" i="7"/>
  <c r="I172" i="7"/>
  <c r="J172" i="7" s="1"/>
  <c r="V172" i="7"/>
  <c r="I105" i="7"/>
  <c r="L105" i="7" s="1"/>
  <c r="I145" i="7"/>
  <c r="L145" i="7" s="1"/>
  <c r="I91" i="7"/>
  <c r="K91" i="7" s="1"/>
  <c r="I74" i="7"/>
  <c r="K74" i="7" s="1"/>
  <c r="I23" i="7"/>
  <c r="L23" i="7" s="1"/>
  <c r="T23" i="7"/>
  <c r="I57" i="7"/>
  <c r="L57" i="7" s="1"/>
  <c r="I140" i="7"/>
  <c r="J140" i="7" s="1"/>
  <c r="T140" i="7"/>
  <c r="I108" i="7"/>
  <c r="L108" i="7" s="1"/>
  <c r="I48" i="7"/>
  <c r="J48" i="7" s="1"/>
  <c r="I168" i="7"/>
  <c r="K168" i="7" s="1"/>
  <c r="I185" i="7"/>
  <c r="K185" i="7" s="1"/>
  <c r="I64" i="7"/>
  <c r="K64" i="7" s="1"/>
  <c r="I96" i="7"/>
  <c r="J96" i="7" s="1"/>
  <c r="T171" i="7"/>
  <c r="T147" i="7"/>
  <c r="T163" i="7"/>
  <c r="T223" i="7"/>
  <c r="T108" i="7"/>
  <c r="T135" i="7"/>
  <c r="T120" i="7"/>
  <c r="T55" i="7"/>
  <c r="T210" i="7"/>
  <c r="T185" i="7"/>
  <c r="T224" i="7"/>
  <c r="I107" i="7"/>
  <c r="K107" i="7" s="1"/>
  <c r="I205" i="7"/>
  <c r="L205" i="7" s="1"/>
  <c r="V205" i="7"/>
  <c r="I218" i="7"/>
  <c r="L218" i="7" s="1"/>
  <c r="I159" i="7"/>
  <c r="J159" i="7" s="1"/>
  <c r="V159" i="7"/>
  <c r="I131" i="7"/>
  <c r="L131" i="7" s="1"/>
  <c r="V131" i="7"/>
  <c r="I173" i="7"/>
  <c r="J173" i="7" s="1"/>
  <c r="T173" i="7"/>
  <c r="I142" i="7"/>
  <c r="L142" i="7" s="1"/>
  <c r="I121" i="7"/>
  <c r="J121" i="7" s="1"/>
  <c r="I103" i="7"/>
  <c r="K103" i="7" s="1"/>
  <c r="I90" i="7"/>
  <c r="J90" i="7" s="1"/>
  <c r="I66" i="7"/>
  <c r="L66" i="7" s="1"/>
  <c r="T66" i="7"/>
  <c r="I51" i="7"/>
  <c r="L51" i="7" s="1"/>
  <c r="I118" i="7"/>
  <c r="L118" i="7" s="1"/>
  <c r="I78" i="7"/>
  <c r="L78" i="7" s="1"/>
  <c r="T78" i="7"/>
  <c r="I123" i="7"/>
  <c r="I143" i="7"/>
  <c r="I149" i="7"/>
  <c r="J149" i="7" s="1"/>
  <c r="I95" i="7"/>
  <c r="K95" i="7" s="1"/>
  <c r="T57" i="7"/>
  <c r="T117" i="7"/>
  <c r="T43" i="7"/>
  <c r="T175" i="7"/>
  <c r="T229" i="7"/>
  <c r="T118" i="7"/>
  <c r="T225" i="7"/>
  <c r="T144" i="7"/>
  <c r="T58" i="7"/>
  <c r="T77" i="7"/>
  <c r="T221" i="7"/>
  <c r="T61" i="7"/>
  <c r="T198" i="7"/>
  <c r="I228" i="7"/>
  <c r="K228" i="7" s="1"/>
  <c r="T228" i="7"/>
  <c r="I197" i="7"/>
  <c r="J197" i="7" s="1"/>
  <c r="I122" i="7"/>
  <c r="L122" i="7" s="1"/>
  <c r="V122" i="7"/>
  <c r="I104" i="7"/>
  <c r="J104" i="7" s="1"/>
  <c r="T104" i="7"/>
  <c r="I130" i="7"/>
  <c r="L130" i="7" s="1"/>
  <c r="I86" i="7"/>
  <c r="L86" i="7" s="1"/>
  <c r="I67" i="7"/>
  <c r="K67" i="7" s="1"/>
  <c r="I38" i="7"/>
  <c r="L38" i="7" s="1"/>
  <c r="T38" i="7"/>
  <c r="I110" i="7"/>
  <c r="K110" i="7" s="1"/>
  <c r="I22" i="7"/>
  <c r="J22" i="7" s="1"/>
  <c r="M22" i="7" s="1"/>
  <c r="T22" i="7"/>
  <c r="I212" i="7"/>
  <c r="K212" i="7" s="1"/>
  <c r="T212" i="7"/>
  <c r="I46" i="7"/>
  <c r="L46" i="7" s="1"/>
  <c r="I125" i="7"/>
  <c r="L125" i="7" s="1"/>
  <c r="I41" i="7"/>
  <c r="L41" i="7" s="1"/>
  <c r="I181" i="7"/>
  <c r="T130" i="7"/>
  <c r="T50" i="7"/>
  <c r="T145" i="7"/>
  <c r="T90" i="7"/>
  <c r="T37" i="7"/>
  <c r="X127" i="7"/>
  <c r="T102" i="7"/>
  <c r="T218" i="7"/>
  <c r="T62" i="7"/>
  <c r="T148" i="7"/>
  <c r="T143" i="7"/>
  <c r="I177" i="7"/>
  <c r="L177" i="7" s="1"/>
  <c r="T177" i="7"/>
  <c r="I152" i="7"/>
  <c r="K152" i="7" s="1"/>
  <c r="T152" i="7"/>
  <c r="I167" i="7"/>
  <c r="J167" i="7" s="1"/>
  <c r="I170" i="7"/>
  <c r="L170" i="7" s="1"/>
  <c r="V170" i="7"/>
  <c r="I166" i="7"/>
  <c r="K166" i="7" s="1"/>
  <c r="I153" i="7"/>
  <c r="K153" i="7" s="1"/>
  <c r="T153" i="7"/>
  <c r="I113" i="7"/>
  <c r="J113" i="7" s="1"/>
  <c r="I79" i="7"/>
  <c r="L79" i="7" s="1"/>
  <c r="I60" i="7"/>
  <c r="L60" i="7" s="1"/>
  <c r="I84" i="7"/>
  <c r="K84" i="7" s="1"/>
  <c r="I70" i="7"/>
  <c r="K70" i="7" s="1"/>
  <c r="V70" i="7"/>
  <c r="I44" i="7"/>
  <c r="K44" i="7" s="1"/>
  <c r="T44" i="7"/>
  <c r="I199" i="7"/>
  <c r="K199" i="7" s="1"/>
  <c r="I174" i="7"/>
  <c r="L174" i="7" s="1"/>
  <c r="I201" i="7"/>
  <c r="L201" i="7" s="1"/>
  <c r="I35" i="7"/>
  <c r="L35" i="7" s="1"/>
  <c r="I162" i="7"/>
  <c r="L162" i="7" s="1"/>
  <c r="T166" i="7"/>
  <c r="T195" i="7"/>
  <c r="T154" i="7"/>
  <c r="T97" i="7"/>
  <c r="T199" i="7"/>
  <c r="T49" i="7"/>
  <c r="T52" i="7"/>
  <c r="T89" i="7"/>
  <c r="T88" i="7"/>
  <c r="T48" i="7"/>
  <c r="T219" i="7"/>
  <c r="T105" i="7"/>
  <c r="T167" i="7"/>
  <c r="K25" i="7"/>
  <c r="L25" i="7"/>
  <c r="K32" i="7"/>
  <c r="K24" i="7"/>
  <c r="L24" i="7"/>
  <c r="I28" i="7"/>
  <c r="J28" i="7" s="1"/>
  <c r="I30" i="7"/>
  <c r="I29" i="7"/>
  <c r="I27" i="7"/>
  <c r="L32" i="7"/>
  <c r="J33" i="7"/>
  <c r="K33" i="7"/>
  <c r="L33" i="7"/>
  <c r="I186" i="7"/>
  <c r="L127" i="7"/>
  <c r="L31" i="7"/>
  <c r="K31" i="7"/>
  <c r="J31" i="7"/>
  <c r="L206" i="7"/>
  <c r="L184" i="7"/>
  <c r="I94" i="7"/>
  <c r="K176" i="7"/>
  <c r="L116" i="7"/>
  <c r="I221" i="7"/>
  <c r="I215" i="7"/>
  <c r="I203" i="7"/>
  <c r="I163" i="7"/>
  <c r="J26" i="7"/>
  <c r="L26" i="7"/>
  <c r="K26" i="7"/>
  <c r="J169" i="7"/>
  <c r="K169" i="7"/>
  <c r="I100" i="7"/>
  <c r="J132" i="5"/>
  <c r="K132" i="5" s="1"/>
  <c r="J133" i="5"/>
  <c r="K133" i="5" s="1"/>
  <c r="J134" i="5"/>
  <c r="P134" i="5" s="1"/>
  <c r="O134" i="5"/>
  <c r="Q134" i="5" s="1"/>
  <c r="J135" i="5"/>
  <c r="O135" i="5" s="1"/>
  <c r="J136" i="5"/>
  <c r="P136" i="5" s="1"/>
  <c r="J137" i="5"/>
  <c r="P137" i="5" s="1"/>
  <c r="L137" i="5"/>
  <c r="O137" i="5"/>
  <c r="J138" i="5"/>
  <c r="K138" i="5" s="1"/>
  <c r="J139" i="5"/>
  <c r="P139" i="5" s="1"/>
  <c r="J140" i="5"/>
  <c r="K140" i="5" s="1"/>
  <c r="J141" i="5"/>
  <c r="K141" i="5" s="1"/>
  <c r="J142" i="5"/>
  <c r="P142" i="5" s="1"/>
  <c r="J143" i="5"/>
  <c r="O143" i="5" s="1"/>
  <c r="J144" i="5"/>
  <c r="P144" i="5" s="1"/>
  <c r="L144" i="5"/>
  <c r="J145" i="5"/>
  <c r="K145" i="5" s="1"/>
  <c r="J146" i="5"/>
  <c r="J147" i="5"/>
  <c r="P147" i="5" s="1"/>
  <c r="J148" i="5"/>
  <c r="K148" i="5" s="1"/>
  <c r="J149" i="5"/>
  <c r="K149" i="5" s="1"/>
  <c r="J150" i="5"/>
  <c r="P150" i="5" s="1"/>
  <c r="J151" i="5"/>
  <c r="O151" i="5" s="1"/>
  <c r="L151" i="5"/>
  <c r="J152" i="5"/>
  <c r="K152" i="5" s="1"/>
  <c r="J153" i="5"/>
  <c r="K153" i="5" s="1"/>
  <c r="J154" i="5"/>
  <c r="K154" i="5" s="1"/>
  <c r="J155" i="5"/>
  <c r="P155" i="5" s="1"/>
  <c r="J156" i="5"/>
  <c r="K156" i="5" s="1"/>
  <c r="J157" i="5"/>
  <c r="K157" i="5" s="1"/>
  <c r="J158" i="5"/>
  <c r="P158" i="5" s="1"/>
  <c r="J159" i="5"/>
  <c r="O159" i="5" s="1"/>
  <c r="J160" i="5"/>
  <c r="P160" i="5" s="1"/>
  <c r="J161" i="5"/>
  <c r="K161" i="5" s="1"/>
  <c r="J162" i="5"/>
  <c r="K162" i="5" s="1"/>
  <c r="J163" i="5"/>
  <c r="J164" i="5"/>
  <c r="K164" i="5" s="1"/>
  <c r="J165" i="5"/>
  <c r="K165" i="5" s="1"/>
  <c r="J166" i="5"/>
  <c r="P166" i="5" s="1"/>
  <c r="J167" i="5"/>
  <c r="O167" i="5" s="1"/>
  <c r="J168" i="5"/>
  <c r="P168" i="5" s="1"/>
  <c r="L168" i="5"/>
  <c r="J169" i="5"/>
  <c r="K169" i="5" s="1"/>
  <c r="J170" i="5"/>
  <c r="K170" i="5" s="1"/>
  <c r="J171" i="5"/>
  <c r="K171" i="5" s="1"/>
  <c r="J172" i="5"/>
  <c r="K172" i="5" s="1"/>
  <c r="J173" i="5"/>
  <c r="K173" i="5" s="1"/>
  <c r="J174" i="5"/>
  <c r="P174" i="5" s="1"/>
  <c r="J175" i="5"/>
  <c r="O175" i="5" s="1"/>
  <c r="J176" i="5"/>
  <c r="P176" i="5" s="1"/>
  <c r="J177" i="5"/>
  <c r="K177" i="5" s="1"/>
  <c r="J178" i="5"/>
  <c r="K178" i="5" s="1"/>
  <c r="J179" i="5"/>
  <c r="K179" i="5"/>
  <c r="L179" i="5"/>
  <c r="O179" i="5"/>
  <c r="Q179" i="5" s="1"/>
  <c r="P179" i="5"/>
  <c r="J180" i="5"/>
  <c r="K180" i="5" s="1"/>
  <c r="J181" i="5"/>
  <c r="K181" i="5" s="1"/>
  <c r="J182" i="5"/>
  <c r="P182" i="5" s="1"/>
  <c r="K182" i="5"/>
  <c r="O182" i="5"/>
  <c r="J183" i="5"/>
  <c r="O183" i="5" s="1"/>
  <c r="J184" i="5"/>
  <c r="P184" i="5" s="1"/>
  <c r="J185" i="5"/>
  <c r="K185" i="5" s="1"/>
  <c r="J186" i="5"/>
  <c r="K186" i="5" s="1"/>
  <c r="J187" i="5"/>
  <c r="K187" i="5" s="1"/>
  <c r="J188" i="5"/>
  <c r="K188" i="5" s="1"/>
  <c r="J189" i="5"/>
  <c r="K189" i="5" s="1"/>
  <c r="J190" i="5"/>
  <c r="P190" i="5" s="1"/>
  <c r="J191" i="5"/>
  <c r="O191" i="5" s="1"/>
  <c r="L191" i="5"/>
  <c r="J192" i="5"/>
  <c r="P192" i="5" s="1"/>
  <c r="O192" i="5"/>
  <c r="J193" i="5"/>
  <c r="K193" i="5" s="1"/>
  <c r="J194" i="5"/>
  <c r="K194" i="5" s="1"/>
  <c r="P194" i="5"/>
  <c r="J195" i="5"/>
  <c r="L195" i="5"/>
  <c r="J196" i="5"/>
  <c r="K196" i="5" s="1"/>
  <c r="J197" i="5"/>
  <c r="K197" i="5" s="1"/>
  <c r="J198" i="5"/>
  <c r="P198" i="5" s="1"/>
  <c r="J199" i="5"/>
  <c r="O199" i="5" s="1"/>
  <c r="J200" i="5"/>
  <c r="P200" i="5" s="1"/>
  <c r="K200" i="5"/>
  <c r="O200" i="5"/>
  <c r="J201" i="5"/>
  <c r="K201" i="5" s="1"/>
  <c r="L201" i="5"/>
  <c r="J202" i="5"/>
  <c r="K202" i="5" s="1"/>
  <c r="P202" i="5"/>
  <c r="J203" i="5"/>
  <c r="K203" i="5"/>
  <c r="L203" i="5"/>
  <c r="O203" i="5"/>
  <c r="P203" i="5"/>
  <c r="J204" i="5"/>
  <c r="K204" i="5" s="1"/>
  <c r="J205" i="5"/>
  <c r="K205" i="5" s="1"/>
  <c r="J206" i="5"/>
  <c r="J207" i="5"/>
  <c r="O207" i="5" s="1"/>
  <c r="J208" i="5"/>
  <c r="P208" i="5" s="1"/>
  <c r="J209" i="5"/>
  <c r="K209" i="5" s="1"/>
  <c r="J210" i="5"/>
  <c r="K210" i="5" s="1"/>
  <c r="J211" i="5"/>
  <c r="P211" i="5" s="1"/>
  <c r="J212" i="5"/>
  <c r="K212" i="5" s="1"/>
  <c r="J213" i="5"/>
  <c r="K213" i="5" s="1"/>
  <c r="J214" i="5"/>
  <c r="J215" i="5"/>
  <c r="O215" i="5" s="1"/>
  <c r="J216" i="5"/>
  <c r="P216" i="5" s="1"/>
  <c r="L216" i="5"/>
  <c r="J217" i="5"/>
  <c r="K217" i="5" s="1"/>
  <c r="J218" i="5"/>
  <c r="K218" i="5" s="1"/>
  <c r="J219" i="5"/>
  <c r="L219" i="5" s="1"/>
  <c r="J220" i="5"/>
  <c r="K220" i="5" s="1"/>
  <c r="J221" i="5"/>
  <c r="K221" i="5" s="1"/>
  <c r="J222" i="5"/>
  <c r="J223" i="5"/>
  <c r="O223" i="5" s="1"/>
  <c r="L223" i="5"/>
  <c r="J224" i="5"/>
  <c r="P224" i="5" s="1"/>
  <c r="J225" i="5"/>
  <c r="K225" i="5" s="1"/>
  <c r="O225" i="5"/>
  <c r="J226" i="5"/>
  <c r="K226" i="5" s="1"/>
  <c r="P226" i="5"/>
  <c r="J227" i="5"/>
  <c r="K227" i="5" s="1"/>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E232" i="1"/>
  <c r="F232" i="1"/>
  <c r="E233" i="1"/>
  <c r="F233" i="1"/>
  <c r="E138" i="1"/>
  <c r="F138" i="1"/>
  <c r="E139" i="1"/>
  <c r="F139" i="1"/>
  <c r="E140" i="1"/>
  <c r="F140" i="1"/>
  <c r="E141" i="1"/>
  <c r="F141" i="1"/>
  <c r="E142" i="1"/>
  <c r="F142" i="1"/>
  <c r="E143" i="1"/>
  <c r="F143" i="1"/>
  <c r="E144" i="1"/>
  <c r="F144" i="1"/>
  <c r="E145" i="1"/>
  <c r="F145" i="1"/>
  <c r="E146" i="1"/>
  <c r="F146" i="1"/>
  <c r="E147" i="1"/>
  <c r="F147" i="1"/>
  <c r="E148" i="1"/>
  <c r="F148" i="1"/>
  <c r="E149" i="1"/>
  <c r="F149" i="1"/>
  <c r="E150" i="1"/>
  <c r="F150" i="1"/>
  <c r="E151" i="1"/>
  <c r="F151" i="1"/>
  <c r="E152" i="1"/>
  <c r="F152" i="1"/>
  <c r="E153" i="1"/>
  <c r="F153" i="1"/>
  <c r="E154" i="1"/>
  <c r="F154" i="1"/>
  <c r="E155" i="1"/>
  <c r="F155" i="1"/>
  <c r="E156" i="1"/>
  <c r="F156" i="1"/>
  <c r="E157" i="1"/>
  <c r="F157" i="1"/>
  <c r="E158" i="1"/>
  <c r="F158" i="1"/>
  <c r="E159" i="1"/>
  <c r="F159" i="1"/>
  <c r="E160" i="1"/>
  <c r="F160" i="1"/>
  <c r="E161" i="1"/>
  <c r="F161" i="1"/>
  <c r="E162" i="1"/>
  <c r="F162" i="1"/>
  <c r="E163" i="1"/>
  <c r="F163" i="1"/>
  <c r="E164" i="1"/>
  <c r="F164" i="1"/>
  <c r="E165" i="1"/>
  <c r="F165" i="1"/>
  <c r="E166" i="1"/>
  <c r="F166" i="1"/>
  <c r="E167" i="1"/>
  <c r="F167" i="1"/>
  <c r="E168" i="1"/>
  <c r="F168" i="1"/>
  <c r="E169" i="1"/>
  <c r="F169" i="1"/>
  <c r="E170" i="1"/>
  <c r="F170" i="1"/>
  <c r="E171" i="1"/>
  <c r="F171" i="1"/>
  <c r="E172" i="1"/>
  <c r="F172" i="1"/>
  <c r="E173" i="1"/>
  <c r="F173" i="1"/>
  <c r="E174" i="1"/>
  <c r="F174" i="1"/>
  <c r="E175" i="1"/>
  <c r="F175" i="1"/>
  <c r="E176" i="1"/>
  <c r="F176" i="1"/>
  <c r="E177" i="1"/>
  <c r="F177" i="1"/>
  <c r="E178" i="1"/>
  <c r="F178" i="1"/>
  <c r="E179" i="1"/>
  <c r="F179" i="1"/>
  <c r="E180" i="1"/>
  <c r="F180" i="1"/>
  <c r="E181" i="1"/>
  <c r="F181" i="1"/>
  <c r="E182" i="1"/>
  <c r="F182" i="1"/>
  <c r="E183" i="1"/>
  <c r="F183" i="1"/>
  <c r="E184" i="1"/>
  <c r="F184" i="1"/>
  <c r="E185" i="1"/>
  <c r="F185" i="1"/>
  <c r="E186" i="1"/>
  <c r="F186" i="1"/>
  <c r="E187" i="1"/>
  <c r="F187" i="1"/>
  <c r="E188" i="1"/>
  <c r="F188" i="1"/>
  <c r="E189" i="1"/>
  <c r="F189" i="1"/>
  <c r="E190" i="1"/>
  <c r="F190" i="1"/>
  <c r="E191" i="1"/>
  <c r="F191" i="1"/>
  <c r="E192" i="1"/>
  <c r="F192" i="1"/>
  <c r="E193" i="1"/>
  <c r="F193" i="1"/>
  <c r="E194" i="1"/>
  <c r="F194" i="1"/>
  <c r="E195" i="1"/>
  <c r="F195" i="1"/>
  <c r="E196" i="1"/>
  <c r="F196" i="1"/>
  <c r="E197" i="1"/>
  <c r="F197" i="1"/>
  <c r="E198" i="1"/>
  <c r="F198" i="1"/>
  <c r="E199" i="1"/>
  <c r="F199" i="1"/>
  <c r="E200" i="1"/>
  <c r="F200" i="1"/>
  <c r="E201" i="1"/>
  <c r="F201" i="1"/>
  <c r="E202" i="1"/>
  <c r="F202" i="1"/>
  <c r="E203" i="1"/>
  <c r="F203" i="1"/>
  <c r="E204" i="1"/>
  <c r="F204" i="1"/>
  <c r="E205" i="1"/>
  <c r="F205" i="1"/>
  <c r="E206" i="1"/>
  <c r="F206" i="1"/>
  <c r="E207" i="1"/>
  <c r="F207" i="1"/>
  <c r="E208" i="1"/>
  <c r="F208" i="1"/>
  <c r="E209" i="1"/>
  <c r="F209" i="1"/>
  <c r="E210" i="1"/>
  <c r="F210" i="1"/>
  <c r="E211" i="1"/>
  <c r="F211" i="1"/>
  <c r="E212" i="1"/>
  <c r="F212" i="1"/>
  <c r="E213" i="1"/>
  <c r="F213" i="1"/>
  <c r="E214" i="1"/>
  <c r="F214" i="1"/>
  <c r="E215" i="1"/>
  <c r="F215" i="1"/>
  <c r="E216" i="1"/>
  <c r="F216" i="1"/>
  <c r="E217" i="1"/>
  <c r="F217" i="1"/>
  <c r="E218" i="1"/>
  <c r="F218" i="1"/>
  <c r="E219" i="1"/>
  <c r="F219" i="1"/>
  <c r="E220" i="1"/>
  <c r="F220" i="1"/>
  <c r="E221" i="1"/>
  <c r="F221" i="1"/>
  <c r="E222" i="1"/>
  <c r="F222" i="1"/>
  <c r="E223" i="1"/>
  <c r="F223" i="1"/>
  <c r="E224" i="1"/>
  <c r="F224" i="1"/>
  <c r="E225" i="1"/>
  <c r="F225" i="1"/>
  <c r="E226" i="1"/>
  <c r="F226" i="1"/>
  <c r="E227" i="1"/>
  <c r="F227" i="1"/>
  <c r="E228" i="1"/>
  <c r="F228" i="1"/>
  <c r="E229" i="1"/>
  <c r="F229" i="1"/>
  <c r="E230" i="1"/>
  <c r="F230" i="1"/>
  <c r="E231" i="1"/>
  <c r="F231" i="1"/>
  <c r="AH21" i="10" l="1"/>
  <c r="AM20" i="10"/>
  <c r="AL21" i="10"/>
  <c r="AN20" i="10"/>
  <c r="L42" i="7"/>
  <c r="J69" i="7"/>
  <c r="K136" i="7"/>
  <c r="P29" i="9"/>
  <c r="Z29" i="9" s="1"/>
  <c r="AB28" i="9"/>
  <c r="W28" i="9"/>
  <c r="R108" i="9"/>
  <c r="S107" i="9"/>
  <c r="S76" i="9"/>
  <c r="R77" i="9"/>
  <c r="X30" i="9"/>
  <c r="S28" i="9"/>
  <c r="H155" i="1"/>
  <c r="K80" i="7"/>
  <c r="L80" i="7"/>
  <c r="J101" i="7"/>
  <c r="Z232" i="7"/>
  <c r="U232" i="7"/>
  <c r="V232" i="7" s="1"/>
  <c r="W232" i="7"/>
  <c r="X232" i="7" s="1"/>
  <c r="Z233" i="7"/>
  <c r="W233" i="7"/>
  <c r="X233" i="7" s="1"/>
  <c r="U233" i="7"/>
  <c r="V233" i="7" s="1"/>
  <c r="L233" i="7"/>
  <c r="K233" i="7"/>
  <c r="J233" i="7"/>
  <c r="K179" i="7"/>
  <c r="K155" i="7"/>
  <c r="K232" i="7"/>
  <c r="L232" i="7"/>
  <c r="J232" i="7"/>
  <c r="K81" i="7"/>
  <c r="L155" i="7"/>
  <c r="L89" i="7"/>
  <c r="AB230" i="7"/>
  <c r="AC230" i="7"/>
  <c r="AA230" i="7"/>
  <c r="K63" i="7"/>
  <c r="L103" i="7"/>
  <c r="L48" i="7"/>
  <c r="Z231" i="7"/>
  <c r="W231" i="7"/>
  <c r="X231" i="7" s="1"/>
  <c r="U231" i="7"/>
  <c r="V231" i="7" s="1"/>
  <c r="J89" i="7"/>
  <c r="J231" i="7"/>
  <c r="L231" i="7"/>
  <c r="K231" i="7"/>
  <c r="J42" i="7"/>
  <c r="L226" i="7"/>
  <c r="J153" i="7"/>
  <c r="L147" i="7"/>
  <c r="L34" i="7"/>
  <c r="L102" i="7"/>
  <c r="L63" i="7"/>
  <c r="L115" i="7"/>
  <c r="U24" i="7"/>
  <c r="V24" i="7" s="1"/>
  <c r="Z24" i="7"/>
  <c r="W24" i="7"/>
  <c r="X24" i="7" s="1"/>
  <c r="Z32" i="7"/>
  <c r="W32" i="7"/>
  <c r="X32" i="7" s="1"/>
  <c r="U32" i="7"/>
  <c r="V32" i="7" s="1"/>
  <c r="U26" i="7"/>
  <c r="V26" i="7" s="1"/>
  <c r="Z26" i="7"/>
  <c r="W26" i="7"/>
  <c r="X26" i="7" s="1"/>
  <c r="L40" i="7"/>
  <c r="J34" i="7"/>
  <c r="Z33" i="7"/>
  <c r="W33" i="7"/>
  <c r="X33" i="7" s="1"/>
  <c r="U33" i="7"/>
  <c r="V33" i="7" s="1"/>
  <c r="AA28" i="7"/>
  <c r="AC28" i="7"/>
  <c r="AB28" i="7"/>
  <c r="U34" i="7"/>
  <c r="V34" i="7" s="1"/>
  <c r="W34" i="7"/>
  <c r="X34" i="7" s="1"/>
  <c r="Z34" i="7"/>
  <c r="J133" i="7"/>
  <c r="W25" i="7"/>
  <c r="X25" i="7" s="1"/>
  <c r="U25" i="7"/>
  <c r="V25" i="7" s="1"/>
  <c r="Z25" i="7"/>
  <c r="AA27" i="7"/>
  <c r="AC27" i="7"/>
  <c r="AB27" i="7"/>
  <c r="U31" i="7"/>
  <c r="V31" i="7" s="1"/>
  <c r="W31" i="7"/>
  <c r="X31" i="7" s="1"/>
  <c r="Z31" i="7"/>
  <c r="J115" i="7"/>
  <c r="K198" i="7"/>
  <c r="J51" i="7"/>
  <c r="J122" i="7"/>
  <c r="K51" i="7"/>
  <c r="K122" i="7"/>
  <c r="J103" i="7"/>
  <c r="J205" i="7"/>
  <c r="L136" i="7"/>
  <c r="J184" i="7"/>
  <c r="J144" i="7"/>
  <c r="L173" i="7"/>
  <c r="K208" i="7"/>
  <c r="L176" i="7"/>
  <c r="J41" i="7"/>
  <c r="L81" i="7"/>
  <c r="L101" i="7"/>
  <c r="L121" i="7"/>
  <c r="J147" i="7"/>
  <c r="J75" i="7"/>
  <c r="X91" i="7"/>
  <c r="K121" i="7"/>
  <c r="K75" i="7"/>
  <c r="K165" i="7"/>
  <c r="K45" i="7"/>
  <c r="J165" i="7"/>
  <c r="L45" i="7"/>
  <c r="J145" i="7"/>
  <c r="L36" i="7"/>
  <c r="J36" i="7"/>
  <c r="K69" i="7"/>
  <c r="L228" i="7"/>
  <c r="J57" i="7"/>
  <c r="K218" i="7"/>
  <c r="L194" i="7"/>
  <c r="K96" i="7"/>
  <c r="X197" i="7"/>
  <c r="K57" i="7"/>
  <c r="J228" i="7"/>
  <c r="J102" i="7"/>
  <c r="K205" i="7"/>
  <c r="J170" i="7"/>
  <c r="U139" i="7"/>
  <c r="V139" i="7" s="1"/>
  <c r="W139" i="7"/>
  <c r="X139" i="7" s="1"/>
  <c r="Z139" i="7"/>
  <c r="J225" i="7"/>
  <c r="K108" i="7"/>
  <c r="W105" i="7"/>
  <c r="Z105" i="7"/>
  <c r="U105" i="7"/>
  <c r="V105" i="7" s="1"/>
  <c r="U199" i="7"/>
  <c r="W199" i="7"/>
  <c r="Z199" i="7"/>
  <c r="U177" i="7"/>
  <c r="V177" i="7" s="1"/>
  <c r="W177" i="7"/>
  <c r="X177" i="7" s="1"/>
  <c r="Z177" i="7"/>
  <c r="U61" i="7"/>
  <c r="V61" i="7" s="1"/>
  <c r="W61" i="7"/>
  <c r="X61" i="7" s="1"/>
  <c r="Z61" i="7"/>
  <c r="U175" i="7"/>
  <c r="V175" i="7" s="1"/>
  <c r="W175" i="7"/>
  <c r="Z175" i="7"/>
  <c r="U78" i="7"/>
  <c r="V78" i="7" s="1"/>
  <c r="W78" i="7"/>
  <c r="X78" i="7" s="1"/>
  <c r="Z78" i="7"/>
  <c r="U155" i="7"/>
  <c r="V155" i="7" s="1"/>
  <c r="W155" i="7"/>
  <c r="Z155" i="7"/>
  <c r="U146" i="7"/>
  <c r="V146" i="7" s="1"/>
  <c r="W146" i="7"/>
  <c r="Z146" i="7"/>
  <c r="U30" i="7"/>
  <c r="V30" i="7" s="1"/>
  <c r="Z30" i="7"/>
  <c r="W30" i="7"/>
  <c r="X30" i="7" s="1"/>
  <c r="W93" i="7"/>
  <c r="X93" i="7" s="1"/>
  <c r="Z93" i="7"/>
  <c r="U93" i="7"/>
  <c r="V93" i="7" s="1"/>
  <c r="U227" i="7"/>
  <c r="Z227" i="7"/>
  <c r="W227" i="7"/>
  <c r="X227" i="7" s="1"/>
  <c r="U107" i="7"/>
  <c r="Z107" i="7"/>
  <c r="W107" i="7"/>
  <c r="Z119" i="7"/>
  <c r="U119" i="7"/>
  <c r="V119" i="7" s="1"/>
  <c r="W119" i="7"/>
  <c r="U204" i="7"/>
  <c r="Z204" i="7"/>
  <c r="W204" i="7"/>
  <c r="X204" i="7" s="1"/>
  <c r="AA92" i="7"/>
  <c r="AB92" i="7"/>
  <c r="AC92" i="7"/>
  <c r="AA150" i="7"/>
  <c r="AB150" i="7"/>
  <c r="AC150" i="7"/>
  <c r="AA53" i="7"/>
  <c r="AB53" i="7"/>
  <c r="AC53" i="7"/>
  <c r="AA222" i="7"/>
  <c r="AB222" i="7"/>
  <c r="AC222" i="7"/>
  <c r="AB200" i="7"/>
  <c r="AC200" i="7"/>
  <c r="AA200" i="7"/>
  <c r="AA194" i="7"/>
  <c r="AB194" i="7"/>
  <c r="AC194" i="7"/>
  <c r="AA156" i="7"/>
  <c r="AB156" i="7"/>
  <c r="AC156" i="7"/>
  <c r="AA60" i="7"/>
  <c r="AB60" i="7"/>
  <c r="AC60" i="7"/>
  <c r="U90" i="7"/>
  <c r="W90" i="7"/>
  <c r="Z90" i="7"/>
  <c r="U108" i="7"/>
  <c r="W108" i="7"/>
  <c r="Z108" i="7"/>
  <c r="U80" i="7"/>
  <c r="V80" i="7" s="1"/>
  <c r="W80" i="7"/>
  <c r="Z80" i="7"/>
  <c r="Z216" i="7"/>
  <c r="U216" i="7"/>
  <c r="V216" i="7" s="1"/>
  <c r="W216" i="7"/>
  <c r="U174" i="7"/>
  <c r="V174" i="7" s="1"/>
  <c r="W174" i="7"/>
  <c r="X174" i="7" s="1"/>
  <c r="Z174" i="7"/>
  <c r="AA202" i="7"/>
  <c r="AB202" i="7"/>
  <c r="AC202" i="7"/>
  <c r="AA149" i="7"/>
  <c r="AB149" i="7"/>
  <c r="AC149" i="7"/>
  <c r="AC121" i="7"/>
  <c r="AA121" i="7"/>
  <c r="AB121" i="7"/>
  <c r="AC35" i="7"/>
  <c r="AB35" i="7"/>
  <c r="AA35" i="7"/>
  <c r="L71" i="7"/>
  <c r="K48" i="7"/>
  <c r="U219" i="7"/>
  <c r="Z219" i="7"/>
  <c r="W219" i="7"/>
  <c r="U97" i="7"/>
  <c r="V97" i="7" s="1"/>
  <c r="W97" i="7"/>
  <c r="Z97" i="7"/>
  <c r="U143" i="7"/>
  <c r="V143" i="7" s="1"/>
  <c r="W143" i="7"/>
  <c r="Z143" i="7"/>
  <c r="U145" i="7"/>
  <c r="V145" i="7" s="1"/>
  <c r="W145" i="7"/>
  <c r="Z145" i="7"/>
  <c r="U117" i="7"/>
  <c r="V117" i="7" s="1"/>
  <c r="Z117" i="7"/>
  <c r="W117" i="7"/>
  <c r="X117" i="7" s="1"/>
  <c r="U185" i="7"/>
  <c r="V185" i="7" s="1"/>
  <c r="W185" i="7"/>
  <c r="Z185" i="7"/>
  <c r="U223" i="7"/>
  <c r="V223" i="7" s="1"/>
  <c r="W223" i="7"/>
  <c r="Z223" i="7"/>
  <c r="U158" i="7"/>
  <c r="V158" i="7" s="1"/>
  <c r="W158" i="7"/>
  <c r="Z158" i="7"/>
  <c r="U106" i="7"/>
  <c r="W106" i="7"/>
  <c r="X106" i="7" s="1"/>
  <c r="Z106" i="7"/>
  <c r="U128" i="7"/>
  <c r="V128" i="7" s="1"/>
  <c r="W128" i="7"/>
  <c r="X128" i="7" s="1"/>
  <c r="Z128" i="7"/>
  <c r="U169" i="7"/>
  <c r="W169" i="7"/>
  <c r="Z169" i="7"/>
  <c r="U51" i="7"/>
  <c r="V51" i="7" s="1"/>
  <c r="W51" i="7"/>
  <c r="Z51" i="7"/>
  <c r="Z129" i="7"/>
  <c r="U129" i="7"/>
  <c r="V129" i="7" s="1"/>
  <c r="W129" i="7"/>
  <c r="X129" i="7" s="1"/>
  <c r="X150" i="7"/>
  <c r="U81" i="7"/>
  <c r="V81" i="7" s="1"/>
  <c r="W81" i="7"/>
  <c r="X81" i="7" s="1"/>
  <c r="Z81" i="7"/>
  <c r="AA63" i="7"/>
  <c r="AC63" i="7"/>
  <c r="AB63" i="7"/>
  <c r="AA178" i="7"/>
  <c r="AB178" i="7"/>
  <c r="AC178" i="7"/>
  <c r="AB180" i="7"/>
  <c r="AA180" i="7"/>
  <c r="AC180" i="7"/>
  <c r="U39" i="7"/>
  <c r="W39" i="7"/>
  <c r="X39" i="7" s="1"/>
  <c r="Z39" i="7"/>
  <c r="U154" i="7"/>
  <c r="V154" i="7" s="1"/>
  <c r="W154" i="7"/>
  <c r="Z154" i="7"/>
  <c r="U50" i="7"/>
  <c r="V50" i="7" s="1"/>
  <c r="W50" i="7"/>
  <c r="Z50" i="7"/>
  <c r="Z57" i="7"/>
  <c r="W57" i="7"/>
  <c r="X57" i="7" s="1"/>
  <c r="U57" i="7"/>
  <c r="V57" i="7" s="1"/>
  <c r="U163" i="7"/>
  <c r="W163" i="7"/>
  <c r="Z163" i="7"/>
  <c r="U101" i="7"/>
  <c r="V101" i="7" s="1"/>
  <c r="W101" i="7"/>
  <c r="X101" i="7" s="1"/>
  <c r="Z101" i="7"/>
  <c r="K209" i="7"/>
  <c r="K71" i="7"/>
  <c r="K130" i="7"/>
  <c r="K22" i="7"/>
  <c r="N22" i="7" s="1"/>
  <c r="U44" i="7"/>
  <c r="V44" i="7" s="1"/>
  <c r="W44" i="7"/>
  <c r="Z44" i="7"/>
  <c r="U130" i="7"/>
  <c r="V130" i="7" s="1"/>
  <c r="W130" i="7"/>
  <c r="X130" i="7" s="1"/>
  <c r="Z130" i="7"/>
  <c r="U147" i="7"/>
  <c r="V147" i="7" s="1"/>
  <c r="W147" i="7"/>
  <c r="X147" i="7" s="1"/>
  <c r="Z147" i="7"/>
  <c r="U189" i="7"/>
  <c r="V189" i="7" s="1"/>
  <c r="W189" i="7"/>
  <c r="Z189" i="7"/>
  <c r="Z192" i="7"/>
  <c r="W192" i="7"/>
  <c r="U192" i="7"/>
  <c r="U87" i="7"/>
  <c r="V87" i="7" s="1"/>
  <c r="W87" i="7"/>
  <c r="X87" i="7" s="1"/>
  <c r="Z87" i="7"/>
  <c r="U124" i="7"/>
  <c r="V124" i="7" s="1"/>
  <c r="W124" i="7"/>
  <c r="X124" i="7" s="1"/>
  <c r="Z124" i="7"/>
  <c r="U201" i="7"/>
  <c r="V201" i="7" s="1"/>
  <c r="W201" i="7"/>
  <c r="Z201" i="7"/>
  <c r="X200" i="7"/>
  <c r="U214" i="7"/>
  <c r="V214" i="7" s="1"/>
  <c r="W214" i="7"/>
  <c r="X214" i="7" s="1"/>
  <c r="Z214" i="7"/>
  <c r="U215" i="7"/>
  <c r="W215" i="7"/>
  <c r="Z215" i="7"/>
  <c r="U67" i="7"/>
  <c r="V67" i="7" s="1"/>
  <c r="W67" i="7"/>
  <c r="X67" i="7" s="1"/>
  <c r="Z67" i="7"/>
  <c r="U160" i="7"/>
  <c r="W160" i="7"/>
  <c r="X160" i="7" s="1"/>
  <c r="Z160" i="7"/>
  <c r="AA36" i="7"/>
  <c r="AB36" i="7"/>
  <c r="AC36" i="7"/>
  <c r="AA84" i="7"/>
  <c r="AB84" i="7"/>
  <c r="AC84" i="7"/>
  <c r="AB208" i="7"/>
  <c r="AA208" i="7"/>
  <c r="AC208" i="7"/>
  <c r="AA75" i="7"/>
  <c r="AC75" i="7"/>
  <c r="AB75" i="7"/>
  <c r="AA181" i="7"/>
  <c r="AB181" i="7"/>
  <c r="AC181" i="7"/>
  <c r="AA226" i="7"/>
  <c r="AB226" i="7"/>
  <c r="AC226" i="7"/>
  <c r="U104" i="7"/>
  <c r="V104" i="7" s="1"/>
  <c r="W104" i="7"/>
  <c r="Z104" i="7"/>
  <c r="U148" i="7"/>
  <c r="W148" i="7"/>
  <c r="Z148" i="7"/>
  <c r="U173" i="7"/>
  <c r="V173" i="7" s="1"/>
  <c r="W173" i="7"/>
  <c r="X173" i="7" s="1"/>
  <c r="Z173" i="7"/>
  <c r="U41" i="7"/>
  <c r="V41" i="7" s="1"/>
  <c r="W41" i="7"/>
  <c r="Z41" i="7"/>
  <c r="J201" i="7"/>
  <c r="U88" i="7"/>
  <c r="V88" i="7" s="1"/>
  <c r="W88" i="7"/>
  <c r="Z88" i="7"/>
  <c r="U62" i="7"/>
  <c r="V62" i="7" s="1"/>
  <c r="W62" i="7"/>
  <c r="Z62" i="7"/>
  <c r="U58" i="7"/>
  <c r="W58" i="7"/>
  <c r="Z58" i="7"/>
  <c r="U171" i="7"/>
  <c r="V171" i="7" s="1"/>
  <c r="W171" i="7"/>
  <c r="X171" i="7" s="1"/>
  <c r="Z171" i="7"/>
  <c r="U23" i="7"/>
  <c r="V23" i="7" s="1"/>
  <c r="W23" i="7"/>
  <c r="Z23" i="7"/>
  <c r="U76" i="7"/>
  <c r="V76" i="7" s="1"/>
  <c r="W76" i="7"/>
  <c r="Z76" i="7"/>
  <c r="U40" i="7"/>
  <c r="W40" i="7"/>
  <c r="Z40" i="7"/>
  <c r="U56" i="7"/>
  <c r="V56" i="7" s="1"/>
  <c r="W56" i="7"/>
  <c r="Z56" i="7"/>
  <c r="AA190" i="7"/>
  <c r="AB190" i="7"/>
  <c r="AC190" i="7"/>
  <c r="AA71" i="7"/>
  <c r="AC71" i="7"/>
  <c r="AB71" i="7"/>
  <c r="AA112" i="7"/>
  <c r="AB112" i="7"/>
  <c r="AC112" i="7"/>
  <c r="AA72" i="7"/>
  <c r="AB72" i="7"/>
  <c r="AC72" i="7"/>
  <c r="AA159" i="7"/>
  <c r="AC159" i="7"/>
  <c r="AB159" i="7"/>
  <c r="AA95" i="7"/>
  <c r="AC95" i="7"/>
  <c r="AB95" i="7"/>
  <c r="U100" i="7"/>
  <c r="V100" i="7" s="1"/>
  <c r="W100" i="7"/>
  <c r="Z100" i="7"/>
  <c r="J209" i="7"/>
  <c r="L210" i="7"/>
  <c r="K77" i="7"/>
  <c r="L135" i="7"/>
  <c r="L140" i="7"/>
  <c r="U195" i="7"/>
  <c r="V195" i="7" s="1"/>
  <c r="Z195" i="7"/>
  <c r="W195" i="7"/>
  <c r="U218" i="7"/>
  <c r="V218" i="7" s="1"/>
  <c r="Z218" i="7"/>
  <c r="W218" i="7"/>
  <c r="W144" i="7"/>
  <c r="Z144" i="7"/>
  <c r="U144" i="7"/>
  <c r="U66" i="7"/>
  <c r="V66" i="7" s="1"/>
  <c r="W66" i="7"/>
  <c r="Z66" i="7"/>
  <c r="U210" i="7"/>
  <c r="V210" i="7" s="1"/>
  <c r="W210" i="7"/>
  <c r="Z210" i="7"/>
  <c r="U133" i="7"/>
  <c r="V133" i="7" s="1"/>
  <c r="W133" i="7"/>
  <c r="X133" i="7" s="1"/>
  <c r="Z133" i="7"/>
  <c r="U141" i="7"/>
  <c r="V141" i="7" s="1"/>
  <c r="W141" i="7"/>
  <c r="Z141" i="7"/>
  <c r="U187" i="7"/>
  <c r="V187" i="7" s="1"/>
  <c r="W187" i="7"/>
  <c r="Z187" i="7"/>
  <c r="U217" i="7"/>
  <c r="V217" i="7" s="1"/>
  <c r="Z217" i="7"/>
  <c r="W217" i="7"/>
  <c r="X217" i="7" s="1"/>
  <c r="U126" i="7"/>
  <c r="V126" i="7" s="1"/>
  <c r="W126" i="7"/>
  <c r="X126" i="7" s="1"/>
  <c r="Z126" i="7"/>
  <c r="U114" i="7"/>
  <c r="V114" i="7" s="1"/>
  <c r="W114" i="7"/>
  <c r="X114" i="7" s="1"/>
  <c r="Z114" i="7"/>
  <c r="U191" i="7"/>
  <c r="V191" i="7" s="1"/>
  <c r="W191" i="7"/>
  <c r="Z191" i="7"/>
  <c r="U132" i="7"/>
  <c r="V132" i="7" s="1"/>
  <c r="W132" i="7"/>
  <c r="Z132" i="7"/>
  <c r="U74" i="7"/>
  <c r="V74" i="7" s="1"/>
  <c r="W74" i="7"/>
  <c r="Z74" i="7"/>
  <c r="Z29" i="7"/>
  <c r="U29" i="7"/>
  <c r="V29" i="7" s="1"/>
  <c r="W29" i="7"/>
  <c r="AA125" i="7"/>
  <c r="AB125" i="7"/>
  <c r="AC125" i="7"/>
  <c r="U43" i="7"/>
  <c r="V43" i="7" s="1"/>
  <c r="W43" i="7"/>
  <c r="Z43" i="7"/>
  <c r="U224" i="7"/>
  <c r="V224" i="7" s="1"/>
  <c r="Z224" i="7"/>
  <c r="W224" i="7"/>
  <c r="AC151" i="7"/>
  <c r="AA151" i="7"/>
  <c r="AB151" i="7"/>
  <c r="AA42" i="7"/>
  <c r="AB42" i="7"/>
  <c r="AC42" i="7"/>
  <c r="AA70" i="7"/>
  <c r="AB70" i="7"/>
  <c r="AC70" i="7"/>
  <c r="K210" i="7"/>
  <c r="K172" i="7"/>
  <c r="L77" i="7"/>
  <c r="J204" i="7"/>
  <c r="J135" i="7"/>
  <c r="K140" i="7"/>
  <c r="U166" i="7"/>
  <c r="V166" i="7" s="1"/>
  <c r="W166" i="7"/>
  <c r="X166" i="7" s="1"/>
  <c r="Z166" i="7"/>
  <c r="U38" i="7"/>
  <c r="V38" i="7" s="1"/>
  <c r="W38" i="7"/>
  <c r="Z38" i="7"/>
  <c r="Z228" i="7"/>
  <c r="W228" i="7"/>
  <c r="U228" i="7"/>
  <c r="V228" i="7" s="1"/>
  <c r="U225" i="7"/>
  <c r="V225" i="7" s="1"/>
  <c r="Z225" i="7"/>
  <c r="W225" i="7"/>
  <c r="U209" i="7"/>
  <c r="V209" i="7" s="1"/>
  <c r="W209" i="7"/>
  <c r="X209" i="7" s="1"/>
  <c r="Z209" i="7"/>
  <c r="U69" i="7"/>
  <c r="V69" i="7" s="1"/>
  <c r="Z69" i="7"/>
  <c r="W69" i="7"/>
  <c r="W45" i="7"/>
  <c r="X45" i="7" s="1"/>
  <c r="Z45" i="7"/>
  <c r="U45" i="7"/>
  <c r="V45" i="7" s="1"/>
  <c r="U179" i="7"/>
  <c r="V179" i="7" s="1"/>
  <c r="Z179" i="7"/>
  <c r="W179" i="7"/>
  <c r="U137" i="7"/>
  <c r="V137" i="7" s="1"/>
  <c r="W137" i="7"/>
  <c r="Z137" i="7"/>
  <c r="U183" i="7"/>
  <c r="V183" i="7" s="1"/>
  <c r="Z183" i="7"/>
  <c r="W183" i="7"/>
  <c r="X183" i="7" s="1"/>
  <c r="AC103" i="7"/>
  <c r="AB103" i="7"/>
  <c r="AA103" i="7"/>
  <c r="AA99" i="7"/>
  <c r="AC99" i="7"/>
  <c r="AB99" i="7"/>
  <c r="AA82" i="7"/>
  <c r="AB82" i="7"/>
  <c r="AC82" i="7"/>
  <c r="AA96" i="7"/>
  <c r="AB96" i="7"/>
  <c r="AC96" i="7"/>
  <c r="AA205" i="7"/>
  <c r="AB205" i="7"/>
  <c r="AC205" i="7"/>
  <c r="AB168" i="7"/>
  <c r="AC168" i="7"/>
  <c r="AA168" i="7"/>
  <c r="U221" i="7"/>
  <c r="Z221" i="7"/>
  <c r="W221" i="7"/>
  <c r="U77" i="7"/>
  <c r="V77" i="7" s="1"/>
  <c r="W77" i="7"/>
  <c r="Z77" i="7"/>
  <c r="J107" i="7"/>
  <c r="K129" i="7"/>
  <c r="U89" i="7"/>
  <c r="V89" i="7" s="1"/>
  <c r="W89" i="7"/>
  <c r="Z89" i="7"/>
  <c r="W55" i="7"/>
  <c r="X55" i="7" s="1"/>
  <c r="U55" i="7"/>
  <c r="Z55" i="7"/>
  <c r="U161" i="7"/>
  <c r="V161" i="7" s="1"/>
  <c r="W161" i="7"/>
  <c r="X161" i="7" s="1"/>
  <c r="Z161" i="7"/>
  <c r="U138" i="7"/>
  <c r="V138" i="7" s="1"/>
  <c r="W138" i="7"/>
  <c r="X138" i="7" s="1"/>
  <c r="Z138" i="7"/>
  <c r="U184" i="7"/>
  <c r="V184" i="7" s="1"/>
  <c r="W184" i="7"/>
  <c r="Z184" i="7"/>
  <c r="U207" i="7"/>
  <c r="Z207" i="7"/>
  <c r="W207" i="7"/>
  <c r="U68" i="7"/>
  <c r="V68" i="7" s="1"/>
  <c r="W68" i="7"/>
  <c r="Z68" i="7"/>
  <c r="U65" i="7"/>
  <c r="V65" i="7" s="1"/>
  <c r="W65" i="7"/>
  <c r="X65" i="7" s="1"/>
  <c r="Z65" i="7"/>
  <c r="U182" i="7"/>
  <c r="V182" i="7" s="1"/>
  <c r="W182" i="7"/>
  <c r="Z182" i="7"/>
  <c r="U46" i="7"/>
  <c r="V46" i="7" s="1"/>
  <c r="W46" i="7"/>
  <c r="Z46" i="7"/>
  <c r="AB196" i="7"/>
  <c r="AA196" i="7"/>
  <c r="AC196" i="7"/>
  <c r="AA91" i="7"/>
  <c r="AC91" i="7"/>
  <c r="AB91" i="7"/>
  <c r="AA98" i="7"/>
  <c r="AB98" i="7"/>
  <c r="AC98" i="7"/>
  <c r="AA203" i="7"/>
  <c r="AC203" i="7"/>
  <c r="AB203" i="7"/>
  <c r="AA162" i="7"/>
  <c r="AB162" i="7"/>
  <c r="AC162" i="7"/>
  <c r="AB172" i="7"/>
  <c r="AA172" i="7"/>
  <c r="AC172" i="7"/>
  <c r="AA79" i="7"/>
  <c r="AC79" i="7"/>
  <c r="AB79" i="7"/>
  <c r="AA122" i="7"/>
  <c r="AB122" i="7"/>
  <c r="AC122" i="7"/>
  <c r="U48" i="7"/>
  <c r="V48" i="7" s="1"/>
  <c r="W48" i="7"/>
  <c r="Z48" i="7"/>
  <c r="U153" i="7"/>
  <c r="V153" i="7" s="1"/>
  <c r="W153" i="7"/>
  <c r="Z153" i="7"/>
  <c r="J202" i="7"/>
  <c r="L49" i="7"/>
  <c r="L107" i="7"/>
  <c r="L129" i="7"/>
  <c r="U52" i="7"/>
  <c r="V52" i="7" s="1"/>
  <c r="W52" i="7"/>
  <c r="Z52" i="7"/>
  <c r="U102" i="7"/>
  <c r="V102" i="7" s="1"/>
  <c r="W102" i="7"/>
  <c r="X102" i="7" s="1"/>
  <c r="Z102" i="7"/>
  <c r="U118" i="7"/>
  <c r="V118" i="7" s="1"/>
  <c r="W118" i="7"/>
  <c r="Z118" i="7"/>
  <c r="U120" i="7"/>
  <c r="W120" i="7"/>
  <c r="X120" i="7" s="1"/>
  <c r="Z120" i="7"/>
  <c r="U115" i="7"/>
  <c r="V115" i="7" s="1"/>
  <c r="W115" i="7"/>
  <c r="X115" i="7" s="1"/>
  <c r="Z115" i="7"/>
  <c r="U186" i="7"/>
  <c r="V186" i="7" s="1"/>
  <c r="W186" i="7"/>
  <c r="X186" i="7" s="1"/>
  <c r="Z186" i="7"/>
  <c r="U164" i="7"/>
  <c r="V164" i="7" s="1"/>
  <c r="W164" i="7"/>
  <c r="Z164" i="7"/>
  <c r="Z83" i="7"/>
  <c r="U83" i="7"/>
  <c r="V83" i="7" s="1"/>
  <c r="W83" i="7"/>
  <c r="U134" i="7"/>
  <c r="V134" i="7" s="1"/>
  <c r="W134" i="7"/>
  <c r="Z134" i="7"/>
  <c r="U213" i="7"/>
  <c r="V213" i="7" s="1"/>
  <c r="W213" i="7"/>
  <c r="Z213" i="7"/>
  <c r="W188" i="7"/>
  <c r="U188" i="7"/>
  <c r="Z188" i="7"/>
  <c r="U64" i="7"/>
  <c r="V64" i="7" s="1"/>
  <c r="W64" i="7"/>
  <c r="Z64" i="7"/>
  <c r="U110" i="7"/>
  <c r="V110" i="7" s="1"/>
  <c r="W110" i="7"/>
  <c r="Z110" i="7"/>
  <c r="AB131" i="7"/>
  <c r="AA131" i="7"/>
  <c r="AC131" i="7"/>
  <c r="AA211" i="7"/>
  <c r="AC211" i="7"/>
  <c r="AB211" i="7"/>
  <c r="AA170" i="7"/>
  <c r="AB170" i="7"/>
  <c r="AC170" i="7"/>
  <c r="AB123" i="7"/>
  <c r="AA123" i="7"/>
  <c r="AC123" i="7"/>
  <c r="AB142" i="7"/>
  <c r="AA142" i="7"/>
  <c r="AC142" i="7"/>
  <c r="U157" i="7"/>
  <c r="V157" i="7" s="1"/>
  <c r="W157" i="7"/>
  <c r="Z157" i="7"/>
  <c r="AA193" i="7"/>
  <c r="AB193" i="7"/>
  <c r="AC193" i="7"/>
  <c r="J82" i="7"/>
  <c r="J118" i="7"/>
  <c r="U167" i="7"/>
  <c r="V167" i="7" s="1"/>
  <c r="W167" i="7"/>
  <c r="Z167" i="7"/>
  <c r="U49" i="7"/>
  <c r="V49" i="7" s="1"/>
  <c r="W49" i="7"/>
  <c r="Z49" i="7"/>
  <c r="W152" i="7"/>
  <c r="U152" i="7"/>
  <c r="Z152" i="7"/>
  <c r="U229" i="7"/>
  <c r="Z229" i="7"/>
  <c r="W229" i="7"/>
  <c r="U135" i="7"/>
  <c r="V135" i="7" s="1"/>
  <c r="W135" i="7"/>
  <c r="Z135" i="7"/>
  <c r="U206" i="7"/>
  <c r="V206" i="7" s="1"/>
  <c r="Z206" i="7"/>
  <c r="W206" i="7"/>
  <c r="W47" i="7"/>
  <c r="Z47" i="7"/>
  <c r="U47" i="7"/>
  <c r="V47" i="7" s="1"/>
  <c r="Z176" i="7"/>
  <c r="U176" i="7"/>
  <c r="V176" i="7" s="1"/>
  <c r="W176" i="7"/>
  <c r="X176" i="7" s="1"/>
  <c r="U85" i="7"/>
  <c r="V85" i="7" s="1"/>
  <c r="W85" i="7"/>
  <c r="Z85" i="7"/>
  <c r="U113" i="7"/>
  <c r="V113" i="7" s="1"/>
  <c r="W113" i="7"/>
  <c r="Z113" i="7"/>
  <c r="U165" i="7"/>
  <c r="V165" i="7" s="1"/>
  <c r="W165" i="7"/>
  <c r="X165" i="7" s="1"/>
  <c r="Z165" i="7"/>
  <c r="AA109" i="7"/>
  <c r="AB109" i="7"/>
  <c r="AC109" i="7"/>
  <c r="AA73" i="7"/>
  <c r="AB73" i="7"/>
  <c r="AC73" i="7"/>
  <c r="AA127" i="7"/>
  <c r="AC127" i="7"/>
  <c r="AB127" i="7"/>
  <c r="W212" i="7"/>
  <c r="U212" i="7"/>
  <c r="V212" i="7" s="1"/>
  <c r="Z212" i="7"/>
  <c r="Z22" i="7"/>
  <c r="W22" i="7"/>
  <c r="U22" i="7"/>
  <c r="V22" i="7" s="1"/>
  <c r="AA111" i="7"/>
  <c r="AB111" i="7"/>
  <c r="AC111" i="7"/>
  <c r="J47" i="7"/>
  <c r="U37" i="7"/>
  <c r="V37" i="7" s="1"/>
  <c r="W37" i="7"/>
  <c r="Z37" i="7"/>
  <c r="U198" i="7"/>
  <c r="V198" i="7" s="1"/>
  <c r="W198" i="7"/>
  <c r="Z198" i="7"/>
  <c r="U220" i="7"/>
  <c r="V220" i="7" s="1"/>
  <c r="W220" i="7"/>
  <c r="Z220" i="7"/>
  <c r="U54" i="7"/>
  <c r="V54" i="7" s="1"/>
  <c r="W54" i="7"/>
  <c r="Z54" i="7"/>
  <c r="U136" i="7"/>
  <c r="V136" i="7" s="1"/>
  <c r="W136" i="7"/>
  <c r="X136" i="7" s="1"/>
  <c r="Z136" i="7"/>
  <c r="U59" i="7"/>
  <c r="V59" i="7" s="1"/>
  <c r="Z59" i="7"/>
  <c r="W59" i="7"/>
  <c r="X59" i="7" s="1"/>
  <c r="U116" i="7"/>
  <c r="V116" i="7" s="1"/>
  <c r="W116" i="7"/>
  <c r="Z116" i="7"/>
  <c r="U94" i="7"/>
  <c r="V94" i="7" s="1"/>
  <c r="W94" i="7"/>
  <c r="Z94" i="7"/>
  <c r="AA197" i="7"/>
  <c r="AB197" i="7"/>
  <c r="AC197" i="7"/>
  <c r="AA86" i="7"/>
  <c r="AB86" i="7"/>
  <c r="AC86" i="7"/>
  <c r="Z140" i="7"/>
  <c r="U140" i="7"/>
  <c r="V140" i="7" s="1"/>
  <c r="W140" i="7"/>
  <c r="X140" i="7" s="1"/>
  <c r="K159" i="7"/>
  <c r="L159" i="7"/>
  <c r="K229" i="7"/>
  <c r="J218" i="7"/>
  <c r="K41" i="7"/>
  <c r="J108" i="7"/>
  <c r="J134" i="7"/>
  <c r="K90" i="7"/>
  <c r="J223" i="7"/>
  <c r="L120" i="7"/>
  <c r="L90" i="7"/>
  <c r="L172" i="7"/>
  <c r="J106" i="7"/>
  <c r="J88" i="7"/>
  <c r="K38" i="7"/>
  <c r="K88" i="7"/>
  <c r="L223" i="7"/>
  <c r="J109" i="7"/>
  <c r="J38" i="7"/>
  <c r="J53" i="7"/>
  <c r="L76" i="7"/>
  <c r="L198" i="7"/>
  <c r="J120" i="7"/>
  <c r="J83" i="7"/>
  <c r="K145" i="7"/>
  <c r="L161" i="7"/>
  <c r="K83" i="7"/>
  <c r="L185" i="7"/>
  <c r="L229" i="7"/>
  <c r="L84" i="7"/>
  <c r="L104" i="7"/>
  <c r="K85" i="7"/>
  <c r="J84" i="7"/>
  <c r="K167" i="7"/>
  <c r="L91" i="7"/>
  <c r="L167" i="7"/>
  <c r="J91" i="7"/>
  <c r="J222" i="7"/>
  <c r="L106" i="7"/>
  <c r="K53" i="7"/>
  <c r="J114" i="7"/>
  <c r="K173" i="7"/>
  <c r="J161" i="7"/>
  <c r="K146" i="7"/>
  <c r="L153" i="7"/>
  <c r="L146" i="7"/>
  <c r="K133" i="7"/>
  <c r="X191" i="7"/>
  <c r="J119" i="7"/>
  <c r="J87" i="7"/>
  <c r="K119" i="7"/>
  <c r="K87" i="7"/>
  <c r="K105" i="7"/>
  <c r="K79" i="7"/>
  <c r="K157" i="7"/>
  <c r="L168" i="7"/>
  <c r="J157" i="7"/>
  <c r="J174" i="7"/>
  <c r="K112" i="7"/>
  <c r="K82" i="7"/>
  <c r="K144" i="7"/>
  <c r="J79" i="7"/>
  <c r="K118" i="7"/>
  <c r="J112" i="7"/>
  <c r="L150" i="7"/>
  <c r="X79" i="7"/>
  <c r="K113" i="7"/>
  <c r="K72" i="7"/>
  <c r="J150" i="7"/>
  <c r="L72" i="7"/>
  <c r="L113" i="7"/>
  <c r="L197" i="7"/>
  <c r="K175" i="7"/>
  <c r="K197" i="7"/>
  <c r="J211" i="7"/>
  <c r="K211" i="7"/>
  <c r="J180" i="7"/>
  <c r="J175" i="7"/>
  <c r="L110" i="7"/>
  <c r="J168" i="7"/>
  <c r="L180" i="7"/>
  <c r="J110" i="7"/>
  <c r="J139" i="7"/>
  <c r="K174" i="7"/>
  <c r="K202" i="7"/>
  <c r="K116" i="7"/>
  <c r="K127" i="7"/>
  <c r="L58" i="7"/>
  <c r="J95" i="7"/>
  <c r="K134" i="7"/>
  <c r="J179" i="7"/>
  <c r="L187" i="7"/>
  <c r="L37" i="7"/>
  <c r="X56" i="7"/>
  <c r="L95" i="7"/>
  <c r="J171" i="7"/>
  <c r="J74" i="7"/>
  <c r="K170" i="7"/>
  <c r="L189" i="7"/>
  <c r="L193" i="7"/>
  <c r="J154" i="7"/>
  <c r="J187" i="7"/>
  <c r="L171" i="7"/>
  <c r="L74" i="7"/>
  <c r="K86" i="7"/>
  <c r="J189" i="7"/>
  <c r="K193" i="7"/>
  <c r="L154" i="7"/>
  <c r="J37" i="7"/>
  <c r="J185" i="7"/>
  <c r="J160" i="7"/>
  <c r="J128" i="7"/>
  <c r="K60" i="7"/>
  <c r="J86" i="7"/>
  <c r="K46" i="7"/>
  <c r="K160" i="7"/>
  <c r="K224" i="7"/>
  <c r="L195" i="7"/>
  <c r="K226" i="7"/>
  <c r="J162" i="7"/>
  <c r="J46" i="7"/>
  <c r="V108" i="7"/>
  <c r="X146" i="7"/>
  <c r="J195" i="7"/>
  <c r="L97" i="7"/>
  <c r="L59" i="7"/>
  <c r="J97" i="7"/>
  <c r="J56" i="7"/>
  <c r="L128" i="7"/>
  <c r="J60" i="7"/>
  <c r="K59" i="7"/>
  <c r="K56" i="7"/>
  <c r="K66" i="7"/>
  <c r="L224" i="7"/>
  <c r="L54" i="7"/>
  <c r="J191" i="7"/>
  <c r="K124" i="7"/>
  <c r="L47" i="7"/>
  <c r="J125" i="7"/>
  <c r="L96" i="7"/>
  <c r="K125" i="7"/>
  <c r="K201" i="7"/>
  <c r="V107" i="7"/>
  <c r="L166" i="7"/>
  <c r="J66" i="7"/>
  <c r="K131" i="7"/>
  <c r="J54" i="7"/>
  <c r="K191" i="7"/>
  <c r="L124" i="7"/>
  <c r="J58" i="7"/>
  <c r="K227" i="7"/>
  <c r="L222" i="7"/>
  <c r="K139" i="7"/>
  <c r="J131" i="7"/>
  <c r="J206" i="7"/>
  <c r="J55" i="7"/>
  <c r="J216" i="7"/>
  <c r="L70" i="7"/>
  <c r="J23" i="7"/>
  <c r="M23" i="7" s="1"/>
  <c r="M24" i="7" s="1"/>
  <c r="J132" i="7"/>
  <c r="K207" i="7"/>
  <c r="V152" i="7"/>
  <c r="L216" i="7"/>
  <c r="J40" i="7"/>
  <c r="J67" i="7"/>
  <c r="L204" i="7"/>
  <c r="K55" i="7"/>
  <c r="K23" i="7"/>
  <c r="K132" i="7"/>
  <c r="J194" i="7"/>
  <c r="J64" i="7"/>
  <c r="L64" i="7"/>
  <c r="J65" i="7"/>
  <c r="J105" i="7"/>
  <c r="J166" i="7"/>
  <c r="J85" i="7"/>
  <c r="J70" i="7"/>
  <c r="K111" i="7"/>
  <c r="J199" i="7"/>
  <c r="K65" i="7"/>
  <c r="J50" i="7"/>
  <c r="J35" i="7"/>
  <c r="V55" i="7"/>
  <c r="V192" i="7"/>
  <c r="J43" i="7"/>
  <c r="K104" i="7"/>
  <c r="K177" i="7"/>
  <c r="L43" i="7"/>
  <c r="J207" i="7"/>
  <c r="K35" i="7"/>
  <c r="J156" i="7"/>
  <c r="J76" i="7"/>
  <c r="J192" i="7"/>
  <c r="J177" i="7"/>
  <c r="J61" i="7"/>
  <c r="J68" i="7"/>
  <c r="L92" i="7"/>
  <c r="K192" i="7"/>
  <c r="L62" i="7"/>
  <c r="J227" i="7"/>
  <c r="J92" i="7"/>
  <c r="L151" i="7"/>
  <c r="V106" i="7"/>
  <c r="K114" i="7"/>
  <c r="L156" i="7"/>
  <c r="K190" i="7"/>
  <c r="L109" i="7"/>
  <c r="K62" i="7"/>
  <c r="L199" i="7"/>
  <c r="J111" i="7"/>
  <c r="L22" i="7"/>
  <c r="O22" i="7" s="1"/>
  <c r="X187" i="7"/>
  <c r="K50" i="7"/>
  <c r="J190" i="7"/>
  <c r="L182" i="7"/>
  <c r="K61" i="7"/>
  <c r="K68" i="7"/>
  <c r="J151" i="7"/>
  <c r="L212" i="7"/>
  <c r="V199" i="7"/>
  <c r="J73" i="7"/>
  <c r="L208" i="7"/>
  <c r="J182" i="7"/>
  <c r="J178" i="7"/>
  <c r="K178" i="7"/>
  <c r="L126" i="7"/>
  <c r="J126" i="7"/>
  <c r="V188" i="7"/>
  <c r="V169" i="7"/>
  <c r="K143" i="7"/>
  <c r="J143" i="7"/>
  <c r="L143" i="7"/>
  <c r="X99" i="7"/>
  <c r="K188" i="7"/>
  <c r="J188" i="7"/>
  <c r="V120" i="7"/>
  <c r="X63" i="7"/>
  <c r="L152" i="7"/>
  <c r="J152" i="7"/>
  <c r="L73" i="7"/>
  <c r="K162" i="7"/>
  <c r="V39" i="7"/>
  <c r="L196" i="7"/>
  <c r="J196" i="7"/>
  <c r="K196" i="7"/>
  <c r="L93" i="7"/>
  <c r="K93" i="7"/>
  <c r="J93" i="7"/>
  <c r="L138" i="7"/>
  <c r="J123" i="7"/>
  <c r="L123" i="7"/>
  <c r="K123" i="7"/>
  <c r="V148" i="7"/>
  <c r="K39" i="7"/>
  <c r="L39" i="7"/>
  <c r="J39" i="7"/>
  <c r="X75" i="7"/>
  <c r="K149" i="7"/>
  <c r="L149" i="7"/>
  <c r="L52" i="7"/>
  <c r="J138" i="7"/>
  <c r="J158" i="7"/>
  <c r="K217" i="7"/>
  <c r="L181" i="7"/>
  <c r="J181" i="7"/>
  <c r="K181" i="7"/>
  <c r="V90" i="7"/>
  <c r="X73" i="7"/>
  <c r="J148" i="7"/>
  <c r="L148" i="7"/>
  <c r="V144" i="7"/>
  <c r="K98" i="7"/>
  <c r="J98" i="7"/>
  <c r="L98" i="7"/>
  <c r="X111" i="7"/>
  <c r="K142" i="7"/>
  <c r="J130" i="7"/>
  <c r="K158" i="7"/>
  <c r="J217" i="7"/>
  <c r="V221" i="7"/>
  <c r="V163" i="7"/>
  <c r="K220" i="7"/>
  <c r="L220" i="7"/>
  <c r="J142" i="7"/>
  <c r="L44" i="7"/>
  <c r="K214" i="7"/>
  <c r="L214" i="7"/>
  <c r="V227" i="7"/>
  <c r="V58" i="7"/>
  <c r="V40" i="7"/>
  <c r="V160" i="7"/>
  <c r="V204" i="7"/>
  <c r="J44" i="7"/>
  <c r="X121" i="7"/>
  <c r="X184" i="7"/>
  <c r="X103" i="7"/>
  <c r="L117" i="7"/>
  <c r="J117" i="7"/>
  <c r="J183" i="7"/>
  <c r="L183" i="7"/>
  <c r="J52" i="7"/>
  <c r="X123" i="7"/>
  <c r="J78" i="7"/>
  <c r="K78" i="7"/>
  <c r="J141" i="7"/>
  <c r="K141" i="7"/>
  <c r="L141" i="7"/>
  <c r="L164" i="7"/>
  <c r="J164" i="7"/>
  <c r="K164" i="7"/>
  <c r="K99" i="7"/>
  <c r="L99" i="7"/>
  <c r="J99" i="7"/>
  <c r="V229" i="7"/>
  <c r="X109" i="7"/>
  <c r="L67" i="7"/>
  <c r="K49" i="7"/>
  <c r="K225" i="7"/>
  <c r="J212" i="7"/>
  <c r="V219" i="7"/>
  <c r="V207" i="7"/>
  <c r="V215" i="7"/>
  <c r="L213" i="7"/>
  <c r="K213" i="7"/>
  <c r="J213" i="7"/>
  <c r="J219" i="7"/>
  <c r="K219" i="7"/>
  <c r="L219" i="7"/>
  <c r="L137" i="7"/>
  <c r="J137" i="7"/>
  <c r="L200" i="7"/>
  <c r="J200" i="7"/>
  <c r="K200" i="7"/>
  <c r="X53" i="7"/>
  <c r="L29" i="7"/>
  <c r="K29" i="7"/>
  <c r="J29" i="7"/>
  <c r="L27" i="7"/>
  <c r="J27" i="7"/>
  <c r="K27" i="7"/>
  <c r="L30" i="7"/>
  <c r="J30" i="7"/>
  <c r="K30" i="7"/>
  <c r="L28" i="7"/>
  <c r="K28" i="7"/>
  <c r="H224" i="1"/>
  <c r="H230" i="1"/>
  <c r="H170" i="1"/>
  <c r="H164" i="1"/>
  <c r="H205" i="1"/>
  <c r="H145" i="1"/>
  <c r="H227" i="1"/>
  <c r="H186" i="1"/>
  <c r="H167" i="1"/>
  <c r="J203" i="7"/>
  <c r="L203" i="7"/>
  <c r="K203" i="7"/>
  <c r="J215" i="7"/>
  <c r="K215" i="7"/>
  <c r="L215" i="7"/>
  <c r="J221" i="7"/>
  <c r="K221" i="7"/>
  <c r="L221" i="7"/>
  <c r="L94" i="7"/>
  <c r="K94" i="7"/>
  <c r="J94" i="7"/>
  <c r="L100" i="7"/>
  <c r="K100" i="7"/>
  <c r="J100" i="7"/>
  <c r="L163" i="7"/>
  <c r="K163" i="7"/>
  <c r="J163" i="7"/>
  <c r="J186" i="7"/>
  <c r="K186" i="7"/>
  <c r="L186" i="7"/>
  <c r="H156" i="1"/>
  <c r="H178" i="1"/>
  <c r="H172" i="1"/>
  <c r="H220" i="1"/>
  <c r="H207" i="1"/>
  <c r="P222" i="5"/>
  <c r="K222" i="5"/>
  <c r="H185" i="1"/>
  <c r="H139" i="1"/>
  <c r="H212" i="1"/>
  <c r="H142" i="1"/>
  <c r="H193" i="1"/>
  <c r="H158" i="1"/>
  <c r="H153" i="1"/>
  <c r="H147" i="1"/>
  <c r="H163" i="1"/>
  <c r="H225" i="1"/>
  <c r="H219" i="1"/>
  <c r="H203" i="1"/>
  <c r="H197" i="1"/>
  <c r="H175" i="1"/>
  <c r="M152" i="5"/>
  <c r="P195" i="5"/>
  <c r="O195" i="5"/>
  <c r="Q195" i="5" s="1"/>
  <c r="K195" i="5"/>
  <c r="P185" i="5"/>
  <c r="O185" i="5"/>
  <c r="P206" i="5"/>
  <c r="L206" i="5"/>
  <c r="O206" i="5"/>
  <c r="K146" i="5"/>
  <c r="P146" i="5"/>
  <c r="L200" i="5"/>
  <c r="P214" i="5"/>
  <c r="K214" i="5"/>
  <c r="Q203" i="5"/>
  <c r="L163" i="5"/>
  <c r="K163" i="5"/>
  <c r="P152" i="5"/>
  <c r="L152" i="5"/>
  <c r="O152" i="5"/>
  <c r="Q152" i="5" s="1"/>
  <c r="P225" i="5"/>
  <c r="L198" i="5"/>
  <c r="O150" i="5"/>
  <c r="O155" i="5"/>
  <c r="L150" i="5"/>
  <c r="O142" i="5"/>
  <c r="L225" i="5"/>
  <c r="M225" i="5" s="1"/>
  <c r="O216" i="5"/>
  <c r="L182" i="5"/>
  <c r="L155" i="5"/>
  <c r="K150" i="5"/>
  <c r="L142" i="5"/>
  <c r="P201" i="5"/>
  <c r="O201" i="5"/>
  <c r="P210" i="5"/>
  <c r="K198" i="5"/>
  <c r="K176" i="5"/>
  <c r="P170" i="5"/>
  <c r="K168" i="5"/>
  <c r="M168" i="5" s="1"/>
  <c r="L159" i="5"/>
  <c r="P212" i="5"/>
  <c r="P187" i="5"/>
  <c r="L185" i="5"/>
  <c r="P169" i="5"/>
  <c r="L167" i="5"/>
  <c r="O158" i="5"/>
  <c r="Q158" i="5" s="1"/>
  <c r="K155" i="5"/>
  <c r="M155" i="5" s="1"/>
  <c r="O144" i="5"/>
  <c r="P140" i="5"/>
  <c r="K137" i="5"/>
  <c r="M137" i="5" s="1"/>
  <c r="L134" i="5"/>
  <c r="O208" i="5"/>
  <c r="P193" i="5"/>
  <c r="O190" i="5"/>
  <c r="O187" i="5"/>
  <c r="O169" i="5"/>
  <c r="Q169" i="5" s="1"/>
  <c r="O160" i="5"/>
  <c r="Q160" i="5" s="1"/>
  <c r="L158" i="5"/>
  <c r="O147" i="5"/>
  <c r="K134" i="5"/>
  <c r="P220" i="5"/>
  <c r="O211" i="5"/>
  <c r="L208" i="5"/>
  <c r="M208" i="5" s="1"/>
  <c r="P204" i="5"/>
  <c r="O193" i="5"/>
  <c r="Q193" i="5" s="1"/>
  <c r="L190" i="5"/>
  <c r="L187" i="5"/>
  <c r="P180" i="5"/>
  <c r="P177" i="5"/>
  <c r="L169" i="5"/>
  <c r="K158" i="5"/>
  <c r="P154" i="5"/>
  <c r="L147" i="5"/>
  <c r="O139" i="5"/>
  <c r="Q139" i="5" s="1"/>
  <c r="O136" i="5"/>
  <c r="Q136" i="5" s="1"/>
  <c r="L224" i="5"/>
  <c r="L215" i="5"/>
  <c r="L211" i="5"/>
  <c r="K208" i="5"/>
  <c r="L193" i="5"/>
  <c r="K190" i="5"/>
  <c r="M190" i="5" s="1"/>
  <c r="L183" i="5"/>
  <c r="O177" i="5"/>
  <c r="P172" i="5"/>
  <c r="L160" i="5"/>
  <c r="K147" i="5"/>
  <c r="M147" i="5" s="1"/>
  <c r="L139" i="5"/>
  <c r="M139" i="5" s="1"/>
  <c r="L136" i="5"/>
  <c r="K219" i="5"/>
  <c r="M219" i="5" s="1"/>
  <c r="K211" i="5"/>
  <c r="M211" i="5" s="1"/>
  <c r="O198" i="5"/>
  <c r="Q198" i="5" s="1"/>
  <c r="L177" i="5"/>
  <c r="M177" i="5" s="1"/>
  <c r="O168" i="5"/>
  <c r="Q168" i="5" s="1"/>
  <c r="K160" i="5"/>
  <c r="M160" i="5" s="1"/>
  <c r="Q147" i="5"/>
  <c r="K136" i="5"/>
  <c r="M136" i="5" s="1"/>
  <c r="Q211" i="5"/>
  <c r="M163" i="5"/>
  <c r="K224" i="5"/>
  <c r="M224" i="5" s="1"/>
  <c r="P218" i="5"/>
  <c r="K216" i="5"/>
  <c r="M216" i="5" s="1"/>
  <c r="K206" i="5"/>
  <c r="M201" i="5"/>
  <c r="L175" i="5"/>
  <c r="P164" i="5"/>
  <c r="P162" i="5"/>
  <c r="K142" i="5"/>
  <c r="K139" i="5"/>
  <c r="P227" i="5"/>
  <c r="P217" i="5"/>
  <c r="M185" i="5"/>
  <c r="O174" i="5"/>
  <c r="Q174" i="5" s="1"/>
  <c r="P171" i="5"/>
  <c r="P161" i="5"/>
  <c r="P156" i="5"/>
  <c r="P148" i="5"/>
  <c r="K144" i="5"/>
  <c r="M144" i="5" s="1"/>
  <c r="P138" i="5"/>
  <c r="O227" i="5"/>
  <c r="P219" i="5"/>
  <c r="O217" i="5"/>
  <c r="P209" i="5"/>
  <c r="M200" i="5"/>
  <c r="L192" i="5"/>
  <c r="O184" i="5"/>
  <c r="Q184" i="5" s="1"/>
  <c r="M182" i="5"/>
  <c r="M179" i="5"/>
  <c r="O176" i="5"/>
  <c r="L174" i="5"/>
  <c r="O171" i="5"/>
  <c r="O166" i="5"/>
  <c r="Q166" i="5" s="1"/>
  <c r="P163" i="5"/>
  <c r="O161" i="5"/>
  <c r="P153" i="5"/>
  <c r="P145" i="5"/>
  <c r="L227" i="5"/>
  <c r="O222" i="5"/>
  <c r="Q222" i="5" s="1"/>
  <c r="O219" i="5"/>
  <c r="L217" i="5"/>
  <c r="M217" i="5" s="1"/>
  <c r="O214" i="5"/>
  <c r="Q214" i="5" s="1"/>
  <c r="O209" i="5"/>
  <c r="L207" i="5"/>
  <c r="P196" i="5"/>
  <c r="K192" i="5"/>
  <c r="M192" i="5" s="1"/>
  <c r="L184" i="5"/>
  <c r="K174" i="5"/>
  <c r="L171" i="5"/>
  <c r="M169" i="5"/>
  <c r="L166" i="5"/>
  <c r="M166" i="5" s="1"/>
  <c r="O163" i="5"/>
  <c r="L161" i="5"/>
  <c r="O153" i="5"/>
  <c r="O145" i="5"/>
  <c r="Q145" i="5" s="1"/>
  <c r="L143" i="5"/>
  <c r="P132" i="5"/>
  <c r="O224" i="5"/>
  <c r="Q224" i="5" s="1"/>
  <c r="L222" i="5"/>
  <c r="M222" i="5" s="1"/>
  <c r="L214" i="5"/>
  <c r="M214" i="5" s="1"/>
  <c r="L209" i="5"/>
  <c r="M209" i="5" s="1"/>
  <c r="L199" i="5"/>
  <c r="P188" i="5"/>
  <c r="P186" i="5"/>
  <c r="K184" i="5"/>
  <c r="P178" i="5"/>
  <c r="L176" i="5"/>
  <c r="M176" i="5" s="1"/>
  <c r="K166" i="5"/>
  <c r="Q155" i="5"/>
  <c r="L153" i="5"/>
  <c r="M153" i="5" s="1"/>
  <c r="L145" i="5"/>
  <c r="M145" i="5" s="1"/>
  <c r="L135" i="5"/>
  <c r="Q201" i="5"/>
  <c r="Q150" i="5"/>
  <c r="Q225" i="5"/>
  <c r="Q200" i="5"/>
  <c r="Q190" i="5"/>
  <c r="Q185" i="5"/>
  <c r="Q192" i="5"/>
  <c r="Q182" i="5"/>
  <c r="Q177" i="5"/>
  <c r="Q137" i="5"/>
  <c r="M171" i="5"/>
  <c r="M198" i="5"/>
  <c r="M193" i="5"/>
  <c r="M161" i="5"/>
  <c r="M203" i="5"/>
  <c r="M227" i="5"/>
  <c r="M195" i="5"/>
  <c r="M187" i="5"/>
  <c r="M150" i="5"/>
  <c r="Q216" i="5"/>
  <c r="Q206" i="5"/>
  <c r="Q142" i="5"/>
  <c r="Q208" i="5"/>
  <c r="Q176" i="5"/>
  <c r="Q144" i="5"/>
  <c r="O226" i="5"/>
  <c r="Q226" i="5" s="1"/>
  <c r="K223" i="5"/>
  <c r="M223" i="5" s="1"/>
  <c r="O218" i="5"/>
  <c r="Q218" i="5" s="1"/>
  <c r="K215" i="5"/>
  <c r="M215" i="5" s="1"/>
  <c r="O210" i="5"/>
  <c r="Q210" i="5" s="1"/>
  <c r="K207" i="5"/>
  <c r="O202" i="5"/>
  <c r="Q202" i="5" s="1"/>
  <c r="K199" i="5"/>
  <c r="M199" i="5" s="1"/>
  <c r="O194" i="5"/>
  <c r="Q194" i="5" s="1"/>
  <c r="K191" i="5"/>
  <c r="M191" i="5" s="1"/>
  <c r="O186" i="5"/>
  <c r="K183" i="5"/>
  <c r="O178" i="5"/>
  <c r="Q178" i="5" s="1"/>
  <c r="K175" i="5"/>
  <c r="M175" i="5" s="1"/>
  <c r="O170" i="5"/>
  <c r="Q170" i="5" s="1"/>
  <c r="K167" i="5"/>
  <c r="M167" i="5" s="1"/>
  <c r="O162" i="5"/>
  <c r="K159" i="5"/>
  <c r="M159" i="5" s="1"/>
  <c r="O154" i="5"/>
  <c r="Q154" i="5" s="1"/>
  <c r="K151" i="5"/>
  <c r="M151" i="5" s="1"/>
  <c r="O146" i="5"/>
  <c r="Q146" i="5" s="1"/>
  <c r="K143" i="5"/>
  <c r="M143" i="5" s="1"/>
  <c r="O138" i="5"/>
  <c r="Q138" i="5" s="1"/>
  <c r="K135" i="5"/>
  <c r="L226" i="5"/>
  <c r="M226" i="5" s="1"/>
  <c r="P221" i="5"/>
  <c r="O220" i="5"/>
  <c r="Q220" i="5" s="1"/>
  <c r="L218" i="5"/>
  <c r="M218" i="5" s="1"/>
  <c r="P213" i="5"/>
  <c r="O212" i="5"/>
  <c r="L210" i="5"/>
  <c r="M210" i="5" s="1"/>
  <c r="P205" i="5"/>
  <c r="O204" i="5"/>
  <c r="Q204" i="5" s="1"/>
  <c r="L202" i="5"/>
  <c r="M202" i="5" s="1"/>
  <c r="P197" i="5"/>
  <c r="O196" i="5"/>
  <c r="Q196" i="5" s="1"/>
  <c r="L194" i="5"/>
  <c r="M194" i="5" s="1"/>
  <c r="P189" i="5"/>
  <c r="O188" i="5"/>
  <c r="L186" i="5"/>
  <c r="M186" i="5" s="1"/>
  <c r="P181" i="5"/>
  <c r="O180" i="5"/>
  <c r="L178" i="5"/>
  <c r="M178" i="5" s="1"/>
  <c r="P173" i="5"/>
  <c r="O172" i="5"/>
  <c r="Q172" i="5" s="1"/>
  <c r="L170" i="5"/>
  <c r="M170" i="5" s="1"/>
  <c r="P165" i="5"/>
  <c r="O164" i="5"/>
  <c r="L162" i="5"/>
  <c r="M162" i="5" s="1"/>
  <c r="P157" i="5"/>
  <c r="O156" i="5"/>
  <c r="L154" i="5"/>
  <c r="M154" i="5" s="1"/>
  <c r="P149" i="5"/>
  <c r="O148" i="5"/>
  <c r="L146" i="5"/>
  <c r="M146" i="5" s="1"/>
  <c r="P141" i="5"/>
  <c r="O140" i="5"/>
  <c r="L138" i="5"/>
  <c r="M138" i="5" s="1"/>
  <c r="P133" i="5"/>
  <c r="O132" i="5"/>
  <c r="Q132" i="5" s="1"/>
  <c r="O221" i="5"/>
  <c r="O213" i="5"/>
  <c r="O205" i="5"/>
  <c r="O197" i="5"/>
  <c r="O189" i="5"/>
  <c r="O181" i="5"/>
  <c r="O173" i="5"/>
  <c r="O165" i="5"/>
  <c r="O157" i="5"/>
  <c r="O149" i="5"/>
  <c r="O141" i="5"/>
  <c r="O133" i="5"/>
  <c r="P223" i="5"/>
  <c r="Q223" i="5" s="1"/>
  <c r="L220" i="5"/>
  <c r="M220" i="5" s="1"/>
  <c r="L212" i="5"/>
  <c r="M212" i="5" s="1"/>
  <c r="P207" i="5"/>
  <c r="Q207" i="5" s="1"/>
  <c r="L204" i="5"/>
  <c r="M204" i="5" s="1"/>
  <c r="P199" i="5"/>
  <c r="Q199" i="5" s="1"/>
  <c r="L196" i="5"/>
  <c r="M196" i="5" s="1"/>
  <c r="P191" i="5"/>
  <c r="Q191" i="5" s="1"/>
  <c r="L188" i="5"/>
  <c r="M188" i="5" s="1"/>
  <c r="P183" i="5"/>
  <c r="Q183" i="5" s="1"/>
  <c r="L180" i="5"/>
  <c r="M180" i="5" s="1"/>
  <c r="P175" i="5"/>
  <c r="Q175" i="5" s="1"/>
  <c r="L172" i="5"/>
  <c r="M172" i="5" s="1"/>
  <c r="P167" i="5"/>
  <c r="Q167" i="5" s="1"/>
  <c r="L164" i="5"/>
  <c r="M164" i="5" s="1"/>
  <c r="P159" i="5"/>
  <c r="Q159" i="5" s="1"/>
  <c r="L156" i="5"/>
  <c r="M156" i="5" s="1"/>
  <c r="P151" i="5"/>
  <c r="Q151" i="5" s="1"/>
  <c r="L148" i="5"/>
  <c r="M148" i="5" s="1"/>
  <c r="P143" i="5"/>
  <c r="Q143" i="5" s="1"/>
  <c r="L140" i="5"/>
  <c r="M140" i="5" s="1"/>
  <c r="P135" i="5"/>
  <c r="Q135" i="5" s="1"/>
  <c r="L132" i="5"/>
  <c r="M132" i="5" s="1"/>
  <c r="P215" i="5"/>
  <c r="Q215" i="5" s="1"/>
  <c r="L221" i="5"/>
  <c r="M221" i="5" s="1"/>
  <c r="L213" i="5"/>
  <c r="M213" i="5" s="1"/>
  <c r="L205" i="5"/>
  <c r="M205" i="5" s="1"/>
  <c r="L197" i="5"/>
  <c r="M197" i="5" s="1"/>
  <c r="L189" i="5"/>
  <c r="M189" i="5" s="1"/>
  <c r="L181" i="5"/>
  <c r="M181" i="5" s="1"/>
  <c r="L173" i="5"/>
  <c r="M173" i="5" s="1"/>
  <c r="L165" i="5"/>
  <c r="M165" i="5" s="1"/>
  <c r="L157" i="5"/>
  <c r="M157" i="5" s="1"/>
  <c r="L149" i="5"/>
  <c r="M149" i="5" s="1"/>
  <c r="L141" i="5"/>
  <c r="M141" i="5" s="1"/>
  <c r="L133" i="5"/>
  <c r="M133" i="5" s="1"/>
  <c r="H174" i="1"/>
  <c r="H180" i="1"/>
  <c r="H231" i="1"/>
  <c r="H196" i="1"/>
  <c r="H221" i="1"/>
  <c r="H200" i="1"/>
  <c r="H226" i="1"/>
  <c r="H223" i="1"/>
  <c r="H211" i="1"/>
  <c r="H204" i="1"/>
  <c r="H202" i="1"/>
  <c r="H192" i="1"/>
  <c r="H188" i="1"/>
  <c r="H182" i="1"/>
  <c r="H146" i="1"/>
  <c r="H218" i="1"/>
  <c r="H201" i="1"/>
  <c r="H198" i="1"/>
  <c r="H181" i="1"/>
  <c r="H154" i="1"/>
  <c r="H194" i="1"/>
  <c r="H191" i="1"/>
  <c r="H161" i="1"/>
  <c r="H157" i="1"/>
  <c r="H150" i="1"/>
  <c r="H215" i="1"/>
  <c r="H228" i="1"/>
  <c r="H187" i="1"/>
  <c r="H232" i="1"/>
  <c r="H233" i="1"/>
  <c r="H229" i="1"/>
  <c r="H217" i="1"/>
  <c r="H213" i="1"/>
  <c r="H222" i="1"/>
  <c r="H209" i="1"/>
  <c r="H210" i="1"/>
  <c r="H208" i="1"/>
  <c r="H195" i="1"/>
  <c r="H214" i="1"/>
  <c r="H206" i="1"/>
  <c r="H183" i="1"/>
  <c r="H176" i="1"/>
  <c r="H177" i="1"/>
  <c r="H216" i="1"/>
  <c r="H184" i="1"/>
  <c r="H199" i="1"/>
  <c r="H189" i="1"/>
  <c r="H168" i="1"/>
  <c r="H169" i="1"/>
  <c r="H179" i="1"/>
  <c r="H190" i="1"/>
  <c r="H166" i="1"/>
  <c r="H165" i="1"/>
  <c r="H159" i="1"/>
  <c r="H160" i="1"/>
  <c r="H173" i="1"/>
  <c r="H171" i="1"/>
  <c r="H151" i="1"/>
  <c r="H152" i="1"/>
  <c r="H149" i="1"/>
  <c r="H148" i="1"/>
  <c r="H162" i="1"/>
  <c r="H143" i="1"/>
  <c r="H144" i="1"/>
  <c r="H141" i="1"/>
  <c r="H140" i="1"/>
  <c r="D25" i="6"/>
  <c r="I25" i="6"/>
  <c r="N31" i="6"/>
  <c r="N35" i="6" s="1"/>
  <c r="N28" i="6"/>
  <c r="M28" i="6"/>
  <c r="O27" i="6"/>
  <c r="O26" i="6"/>
  <c r="O25" i="6"/>
  <c r="O24" i="6"/>
  <c r="O23" i="6"/>
  <c r="H28" i="6"/>
  <c r="G28" i="6"/>
  <c r="I27" i="6"/>
  <c r="I26" i="6"/>
  <c r="I24" i="6"/>
  <c r="I23" i="6"/>
  <c r="D24" i="6"/>
  <c r="D27" i="6"/>
  <c r="D26" i="6"/>
  <c r="D23" i="6"/>
  <c r="C28" i="6"/>
  <c r="B28" i="6"/>
  <c r="AH22" i="10" l="1"/>
  <c r="AM21" i="10"/>
  <c r="AL22" i="10"/>
  <c r="AN21" i="10"/>
  <c r="K217" i="1"/>
  <c r="N217" i="1" s="1"/>
  <c r="J217" i="1"/>
  <c r="K206" i="1"/>
  <c r="J206" i="1"/>
  <c r="K229" i="1"/>
  <c r="J229" i="1"/>
  <c r="K211" i="1"/>
  <c r="M211" i="1" s="1"/>
  <c r="J211" i="1"/>
  <c r="K209" i="1"/>
  <c r="N209" i="1" s="1"/>
  <c r="J209" i="1"/>
  <c r="K228" i="1"/>
  <c r="L228" i="1" s="1"/>
  <c r="J228" i="1"/>
  <c r="K231" i="1"/>
  <c r="L231" i="1" s="1"/>
  <c r="J231" i="1"/>
  <c r="K205" i="1"/>
  <c r="M205" i="1" s="1"/>
  <c r="J205" i="1"/>
  <c r="K222" i="1"/>
  <c r="N222" i="1" s="1"/>
  <c r="J222" i="1"/>
  <c r="K207" i="1"/>
  <c r="J207" i="1"/>
  <c r="K214" i="1"/>
  <c r="J214" i="1"/>
  <c r="K218" i="1"/>
  <c r="L218" i="1" s="1"/>
  <c r="J218" i="1"/>
  <c r="K223" i="1"/>
  <c r="J223" i="1"/>
  <c r="K220" i="1"/>
  <c r="J220" i="1"/>
  <c r="K230" i="1"/>
  <c r="J230" i="1"/>
  <c r="K204" i="1"/>
  <c r="M204" i="1" s="1"/>
  <c r="J204" i="1"/>
  <c r="K226" i="1"/>
  <c r="N226" i="1" s="1"/>
  <c r="J226" i="1"/>
  <c r="K216" i="1"/>
  <c r="J216" i="1"/>
  <c r="K213" i="1"/>
  <c r="J213" i="1"/>
  <c r="K233" i="1"/>
  <c r="M233" i="1" s="1"/>
  <c r="J233" i="1"/>
  <c r="K219" i="1"/>
  <c r="M219" i="1" s="1"/>
  <c r="J219" i="1"/>
  <c r="K212" i="1"/>
  <c r="J212" i="1"/>
  <c r="K208" i="1"/>
  <c r="J208" i="1"/>
  <c r="K232" i="1"/>
  <c r="M232" i="1" s="1"/>
  <c r="J232" i="1"/>
  <c r="K221" i="1"/>
  <c r="L221" i="1" s="1"/>
  <c r="J221" i="1"/>
  <c r="K225" i="1"/>
  <c r="J225" i="1"/>
  <c r="K227" i="1"/>
  <c r="J227" i="1"/>
  <c r="K215" i="1"/>
  <c r="L215" i="1" s="1"/>
  <c r="J215" i="1"/>
  <c r="K203" i="1"/>
  <c r="J203" i="1"/>
  <c r="K224" i="1"/>
  <c r="J224" i="1"/>
  <c r="K210" i="1"/>
  <c r="J210" i="1"/>
  <c r="K195" i="1"/>
  <c r="N195" i="1" s="1"/>
  <c r="J195" i="1"/>
  <c r="K144" i="1"/>
  <c r="L144" i="1" s="1"/>
  <c r="J144" i="1"/>
  <c r="K198" i="1"/>
  <c r="M198" i="1" s="1"/>
  <c r="J198" i="1"/>
  <c r="K180" i="1"/>
  <c r="L180" i="1" s="1"/>
  <c r="J180" i="1"/>
  <c r="K153" i="1"/>
  <c r="N153" i="1" s="1"/>
  <c r="J153" i="1"/>
  <c r="K164" i="1"/>
  <c r="L164" i="1" s="1"/>
  <c r="J164" i="1"/>
  <c r="K168" i="1"/>
  <c r="J168" i="1"/>
  <c r="K143" i="1"/>
  <c r="J143" i="1"/>
  <c r="K171" i="1"/>
  <c r="M171" i="1" s="1"/>
  <c r="J171" i="1"/>
  <c r="K189" i="1"/>
  <c r="L189" i="1" s="1"/>
  <c r="J189" i="1"/>
  <c r="K177" i="1"/>
  <c r="J177" i="1"/>
  <c r="K150" i="1"/>
  <c r="L150" i="1" s="1"/>
  <c r="J150" i="1"/>
  <c r="K201" i="1"/>
  <c r="L201" i="1" s="1"/>
  <c r="J201" i="1"/>
  <c r="K174" i="1"/>
  <c r="L174" i="1" s="1"/>
  <c r="J174" i="1"/>
  <c r="K175" i="1"/>
  <c r="N175" i="1" s="1"/>
  <c r="J175" i="1"/>
  <c r="K158" i="1"/>
  <c r="J158" i="1"/>
  <c r="K170" i="1"/>
  <c r="M170" i="1" s="1"/>
  <c r="J170" i="1"/>
  <c r="K141" i="1"/>
  <c r="L141" i="1" s="1"/>
  <c r="J141" i="1"/>
  <c r="K162" i="1"/>
  <c r="J162" i="1"/>
  <c r="K173" i="1"/>
  <c r="J173" i="1"/>
  <c r="K176" i="1"/>
  <c r="N176" i="1" s="1"/>
  <c r="J176" i="1"/>
  <c r="K157" i="1"/>
  <c r="M157" i="1" s="1"/>
  <c r="J157" i="1"/>
  <c r="K197" i="1"/>
  <c r="J197" i="1"/>
  <c r="K193" i="1"/>
  <c r="L193" i="1" s="1"/>
  <c r="J193" i="1"/>
  <c r="K155" i="1"/>
  <c r="J155" i="1"/>
  <c r="K202" i="1"/>
  <c r="M202" i="1" s="1"/>
  <c r="J202" i="1"/>
  <c r="K148" i="1"/>
  <c r="J148" i="1"/>
  <c r="K160" i="1"/>
  <c r="J160" i="1"/>
  <c r="K183" i="1"/>
  <c r="M183" i="1" s="1"/>
  <c r="J183" i="1"/>
  <c r="K161" i="1"/>
  <c r="L161" i="1" s="1"/>
  <c r="J161" i="1"/>
  <c r="K146" i="1"/>
  <c r="M146" i="1" s="1"/>
  <c r="J146" i="1"/>
  <c r="K142" i="1"/>
  <c r="N142" i="1" s="1"/>
  <c r="J142" i="1"/>
  <c r="K172" i="1"/>
  <c r="M172" i="1" s="1"/>
  <c r="J172" i="1"/>
  <c r="K167" i="1"/>
  <c r="J167" i="1"/>
  <c r="K181" i="1"/>
  <c r="M181" i="1" s="1"/>
  <c r="J181" i="1"/>
  <c r="K149" i="1"/>
  <c r="J149" i="1"/>
  <c r="K159" i="1"/>
  <c r="L159" i="1" s="1"/>
  <c r="J159" i="1"/>
  <c r="K179" i="1"/>
  <c r="M179" i="1" s="1"/>
  <c r="J179" i="1"/>
  <c r="K199" i="1"/>
  <c r="J199" i="1"/>
  <c r="K191" i="1"/>
  <c r="N191" i="1" s="1"/>
  <c r="J191" i="1"/>
  <c r="K182" i="1"/>
  <c r="M182" i="1" s="1"/>
  <c r="J182" i="1"/>
  <c r="K200" i="1"/>
  <c r="J200" i="1"/>
  <c r="K178" i="1"/>
  <c r="L178" i="1" s="1"/>
  <c r="J178" i="1"/>
  <c r="K186" i="1"/>
  <c r="J186" i="1"/>
  <c r="K147" i="1"/>
  <c r="L147" i="1" s="1"/>
  <c r="J147" i="1"/>
  <c r="K152" i="1"/>
  <c r="N152" i="1" s="1"/>
  <c r="J152" i="1"/>
  <c r="K165" i="1"/>
  <c r="J165" i="1"/>
  <c r="K184" i="1"/>
  <c r="J184" i="1"/>
  <c r="K194" i="1"/>
  <c r="N194" i="1" s="1"/>
  <c r="J194" i="1"/>
  <c r="K188" i="1"/>
  <c r="M188" i="1" s="1"/>
  <c r="J188" i="1"/>
  <c r="K139" i="1"/>
  <c r="L139" i="1" s="1"/>
  <c r="J139" i="1"/>
  <c r="K156" i="1"/>
  <c r="J156" i="1"/>
  <c r="K190" i="1"/>
  <c r="N190" i="1" s="1"/>
  <c r="J190" i="1"/>
  <c r="K140" i="1"/>
  <c r="L140" i="1" s="1"/>
  <c r="J140" i="1"/>
  <c r="K151" i="1"/>
  <c r="J151" i="1"/>
  <c r="K166" i="1"/>
  <c r="J166" i="1"/>
  <c r="K169" i="1"/>
  <c r="N169" i="1" s="1"/>
  <c r="J169" i="1"/>
  <c r="K187" i="1"/>
  <c r="L187" i="1" s="1"/>
  <c r="J187" i="1"/>
  <c r="K154" i="1"/>
  <c r="M154" i="1" s="1"/>
  <c r="J154" i="1"/>
  <c r="K192" i="1"/>
  <c r="M192" i="1" s="1"/>
  <c r="J192" i="1"/>
  <c r="K196" i="1"/>
  <c r="L196" i="1" s="1"/>
  <c r="J196" i="1"/>
  <c r="K163" i="1"/>
  <c r="L163" i="1" s="1"/>
  <c r="J163" i="1"/>
  <c r="K185" i="1"/>
  <c r="J185" i="1"/>
  <c r="K145" i="1"/>
  <c r="L145" i="1" s="1"/>
  <c r="J145" i="1"/>
  <c r="L204" i="1"/>
  <c r="N204" i="1"/>
  <c r="N198" i="1"/>
  <c r="W29" i="9"/>
  <c r="P30" i="9"/>
  <c r="Z30" i="9" s="1"/>
  <c r="AB29" i="9"/>
  <c r="X31" i="9"/>
  <c r="R78" i="9"/>
  <c r="S77" i="9"/>
  <c r="R109" i="9"/>
  <c r="S108" i="9"/>
  <c r="S29" i="9"/>
  <c r="M142" i="1"/>
  <c r="L191" i="1"/>
  <c r="M139" i="1"/>
  <c r="N139" i="1"/>
  <c r="M145" i="1"/>
  <c r="L142" i="1"/>
  <c r="L157" i="1"/>
  <c r="AB233" i="7"/>
  <c r="AA233" i="7"/>
  <c r="AC233" i="7"/>
  <c r="AB231" i="7"/>
  <c r="AC231" i="7"/>
  <c r="AA231" i="7"/>
  <c r="N23" i="7"/>
  <c r="N24" i="7" s="1"/>
  <c r="N25" i="7" s="1"/>
  <c r="AB232" i="7"/>
  <c r="AC232" i="7"/>
  <c r="AA232" i="7"/>
  <c r="AC34" i="7"/>
  <c r="AB34" i="7"/>
  <c r="AA34" i="7"/>
  <c r="AC32" i="7"/>
  <c r="AB32" i="7"/>
  <c r="AA32" i="7"/>
  <c r="AA31" i="7"/>
  <c r="AB31" i="7"/>
  <c r="AC31" i="7"/>
  <c r="AA24" i="7"/>
  <c r="AD24" i="7" s="1"/>
  <c r="AB24" i="7"/>
  <c r="AC24" i="7"/>
  <c r="O23" i="7"/>
  <c r="O24" i="7" s="1"/>
  <c r="O25" i="7" s="1"/>
  <c r="AC25" i="7"/>
  <c r="AA25" i="7"/>
  <c r="AD25" i="7" s="1"/>
  <c r="AB25" i="7"/>
  <c r="AC26" i="7"/>
  <c r="AA26" i="7"/>
  <c r="AB26" i="7"/>
  <c r="AA33" i="7"/>
  <c r="AB33" i="7"/>
  <c r="AC33" i="7"/>
  <c r="AC22" i="7"/>
  <c r="AF22" i="7" s="1"/>
  <c r="AA22" i="7"/>
  <c r="AD22" i="7" s="1"/>
  <c r="AB22" i="7"/>
  <c r="AE22" i="7" s="1"/>
  <c r="X179" i="7"/>
  <c r="AA38" i="7"/>
  <c r="AB38" i="7"/>
  <c r="AC38" i="7"/>
  <c r="AA105" i="7"/>
  <c r="AC105" i="7"/>
  <c r="AB105" i="7"/>
  <c r="AA140" i="7"/>
  <c r="AB140" i="7"/>
  <c r="AC140" i="7"/>
  <c r="AA116" i="7"/>
  <c r="AB116" i="7"/>
  <c r="AC116" i="7"/>
  <c r="AA54" i="7"/>
  <c r="AB54" i="7"/>
  <c r="AC54" i="7"/>
  <c r="AA85" i="7"/>
  <c r="AB85" i="7"/>
  <c r="AC85" i="7"/>
  <c r="AA110" i="7"/>
  <c r="AB110" i="7"/>
  <c r="AC110" i="7"/>
  <c r="AA213" i="7"/>
  <c r="AB213" i="7"/>
  <c r="AC213" i="7"/>
  <c r="AA164" i="7"/>
  <c r="AB164" i="7"/>
  <c r="AC164" i="7"/>
  <c r="AC120" i="7"/>
  <c r="AA120" i="7"/>
  <c r="AB120" i="7"/>
  <c r="AA102" i="7"/>
  <c r="AB102" i="7"/>
  <c r="AC102" i="7"/>
  <c r="AA153" i="7"/>
  <c r="AB153" i="7"/>
  <c r="AC153" i="7"/>
  <c r="AA182" i="7"/>
  <c r="AB182" i="7"/>
  <c r="AC182" i="7"/>
  <c r="X207" i="7"/>
  <c r="AA161" i="7"/>
  <c r="AB161" i="7"/>
  <c r="AC161" i="7"/>
  <c r="AA69" i="7"/>
  <c r="AB69" i="7"/>
  <c r="AC69" i="7"/>
  <c r="AA215" i="7"/>
  <c r="AC215" i="7"/>
  <c r="AB215" i="7"/>
  <c r="AA57" i="7"/>
  <c r="AB57" i="7"/>
  <c r="AC57" i="7"/>
  <c r="AA169" i="7"/>
  <c r="AB169" i="7"/>
  <c r="AC169" i="7"/>
  <c r="AA158" i="7"/>
  <c r="AC158" i="7"/>
  <c r="AB158" i="7"/>
  <c r="AA97" i="7"/>
  <c r="AB97" i="7"/>
  <c r="AC97" i="7"/>
  <c r="AA207" i="7"/>
  <c r="AC207" i="7"/>
  <c r="AB207" i="7"/>
  <c r="AA171" i="7"/>
  <c r="AC171" i="7"/>
  <c r="AB171" i="7"/>
  <c r="AA88" i="7"/>
  <c r="AB88" i="7"/>
  <c r="AC88" i="7"/>
  <c r="AA124" i="7"/>
  <c r="AB124" i="7"/>
  <c r="AC124" i="7"/>
  <c r="AA189" i="7"/>
  <c r="AB189" i="7"/>
  <c r="AC189" i="7"/>
  <c r="AA44" i="7"/>
  <c r="AB44" i="7"/>
  <c r="AC44" i="7"/>
  <c r="AA117" i="7"/>
  <c r="AB117" i="7"/>
  <c r="AC117" i="7"/>
  <c r="AA191" i="7"/>
  <c r="AC191" i="7"/>
  <c r="AB191" i="7"/>
  <c r="AB133" i="7"/>
  <c r="AC133" i="7"/>
  <c r="AA133" i="7"/>
  <c r="AA148" i="7"/>
  <c r="AB148" i="7"/>
  <c r="AC148" i="7"/>
  <c r="AA101" i="7"/>
  <c r="AB101" i="7"/>
  <c r="AC101" i="7"/>
  <c r="AA50" i="7"/>
  <c r="AB50" i="7"/>
  <c r="AC50" i="7"/>
  <c r="AA108" i="7"/>
  <c r="AC108" i="7"/>
  <c r="AB108" i="7"/>
  <c r="AA155" i="7"/>
  <c r="AC155" i="7"/>
  <c r="AB155" i="7"/>
  <c r="AA61" i="7"/>
  <c r="AB61" i="7"/>
  <c r="AC61" i="7"/>
  <c r="AA165" i="7"/>
  <c r="AB165" i="7"/>
  <c r="AC165" i="7"/>
  <c r="AA64" i="7"/>
  <c r="AB64" i="7"/>
  <c r="AC64" i="7"/>
  <c r="AA134" i="7"/>
  <c r="AB134" i="7"/>
  <c r="AC134" i="7"/>
  <c r="AA186" i="7"/>
  <c r="AB186" i="7"/>
  <c r="AC186" i="7"/>
  <c r="AA118" i="7"/>
  <c r="AB118" i="7"/>
  <c r="AC118" i="7"/>
  <c r="AA52" i="7"/>
  <c r="AB52" i="7"/>
  <c r="AC52" i="7"/>
  <c r="AA48" i="7"/>
  <c r="AB48" i="7"/>
  <c r="AC48" i="7"/>
  <c r="AA65" i="7"/>
  <c r="AB65" i="7"/>
  <c r="AC65" i="7"/>
  <c r="AB184" i="7"/>
  <c r="AC184" i="7"/>
  <c r="AA184" i="7"/>
  <c r="AA55" i="7"/>
  <c r="AC55" i="7"/>
  <c r="AB55" i="7"/>
  <c r="AA179" i="7"/>
  <c r="AC179" i="7"/>
  <c r="AB179" i="7"/>
  <c r="AB224" i="7"/>
  <c r="AA224" i="7"/>
  <c r="AC224" i="7"/>
  <c r="AA29" i="7"/>
  <c r="AC29" i="7"/>
  <c r="AB29" i="7"/>
  <c r="AA160" i="7"/>
  <c r="AB160" i="7"/>
  <c r="AC160" i="7"/>
  <c r="AA214" i="7"/>
  <c r="AB214" i="7"/>
  <c r="AC214" i="7"/>
  <c r="AA128" i="7"/>
  <c r="AC128" i="7"/>
  <c r="AB128" i="7"/>
  <c r="AA223" i="7"/>
  <c r="AC223" i="7"/>
  <c r="AB223" i="7"/>
  <c r="AC145" i="7"/>
  <c r="AA145" i="7"/>
  <c r="AB145" i="7"/>
  <c r="AB216" i="7"/>
  <c r="AC216" i="7"/>
  <c r="AA216" i="7"/>
  <c r="AA119" i="7"/>
  <c r="AC119" i="7"/>
  <c r="AB119" i="7"/>
  <c r="AB212" i="7"/>
  <c r="AA212" i="7"/>
  <c r="AC212" i="7"/>
  <c r="AA59" i="7"/>
  <c r="AC59" i="7"/>
  <c r="AB59" i="7"/>
  <c r="AC157" i="7"/>
  <c r="AA157" i="7"/>
  <c r="AB157" i="7"/>
  <c r="AA77" i="7"/>
  <c r="AB77" i="7"/>
  <c r="AC77" i="7"/>
  <c r="AA58" i="7"/>
  <c r="AB58" i="7"/>
  <c r="AC58" i="7"/>
  <c r="AA87" i="7"/>
  <c r="AC87" i="7"/>
  <c r="AB87" i="7"/>
  <c r="AA147" i="7"/>
  <c r="AB147" i="7"/>
  <c r="AC147" i="7"/>
  <c r="AA219" i="7"/>
  <c r="AC219" i="7"/>
  <c r="AB219" i="7"/>
  <c r="AA135" i="7"/>
  <c r="AC135" i="7"/>
  <c r="AB135" i="7"/>
  <c r="AA209" i="7"/>
  <c r="AB209" i="7"/>
  <c r="AC209" i="7"/>
  <c r="AA217" i="7"/>
  <c r="AB217" i="7"/>
  <c r="AC217" i="7"/>
  <c r="AB176" i="7"/>
  <c r="AA176" i="7"/>
  <c r="AC176" i="7"/>
  <c r="AA74" i="7"/>
  <c r="AB74" i="7"/>
  <c r="AC74" i="7"/>
  <c r="AA114" i="7"/>
  <c r="AB114" i="7"/>
  <c r="AC114" i="7"/>
  <c r="AA187" i="7"/>
  <c r="AC187" i="7"/>
  <c r="AB187" i="7"/>
  <c r="AA210" i="7"/>
  <c r="AB210" i="7"/>
  <c r="AC210" i="7"/>
  <c r="AA56" i="7"/>
  <c r="AB56" i="7"/>
  <c r="AC56" i="7"/>
  <c r="AA76" i="7"/>
  <c r="AB76" i="7"/>
  <c r="AC76" i="7"/>
  <c r="AA41" i="7"/>
  <c r="AB41" i="7"/>
  <c r="AC41" i="7"/>
  <c r="AA104" i="7"/>
  <c r="AB104" i="7"/>
  <c r="AC104" i="7"/>
  <c r="AA163" i="7"/>
  <c r="AC163" i="7"/>
  <c r="AB163" i="7"/>
  <c r="AA154" i="7"/>
  <c r="AB154" i="7"/>
  <c r="AC154" i="7"/>
  <c r="AA129" i="7"/>
  <c r="AB129" i="7"/>
  <c r="AC129" i="7"/>
  <c r="AA80" i="7"/>
  <c r="AB80" i="7"/>
  <c r="AC80" i="7"/>
  <c r="AA90" i="7"/>
  <c r="AB90" i="7"/>
  <c r="AC90" i="7"/>
  <c r="AA78" i="7"/>
  <c r="AB78" i="7"/>
  <c r="AC78" i="7"/>
  <c r="AA177" i="7"/>
  <c r="AB177" i="7"/>
  <c r="AC177" i="7"/>
  <c r="AA206" i="7"/>
  <c r="AB206" i="7"/>
  <c r="AC206" i="7"/>
  <c r="AB228" i="7"/>
  <c r="AA228" i="7"/>
  <c r="AC228" i="7"/>
  <c r="AA37" i="7"/>
  <c r="AB37" i="7"/>
  <c r="AC37" i="7"/>
  <c r="AA49" i="7"/>
  <c r="AB49" i="7"/>
  <c r="AC49" i="7"/>
  <c r="AA93" i="7"/>
  <c r="AB93" i="7"/>
  <c r="AC93" i="7"/>
  <c r="AA167" i="7"/>
  <c r="AC167" i="7"/>
  <c r="AB167" i="7"/>
  <c r="AA166" i="7"/>
  <c r="AB166" i="7"/>
  <c r="AC166" i="7"/>
  <c r="AA43" i="7"/>
  <c r="AC43" i="7"/>
  <c r="AB43" i="7"/>
  <c r="AA218" i="7"/>
  <c r="AB218" i="7"/>
  <c r="AC218" i="7"/>
  <c r="AA107" i="7"/>
  <c r="AC107" i="7"/>
  <c r="AB107" i="7"/>
  <c r="AB30" i="7"/>
  <c r="AA30" i="7"/>
  <c r="AC30" i="7"/>
  <c r="AA94" i="7"/>
  <c r="AB94" i="7"/>
  <c r="AC94" i="7"/>
  <c r="AC136" i="7"/>
  <c r="AA136" i="7"/>
  <c r="AB136" i="7"/>
  <c r="AC113" i="7"/>
  <c r="AA113" i="7"/>
  <c r="AB113" i="7"/>
  <c r="AA229" i="7"/>
  <c r="AB229" i="7"/>
  <c r="AC229" i="7"/>
  <c r="AB188" i="7"/>
  <c r="AA188" i="7"/>
  <c r="AC188" i="7"/>
  <c r="AC115" i="7"/>
  <c r="AB115" i="7"/>
  <c r="AA115" i="7"/>
  <c r="AA46" i="7"/>
  <c r="AB46" i="7"/>
  <c r="AC46" i="7"/>
  <c r="AA68" i="7"/>
  <c r="AB68" i="7"/>
  <c r="AC68" i="7"/>
  <c r="AA138" i="7"/>
  <c r="AB138" i="7"/>
  <c r="AC138" i="7"/>
  <c r="AA89" i="7"/>
  <c r="AB89" i="7"/>
  <c r="AC89" i="7"/>
  <c r="AA183" i="7"/>
  <c r="AC183" i="7"/>
  <c r="AB183" i="7"/>
  <c r="AA45" i="7"/>
  <c r="AB45" i="7"/>
  <c r="AC45" i="7"/>
  <c r="AA225" i="7"/>
  <c r="AB225" i="7"/>
  <c r="AC225" i="7"/>
  <c r="AA100" i="7"/>
  <c r="AB100" i="7"/>
  <c r="AC100" i="7"/>
  <c r="AA67" i="7"/>
  <c r="AC67" i="7"/>
  <c r="AB67" i="7"/>
  <c r="AA51" i="7"/>
  <c r="AC51" i="7"/>
  <c r="AB51" i="7"/>
  <c r="AA106" i="7"/>
  <c r="AB106" i="7"/>
  <c r="AC106" i="7"/>
  <c r="AA185" i="7"/>
  <c r="AB185" i="7"/>
  <c r="AC185" i="7"/>
  <c r="AC143" i="7"/>
  <c r="AA143" i="7"/>
  <c r="AB143" i="7"/>
  <c r="AA139" i="7"/>
  <c r="AB139" i="7"/>
  <c r="AC139" i="7"/>
  <c r="AA47" i="7"/>
  <c r="AC47" i="7"/>
  <c r="AB47" i="7"/>
  <c r="AA62" i="7"/>
  <c r="AB62" i="7"/>
  <c r="AC62" i="7"/>
  <c r="AA201" i="7"/>
  <c r="AB201" i="7"/>
  <c r="AC201" i="7"/>
  <c r="AA130" i="7"/>
  <c r="AB130" i="7"/>
  <c r="AC130" i="7"/>
  <c r="AA83" i="7"/>
  <c r="AC83" i="7"/>
  <c r="AB83" i="7"/>
  <c r="AA221" i="7"/>
  <c r="AB221" i="7"/>
  <c r="AC221" i="7"/>
  <c r="AA132" i="7"/>
  <c r="AB132" i="7"/>
  <c r="AC132" i="7"/>
  <c r="AC126" i="7"/>
  <c r="AA126" i="7"/>
  <c r="AB126" i="7"/>
  <c r="AA141" i="7"/>
  <c r="AB141" i="7"/>
  <c r="AC141" i="7"/>
  <c r="AA66" i="7"/>
  <c r="AB66" i="7"/>
  <c r="AC66" i="7"/>
  <c r="AA40" i="7"/>
  <c r="AB40" i="7"/>
  <c r="AC40" i="7"/>
  <c r="AA23" i="7"/>
  <c r="AD23" i="7" s="1"/>
  <c r="AB23" i="7"/>
  <c r="AE23" i="7" s="1"/>
  <c r="AC23" i="7"/>
  <c r="AF23" i="7" s="1"/>
  <c r="AA173" i="7"/>
  <c r="AB173" i="7"/>
  <c r="AC173" i="7"/>
  <c r="AA39" i="7"/>
  <c r="AC39" i="7"/>
  <c r="AB39" i="7"/>
  <c r="AA174" i="7"/>
  <c r="AB174" i="7"/>
  <c r="AC174" i="7"/>
  <c r="AA146" i="7"/>
  <c r="AB146" i="7"/>
  <c r="AC146" i="7"/>
  <c r="AA175" i="7"/>
  <c r="AC175" i="7"/>
  <c r="AB175" i="7"/>
  <c r="AA199" i="7"/>
  <c r="AC199" i="7"/>
  <c r="AB199" i="7"/>
  <c r="AB220" i="7"/>
  <c r="AA220" i="7"/>
  <c r="AC220" i="7"/>
  <c r="AA144" i="7"/>
  <c r="AC144" i="7"/>
  <c r="AB144" i="7"/>
  <c r="AA198" i="7"/>
  <c r="AB198" i="7"/>
  <c r="AC198" i="7"/>
  <c r="AA152" i="7"/>
  <c r="AB152" i="7"/>
  <c r="AC152" i="7"/>
  <c r="AA137" i="7"/>
  <c r="AB137" i="7"/>
  <c r="AC137" i="7"/>
  <c r="AA195" i="7"/>
  <c r="AC195" i="7"/>
  <c r="AB195" i="7"/>
  <c r="AB192" i="7"/>
  <c r="AA192" i="7"/>
  <c r="AC192" i="7"/>
  <c r="AA81" i="7"/>
  <c r="AB81" i="7"/>
  <c r="AC81" i="7"/>
  <c r="AB204" i="7"/>
  <c r="AA204" i="7"/>
  <c r="AC204" i="7"/>
  <c r="AA227" i="7"/>
  <c r="AC227" i="7"/>
  <c r="AB227" i="7"/>
  <c r="X155" i="7"/>
  <c r="X68" i="7"/>
  <c r="X213" i="7"/>
  <c r="X223" i="7"/>
  <c r="X192" i="7"/>
  <c r="X182" i="7"/>
  <c r="X94" i="7"/>
  <c r="X110" i="7"/>
  <c r="X225" i="7"/>
  <c r="X40" i="7"/>
  <c r="X132" i="7"/>
  <c r="X46" i="7"/>
  <c r="X76" i="7"/>
  <c r="X134" i="7"/>
  <c r="X153" i="7"/>
  <c r="X215" i="7"/>
  <c r="X113" i="7"/>
  <c r="X50" i="7"/>
  <c r="X97" i="7"/>
  <c r="X188" i="7"/>
  <c r="X22" i="7"/>
  <c r="X228" i="7"/>
  <c r="X48" i="7"/>
  <c r="X141" i="7"/>
  <c r="X169" i="7"/>
  <c r="X64" i="7"/>
  <c r="X152" i="7"/>
  <c r="X100" i="7"/>
  <c r="X210" i="7"/>
  <c r="X144" i="7"/>
  <c r="X90" i="7"/>
  <c r="X143" i="7"/>
  <c r="X164" i="7"/>
  <c r="X221" i="7"/>
  <c r="X167" i="7"/>
  <c r="X135" i="7"/>
  <c r="X201" i="7"/>
  <c r="X116" i="7"/>
  <c r="X41" i="7"/>
  <c r="X107" i="7"/>
  <c r="X163" i="7"/>
  <c r="X51" i="7"/>
  <c r="X74" i="7"/>
  <c r="X47" i="7"/>
  <c r="X37" i="7"/>
  <c r="X218" i="7"/>
  <c r="X83" i="7"/>
  <c r="X104" i="7"/>
  <c r="X44" i="7"/>
  <c r="X199" i="7"/>
  <c r="X137" i="7"/>
  <c r="X66" i="7"/>
  <c r="X88" i="7"/>
  <c r="X80" i="7"/>
  <c r="X158" i="7"/>
  <c r="X77" i="7"/>
  <c r="X52" i="7"/>
  <c r="X229" i="7"/>
  <c r="X58" i="7"/>
  <c r="X43" i="7"/>
  <c r="X62" i="7"/>
  <c r="X69" i="7"/>
  <c r="X224" i="7"/>
  <c r="X29" i="7"/>
  <c r="X119" i="7"/>
  <c r="X89" i="7"/>
  <c r="X23" i="7"/>
  <c r="X185" i="7"/>
  <c r="X216" i="7"/>
  <c r="X189" i="7"/>
  <c r="X154" i="7"/>
  <c r="X148" i="7"/>
  <c r="X118" i="7"/>
  <c r="X212" i="7"/>
  <c r="X38" i="7"/>
  <c r="X206" i="7"/>
  <c r="X145" i="7"/>
  <c r="X219" i="7"/>
  <c r="X175" i="7"/>
  <c r="X85" i="7"/>
  <c r="X54" i="7"/>
  <c r="X49" i="7"/>
  <c r="X195" i="7"/>
  <c r="X157" i="7"/>
  <c r="X105" i="7"/>
  <c r="X198" i="7"/>
  <c r="X220" i="7"/>
  <c r="X108" i="7"/>
  <c r="L175" i="1"/>
  <c r="M175" i="1"/>
  <c r="L223" i="1"/>
  <c r="N158" i="1"/>
  <c r="N227" i="1"/>
  <c r="N154" i="1"/>
  <c r="L197" i="1"/>
  <c r="M225" i="1"/>
  <c r="M220" i="1"/>
  <c r="N150" i="1"/>
  <c r="N182" i="1"/>
  <c r="M150" i="1"/>
  <c r="L146" i="1"/>
  <c r="L181" i="1"/>
  <c r="M180" i="1"/>
  <c r="N215" i="1"/>
  <c r="N228" i="1"/>
  <c r="N192" i="1"/>
  <c r="N180" i="1"/>
  <c r="L198" i="1"/>
  <c r="N231" i="1"/>
  <c r="N178" i="1"/>
  <c r="M178" i="1"/>
  <c r="M231" i="1"/>
  <c r="M164" i="1"/>
  <c r="N181" i="1"/>
  <c r="N146" i="1"/>
  <c r="M186" i="1"/>
  <c r="M25" i="7"/>
  <c r="M228" i="1"/>
  <c r="Q171" i="5"/>
  <c r="M142" i="5"/>
  <c r="M193" i="1"/>
  <c r="M134" i="5"/>
  <c r="M158" i="5"/>
  <c r="M31" i="6"/>
  <c r="Q163" i="5"/>
  <c r="M206" i="5"/>
  <c r="L211" i="1"/>
  <c r="M191" i="1"/>
  <c r="N193" i="1"/>
  <c r="Q180" i="5"/>
  <c r="Q209" i="5"/>
  <c r="H31" i="6"/>
  <c r="H35" i="6" s="1"/>
  <c r="O28" i="6"/>
  <c r="Q149" i="5"/>
  <c r="Q213" i="5"/>
  <c r="Q148" i="5"/>
  <c r="Q212" i="5"/>
  <c r="M207" i="5"/>
  <c r="M183" i="5"/>
  <c r="Q153" i="5"/>
  <c r="Q187" i="5"/>
  <c r="Q156" i="5"/>
  <c r="Q161" i="5"/>
  <c r="Q217" i="5"/>
  <c r="Q227" i="5"/>
  <c r="Q140" i="5"/>
  <c r="M174" i="5"/>
  <c r="Q219" i="5"/>
  <c r="Q186" i="5"/>
  <c r="Q181" i="5"/>
  <c r="Q164" i="5"/>
  <c r="M135" i="5"/>
  <c r="Q188" i="5"/>
  <c r="Q173" i="5"/>
  <c r="Q162" i="5"/>
  <c r="M184" i="5"/>
  <c r="Q197" i="5"/>
  <c r="Q141" i="5"/>
  <c r="Q205" i="5"/>
  <c r="Q157" i="5"/>
  <c r="Q221" i="5"/>
  <c r="Q133" i="5"/>
  <c r="Q165" i="5"/>
  <c r="Q189" i="5"/>
  <c r="M187" i="1"/>
  <c r="N188" i="1"/>
  <c r="N232" i="1"/>
  <c r="M174" i="1"/>
  <c r="N140" i="1"/>
  <c r="M141" i="1"/>
  <c r="N141" i="1"/>
  <c r="L216" i="1"/>
  <c r="M216" i="1"/>
  <c r="N216" i="1"/>
  <c r="M209" i="1"/>
  <c r="N213" i="1"/>
  <c r="L213" i="1"/>
  <c r="M213" i="1"/>
  <c r="L173" i="1"/>
  <c r="M173" i="1"/>
  <c r="N173" i="1"/>
  <c r="N144" i="1"/>
  <c r="L190" i="1"/>
  <c r="M190" i="1"/>
  <c r="N177" i="1"/>
  <c r="M177" i="1"/>
  <c r="L177" i="1"/>
  <c r="L143" i="1"/>
  <c r="M143" i="1"/>
  <c r="N143" i="1"/>
  <c r="M176" i="1"/>
  <c r="L148" i="1"/>
  <c r="M148" i="1"/>
  <c r="N148" i="1"/>
  <c r="N160" i="1"/>
  <c r="L160" i="1"/>
  <c r="M160" i="1"/>
  <c r="N183" i="1"/>
  <c r="L183" i="1"/>
  <c r="M217" i="1"/>
  <c r="L162" i="1"/>
  <c r="M162" i="1"/>
  <c r="N162" i="1"/>
  <c r="M149" i="1"/>
  <c r="N149" i="1"/>
  <c r="L149" i="1"/>
  <c r="L168" i="1"/>
  <c r="M168" i="1"/>
  <c r="N168" i="1"/>
  <c r="L165" i="1"/>
  <c r="M165" i="1"/>
  <c r="N165" i="1"/>
  <c r="N229" i="1"/>
  <c r="M229" i="1"/>
  <c r="L229" i="1"/>
  <c r="L151" i="1"/>
  <c r="M151" i="1"/>
  <c r="N151" i="1"/>
  <c r="L171" i="1"/>
  <c r="N166" i="1"/>
  <c r="L166" i="1"/>
  <c r="M166" i="1"/>
  <c r="M199" i="1"/>
  <c r="L199" i="1"/>
  <c r="N199" i="1"/>
  <c r="M206" i="1"/>
  <c r="N206" i="1"/>
  <c r="L206" i="1"/>
  <c r="L208" i="1"/>
  <c r="M208" i="1"/>
  <c r="N208" i="1"/>
  <c r="L222" i="1"/>
  <c r="M222" i="1"/>
  <c r="L184" i="1"/>
  <c r="N184" i="1"/>
  <c r="M184" i="1"/>
  <c r="M214" i="1"/>
  <c r="N214" i="1"/>
  <c r="L214" i="1"/>
  <c r="L210" i="1"/>
  <c r="N210" i="1"/>
  <c r="M210" i="1"/>
  <c r="M35" i="6"/>
  <c r="O35" i="6" s="1"/>
  <c r="M34" i="6"/>
  <c r="M32" i="6"/>
  <c r="M33" i="6" s="1"/>
  <c r="O31" i="6"/>
  <c r="N32" i="6"/>
  <c r="N34" i="6"/>
  <c r="I28" i="6"/>
  <c r="G31" i="6"/>
  <c r="I31" i="6" s="1"/>
  <c r="H34" i="6"/>
  <c r="H32" i="6"/>
  <c r="D28" i="6"/>
  <c r="C31" i="6"/>
  <c r="B31" i="6"/>
  <c r="L217" i="1" l="1"/>
  <c r="L209" i="1"/>
  <c r="M161" i="1"/>
  <c r="L179" i="1"/>
  <c r="M140" i="1"/>
  <c r="N187" i="1"/>
  <c r="M163" i="1"/>
  <c r="M152" i="1"/>
  <c r="N179" i="1"/>
  <c r="N189" i="1"/>
  <c r="N202" i="1"/>
  <c r="N161" i="1"/>
  <c r="M226" i="1"/>
  <c r="N163" i="1"/>
  <c r="L152" i="1"/>
  <c r="M144" i="1"/>
  <c r="M189" i="1"/>
  <c r="N174" i="1"/>
  <c r="L188" i="1"/>
  <c r="L226" i="1"/>
  <c r="N164" i="1"/>
  <c r="L202" i="1"/>
  <c r="N157" i="1"/>
  <c r="AH23" i="10"/>
  <c r="AM22" i="10"/>
  <c r="AL23" i="10"/>
  <c r="AN22" i="10"/>
  <c r="N147" i="1"/>
  <c r="L169" i="1"/>
  <c r="L233" i="1"/>
  <c r="M218" i="1"/>
  <c r="M147" i="1"/>
  <c r="M201" i="1"/>
  <c r="L170" i="1"/>
  <c r="N159" i="1"/>
  <c r="M169" i="1"/>
  <c r="N233" i="1"/>
  <c r="M194" i="1"/>
  <c r="M196" i="1"/>
  <c r="M215" i="1"/>
  <c r="N205" i="1"/>
  <c r="L182" i="1"/>
  <c r="L227" i="1"/>
  <c r="M227" i="1"/>
  <c r="N230" i="1"/>
  <c r="M230" i="1"/>
  <c r="L230" i="1"/>
  <c r="N170" i="1"/>
  <c r="M159" i="1"/>
  <c r="M195" i="1"/>
  <c r="L194" i="1"/>
  <c r="N211" i="1"/>
  <c r="N218" i="1"/>
  <c r="N201" i="1"/>
  <c r="N224" i="1"/>
  <c r="M224" i="1"/>
  <c r="L224" i="1"/>
  <c r="L225" i="1"/>
  <c r="N225" i="1"/>
  <c r="L212" i="1"/>
  <c r="M212" i="1"/>
  <c r="N212" i="1"/>
  <c r="N220" i="1"/>
  <c r="L220" i="1"/>
  <c r="L207" i="1"/>
  <c r="M207" i="1"/>
  <c r="N207" i="1"/>
  <c r="N171" i="1"/>
  <c r="L195" i="1"/>
  <c r="L176" i="1"/>
  <c r="L232" i="1"/>
  <c r="N196" i="1"/>
  <c r="L153" i="1"/>
  <c r="M153" i="1"/>
  <c r="L205" i="1"/>
  <c r="N203" i="1"/>
  <c r="M203" i="1"/>
  <c r="L203" i="1"/>
  <c r="N221" i="1"/>
  <c r="M221" i="1"/>
  <c r="L219" i="1"/>
  <c r="N219" i="1"/>
  <c r="M223" i="1"/>
  <c r="N223" i="1"/>
  <c r="L156" i="1"/>
  <c r="N156" i="1"/>
  <c r="M156" i="1"/>
  <c r="L186" i="1"/>
  <c r="N186" i="1"/>
  <c r="L158" i="1"/>
  <c r="M158" i="1"/>
  <c r="N145" i="1"/>
  <c r="L185" i="1"/>
  <c r="N185" i="1"/>
  <c r="M185" i="1"/>
  <c r="M197" i="1"/>
  <c r="N197" i="1"/>
  <c r="L192" i="1"/>
  <c r="L200" i="1"/>
  <c r="M200" i="1"/>
  <c r="N200" i="1"/>
  <c r="M167" i="1"/>
  <c r="N167" i="1"/>
  <c r="L167" i="1"/>
  <c r="L154" i="1"/>
  <c r="L172" i="1"/>
  <c r="N172" i="1"/>
  <c r="L155" i="1"/>
  <c r="N155" i="1"/>
  <c r="M155" i="1"/>
  <c r="AF25" i="7"/>
  <c r="P31" i="9"/>
  <c r="Z31" i="9" s="1"/>
  <c r="AB30" i="9"/>
  <c r="W30" i="9"/>
  <c r="R110" i="9"/>
  <c r="S109" i="9"/>
  <c r="R79" i="9"/>
  <c r="S78" i="9"/>
  <c r="S30" i="9"/>
  <c r="AF24" i="7"/>
  <c r="AE24" i="7"/>
  <c r="AE25" i="7"/>
  <c r="AE26" i="7"/>
  <c r="AD26" i="7"/>
  <c r="AF26" i="7"/>
  <c r="N26" i="7"/>
  <c r="AE27" i="7" s="1"/>
  <c r="O26" i="7"/>
  <c r="AF27" i="7" s="1"/>
  <c r="M26" i="7"/>
  <c r="AD27" i="7" s="1"/>
  <c r="O34" i="6"/>
  <c r="P34" i="6" s="1"/>
  <c r="N33" i="6"/>
  <c r="O32" i="6"/>
  <c r="P32" i="6" s="1"/>
  <c r="G32" i="6"/>
  <c r="G33" i="6" s="1"/>
  <c r="G34" i="6"/>
  <c r="G35" i="6"/>
  <c r="I35" i="6" s="1"/>
  <c r="I34" i="6"/>
  <c r="J34" i="6" s="1"/>
  <c r="H33" i="6"/>
  <c r="B32" i="6"/>
  <c r="B33" i="6" s="1"/>
  <c r="B34" i="6"/>
  <c r="B35" i="6"/>
  <c r="C32" i="6"/>
  <c r="C34" i="6"/>
  <c r="D31" i="6"/>
  <c r="C35" i="6"/>
  <c r="AH24" i="10" l="1"/>
  <c r="AM23" i="10"/>
  <c r="AL24" i="10"/>
  <c r="AN23" i="10"/>
  <c r="W31" i="9"/>
  <c r="P32" i="9"/>
  <c r="AB31" i="9"/>
  <c r="S79" i="9"/>
  <c r="R80" i="9"/>
  <c r="R111" i="9"/>
  <c r="S110" i="9"/>
  <c r="S31" i="9"/>
  <c r="M27" i="7"/>
  <c r="AD28" i="7" s="1"/>
  <c r="O27" i="7"/>
  <c r="AF28" i="7" s="1"/>
  <c r="N27" i="7"/>
  <c r="AE28" i="7" s="1"/>
  <c r="P33" i="6"/>
  <c r="P36" i="6" s="1"/>
  <c r="O33" i="6"/>
  <c r="I32" i="6"/>
  <c r="J32" i="6" s="1"/>
  <c r="J33" i="6"/>
  <c r="J36" i="6" s="1"/>
  <c r="I33" i="6"/>
  <c r="D35" i="6"/>
  <c r="C33" i="6"/>
  <c r="D32" i="6"/>
  <c r="E32" i="6" s="1"/>
  <c r="D34" i="6"/>
  <c r="E34" i="6" s="1"/>
  <c r="J23" i="5"/>
  <c r="K23" i="5" s="1"/>
  <c r="J24" i="5"/>
  <c r="L24" i="5" s="1"/>
  <c r="J25" i="5"/>
  <c r="P25" i="5" s="1"/>
  <c r="J26" i="5"/>
  <c r="O26" i="5" s="1"/>
  <c r="J27" i="5"/>
  <c r="L27" i="5" s="1"/>
  <c r="J28" i="5"/>
  <c r="K28" i="5" s="1"/>
  <c r="J29" i="5"/>
  <c r="J30" i="5"/>
  <c r="K30" i="5" s="1"/>
  <c r="J31" i="5"/>
  <c r="K31" i="5" s="1"/>
  <c r="J32" i="5"/>
  <c r="L32" i="5" s="1"/>
  <c r="J33" i="5"/>
  <c r="P33" i="5" s="1"/>
  <c r="J34" i="5"/>
  <c r="O34" i="5" s="1"/>
  <c r="J35" i="5"/>
  <c r="P35" i="5" s="1"/>
  <c r="J36" i="5"/>
  <c r="K36" i="5" s="1"/>
  <c r="J37" i="5"/>
  <c r="J38" i="5"/>
  <c r="O38" i="5" s="1"/>
  <c r="J39" i="5"/>
  <c r="O39" i="5" s="1"/>
  <c r="J40" i="5"/>
  <c r="L40" i="5" s="1"/>
  <c r="J41" i="5"/>
  <c r="P41" i="5" s="1"/>
  <c r="J42" i="5"/>
  <c r="O42" i="5" s="1"/>
  <c r="J43" i="5"/>
  <c r="P43" i="5" s="1"/>
  <c r="J44" i="5"/>
  <c r="O44" i="5" s="1"/>
  <c r="J45" i="5"/>
  <c r="J46" i="5"/>
  <c r="O46" i="5" s="1"/>
  <c r="J47" i="5"/>
  <c r="O47" i="5" s="1"/>
  <c r="J48" i="5"/>
  <c r="L48" i="5" s="1"/>
  <c r="J49" i="5"/>
  <c r="P49" i="5" s="1"/>
  <c r="J50" i="5"/>
  <c r="O50" i="5" s="1"/>
  <c r="J51" i="5"/>
  <c r="L51" i="5" s="1"/>
  <c r="J52" i="5"/>
  <c r="K52" i="5" s="1"/>
  <c r="J53" i="5"/>
  <c r="J54" i="5"/>
  <c r="O54" i="5" s="1"/>
  <c r="J55" i="5"/>
  <c r="K55" i="5" s="1"/>
  <c r="J56" i="5"/>
  <c r="L56" i="5" s="1"/>
  <c r="J57" i="5"/>
  <c r="P57" i="5" s="1"/>
  <c r="J58" i="5"/>
  <c r="O58" i="5" s="1"/>
  <c r="J59" i="5"/>
  <c r="L59" i="5" s="1"/>
  <c r="J60" i="5"/>
  <c r="L60" i="5" s="1"/>
  <c r="J61" i="5"/>
  <c r="J62" i="5"/>
  <c r="O62" i="5" s="1"/>
  <c r="J63" i="5"/>
  <c r="K63" i="5" s="1"/>
  <c r="J64" i="5"/>
  <c r="L64" i="5" s="1"/>
  <c r="J65" i="5"/>
  <c r="P65" i="5" s="1"/>
  <c r="J66" i="5"/>
  <c r="O66" i="5" s="1"/>
  <c r="J67" i="5"/>
  <c r="P67" i="5" s="1"/>
  <c r="J68" i="5"/>
  <c r="K68" i="5" s="1"/>
  <c r="J69" i="5"/>
  <c r="J70" i="5"/>
  <c r="O70" i="5" s="1"/>
  <c r="J71" i="5"/>
  <c r="K71" i="5" s="1"/>
  <c r="J72" i="5"/>
  <c r="L72" i="5" s="1"/>
  <c r="J73" i="5"/>
  <c r="P73" i="5" s="1"/>
  <c r="J74" i="5"/>
  <c r="O74" i="5" s="1"/>
  <c r="J75" i="5"/>
  <c r="P75" i="5" s="1"/>
  <c r="J76" i="5"/>
  <c r="K76" i="5" s="1"/>
  <c r="J77" i="5"/>
  <c r="J78" i="5"/>
  <c r="O78" i="5" s="1"/>
  <c r="J79" i="5"/>
  <c r="O79" i="5" s="1"/>
  <c r="J80" i="5"/>
  <c r="L80" i="5" s="1"/>
  <c r="J81" i="5"/>
  <c r="P81" i="5" s="1"/>
  <c r="J82" i="5"/>
  <c r="O82" i="5" s="1"/>
  <c r="J83" i="5"/>
  <c r="P83" i="5" s="1"/>
  <c r="J84" i="5"/>
  <c r="K84" i="5" s="1"/>
  <c r="J85" i="5"/>
  <c r="J86" i="5"/>
  <c r="O86" i="5" s="1"/>
  <c r="J87" i="5"/>
  <c r="O87" i="5" s="1"/>
  <c r="J88" i="5"/>
  <c r="L88" i="5" s="1"/>
  <c r="J89" i="5"/>
  <c r="P89" i="5" s="1"/>
  <c r="J90" i="5"/>
  <c r="O90" i="5" s="1"/>
  <c r="J91" i="5"/>
  <c r="P91" i="5" s="1"/>
  <c r="J92" i="5"/>
  <c r="O92" i="5" s="1"/>
  <c r="J93" i="5"/>
  <c r="J94" i="5"/>
  <c r="O94" i="5" s="1"/>
  <c r="J95" i="5"/>
  <c r="O95" i="5" s="1"/>
  <c r="J96" i="5"/>
  <c r="L96" i="5" s="1"/>
  <c r="J97" i="5"/>
  <c r="P97" i="5" s="1"/>
  <c r="J98" i="5"/>
  <c r="O98" i="5" s="1"/>
  <c r="J99" i="5"/>
  <c r="K99" i="5" s="1"/>
  <c r="J100" i="5"/>
  <c r="O100" i="5" s="1"/>
  <c r="J101" i="5"/>
  <c r="J102" i="5"/>
  <c r="O102" i="5" s="1"/>
  <c r="J103" i="5"/>
  <c r="K103" i="5" s="1"/>
  <c r="J104" i="5"/>
  <c r="L104" i="5" s="1"/>
  <c r="J105" i="5"/>
  <c r="P105" i="5" s="1"/>
  <c r="J106" i="5"/>
  <c r="K106" i="5" s="1"/>
  <c r="J107" i="5"/>
  <c r="L107" i="5" s="1"/>
  <c r="J108" i="5"/>
  <c r="K108" i="5" s="1"/>
  <c r="J109" i="5"/>
  <c r="O109" i="5" s="1"/>
  <c r="J110" i="5"/>
  <c r="O110" i="5" s="1"/>
  <c r="J111" i="5"/>
  <c r="O111" i="5" s="1"/>
  <c r="J112" i="5"/>
  <c r="L112" i="5" s="1"/>
  <c r="J113" i="5"/>
  <c r="P113" i="5" s="1"/>
  <c r="J114" i="5"/>
  <c r="O114" i="5" s="1"/>
  <c r="J115" i="5"/>
  <c r="P115" i="5" s="1"/>
  <c r="J116" i="5"/>
  <c r="K116" i="5" s="1"/>
  <c r="J117" i="5"/>
  <c r="J118" i="5"/>
  <c r="O118" i="5" s="1"/>
  <c r="J119" i="5"/>
  <c r="O119" i="5" s="1"/>
  <c r="J120" i="5"/>
  <c r="L120" i="5" s="1"/>
  <c r="J121" i="5"/>
  <c r="P121" i="5" s="1"/>
  <c r="J122" i="5"/>
  <c r="O122" i="5" s="1"/>
  <c r="J123" i="5"/>
  <c r="L123" i="5" s="1"/>
  <c r="J124" i="5"/>
  <c r="K124" i="5" s="1"/>
  <c r="J125" i="5"/>
  <c r="J126" i="5"/>
  <c r="O126" i="5" s="1"/>
  <c r="J127" i="5"/>
  <c r="O127" i="5" s="1"/>
  <c r="J128" i="5"/>
  <c r="L128" i="5" s="1"/>
  <c r="J129" i="5"/>
  <c r="P129" i="5" s="1"/>
  <c r="J130" i="5"/>
  <c r="O130" i="5" s="1"/>
  <c r="J131" i="5"/>
  <c r="K131" i="5" s="1"/>
  <c r="J16" i="5"/>
  <c r="K16" i="5" s="1"/>
  <c r="J17" i="5"/>
  <c r="J18" i="5"/>
  <c r="O18" i="5" s="1"/>
  <c r="J19" i="5"/>
  <c r="L19" i="5" s="1"/>
  <c r="J20" i="5"/>
  <c r="K20" i="5" s="1"/>
  <c r="J21" i="5"/>
  <c r="P21" i="5" s="1"/>
  <c r="J22" i="5"/>
  <c r="O22" i="5" s="1"/>
  <c r="J15" i="5"/>
  <c r="P15" i="5" s="1"/>
  <c r="AH25" i="10" l="1"/>
  <c r="AM24" i="10"/>
  <c r="AL25" i="10"/>
  <c r="AN24" i="10"/>
  <c r="V32" i="9"/>
  <c r="AB32" i="9"/>
  <c r="AC32" i="9" s="1"/>
  <c r="AD32" i="9" s="1"/>
  <c r="P33" i="9"/>
  <c r="X32" i="9"/>
  <c r="Z32" i="9" s="1"/>
  <c r="W32" i="9"/>
  <c r="S111" i="9"/>
  <c r="R112" i="9"/>
  <c r="S80" i="9"/>
  <c r="R81" i="9"/>
  <c r="S32" i="9"/>
  <c r="M28" i="7"/>
  <c r="AD29" i="7" s="1"/>
  <c r="N28" i="7"/>
  <c r="AE29" i="7" s="1"/>
  <c r="O28" i="7"/>
  <c r="AF29" i="7" s="1"/>
  <c r="P80" i="5"/>
  <c r="P55" i="5"/>
  <c r="P20" i="5"/>
  <c r="L87" i="5"/>
  <c r="L23" i="5"/>
  <c r="M23" i="5" s="1"/>
  <c r="O105" i="5"/>
  <c r="Q105" i="5" s="1"/>
  <c r="O80" i="5"/>
  <c r="Q80" i="5" s="1"/>
  <c r="O41" i="5"/>
  <c r="Q41" i="5" s="1"/>
  <c r="O20" i="5"/>
  <c r="L71" i="5"/>
  <c r="M71" i="5" s="1"/>
  <c r="P104" i="5"/>
  <c r="P79" i="5"/>
  <c r="Q79" i="5" s="1"/>
  <c r="P40" i="5"/>
  <c r="P19" i="5"/>
  <c r="L70" i="5"/>
  <c r="O129" i="5"/>
  <c r="Q129" i="5" s="1"/>
  <c r="O104" i="5"/>
  <c r="P71" i="5"/>
  <c r="O40" i="5"/>
  <c r="L118" i="5"/>
  <c r="L54" i="5"/>
  <c r="P128" i="5"/>
  <c r="O96" i="5"/>
  <c r="O65" i="5"/>
  <c r="Q65" i="5" s="1"/>
  <c r="O32" i="5"/>
  <c r="L111" i="5"/>
  <c r="L47" i="5"/>
  <c r="P120" i="5"/>
  <c r="P95" i="5"/>
  <c r="Q95" i="5" s="1"/>
  <c r="P64" i="5"/>
  <c r="P31" i="5"/>
  <c r="L110" i="5"/>
  <c r="L46" i="5"/>
  <c r="O120" i="5"/>
  <c r="O89" i="5"/>
  <c r="Q89" i="5" s="1"/>
  <c r="P56" i="5"/>
  <c r="O25" i="5"/>
  <c r="Q25" i="5" s="1"/>
  <c r="L95" i="5"/>
  <c r="L31" i="5"/>
  <c r="M31" i="5" s="1"/>
  <c r="P119" i="5"/>
  <c r="Q119" i="5" s="1"/>
  <c r="O81" i="5"/>
  <c r="Q81" i="5" s="1"/>
  <c r="O56" i="5"/>
  <c r="P24" i="5"/>
  <c r="L94" i="5"/>
  <c r="L30" i="5"/>
  <c r="M30" i="5" s="1"/>
  <c r="E33" i="6"/>
  <c r="E36" i="6" s="1"/>
  <c r="D33" i="6"/>
  <c r="P17" i="5"/>
  <c r="O17" i="5"/>
  <c r="P125" i="5"/>
  <c r="L125" i="5"/>
  <c r="O125" i="5"/>
  <c r="K117" i="5"/>
  <c r="O117" i="5"/>
  <c r="L117" i="5"/>
  <c r="P109" i="5"/>
  <c r="Q109" i="5" s="1"/>
  <c r="L109" i="5"/>
  <c r="P101" i="5"/>
  <c r="L101" i="5"/>
  <c r="O101" i="5"/>
  <c r="K93" i="5"/>
  <c r="O93" i="5"/>
  <c r="L93" i="5"/>
  <c r="K85" i="5"/>
  <c r="O85" i="5"/>
  <c r="L85" i="5"/>
  <c r="P77" i="5"/>
  <c r="O77" i="5"/>
  <c r="L77" i="5"/>
  <c r="K69" i="5"/>
  <c r="O69" i="5"/>
  <c r="L69" i="5"/>
  <c r="K61" i="5"/>
  <c r="L61" i="5"/>
  <c r="O61" i="5"/>
  <c r="P53" i="5"/>
  <c r="O53" i="5"/>
  <c r="L53" i="5"/>
  <c r="P45" i="5"/>
  <c r="O45" i="5"/>
  <c r="Q45" i="5" s="1"/>
  <c r="L45" i="5"/>
  <c r="P37" i="5"/>
  <c r="L37" i="5"/>
  <c r="O37" i="5"/>
  <c r="K29" i="5"/>
  <c r="L29" i="5"/>
  <c r="O29" i="5"/>
  <c r="Q120" i="5"/>
  <c r="O128" i="5"/>
  <c r="O113" i="5"/>
  <c r="Q113" i="5" s="1"/>
  <c r="P103" i="5"/>
  <c r="P88" i="5"/>
  <c r="O64" i="5"/>
  <c r="Q64" i="5" s="1"/>
  <c r="O49" i="5"/>
  <c r="Q49" i="5" s="1"/>
  <c r="P39" i="5"/>
  <c r="Q39" i="5" s="1"/>
  <c r="L127" i="5"/>
  <c r="L86" i="5"/>
  <c r="L63" i="5"/>
  <c r="M63" i="5" s="1"/>
  <c r="L21" i="5"/>
  <c r="P127" i="5"/>
  <c r="Q127" i="5" s="1"/>
  <c r="P112" i="5"/>
  <c r="O88" i="5"/>
  <c r="Q88" i="5" s="1"/>
  <c r="O73" i="5"/>
  <c r="Q73" i="5" s="1"/>
  <c r="P63" i="5"/>
  <c r="P48" i="5"/>
  <c r="O24" i="5"/>
  <c r="Q24" i="5" s="1"/>
  <c r="L126" i="5"/>
  <c r="L103" i="5"/>
  <c r="M103" i="5" s="1"/>
  <c r="L62" i="5"/>
  <c r="L39" i="5"/>
  <c r="L20" i="5"/>
  <c r="M20" i="5" s="1"/>
  <c r="O112" i="5"/>
  <c r="O97" i="5"/>
  <c r="Q97" i="5" s="1"/>
  <c r="P87" i="5"/>
  <c r="Q87" i="5" s="1"/>
  <c r="P72" i="5"/>
  <c r="O48" i="5"/>
  <c r="O33" i="5"/>
  <c r="Q33" i="5" s="1"/>
  <c r="P23" i="5"/>
  <c r="L102" i="5"/>
  <c r="L79" i="5"/>
  <c r="L38" i="5"/>
  <c r="O121" i="5"/>
  <c r="Q121" i="5" s="1"/>
  <c r="P111" i="5"/>
  <c r="Q111" i="5" s="1"/>
  <c r="P96" i="5"/>
  <c r="Q96" i="5" s="1"/>
  <c r="O72" i="5"/>
  <c r="O57" i="5"/>
  <c r="Q57" i="5" s="1"/>
  <c r="P47" i="5"/>
  <c r="Q47" i="5" s="1"/>
  <c r="P32" i="5"/>
  <c r="Q32" i="5" s="1"/>
  <c r="O21" i="5"/>
  <c r="Q21" i="5" s="1"/>
  <c r="L119" i="5"/>
  <c r="L78" i="5"/>
  <c r="L55" i="5"/>
  <c r="M55" i="5" s="1"/>
  <c r="O15" i="5"/>
  <c r="Q15" i="5" s="1"/>
  <c r="P124" i="5"/>
  <c r="P116" i="5"/>
  <c r="P108" i="5"/>
  <c r="P100" i="5"/>
  <c r="Q100" i="5" s="1"/>
  <c r="P92" i="5"/>
  <c r="Q92" i="5" s="1"/>
  <c r="P84" i="5"/>
  <c r="P76" i="5"/>
  <c r="P68" i="5"/>
  <c r="P60" i="5"/>
  <c r="P52" i="5"/>
  <c r="P44" i="5"/>
  <c r="Q44" i="5" s="1"/>
  <c r="P36" i="5"/>
  <c r="P28" i="5"/>
  <c r="P16" i="5"/>
  <c r="L22" i="5"/>
  <c r="O124" i="5"/>
  <c r="O16" i="5"/>
  <c r="P131" i="5"/>
  <c r="P123" i="5"/>
  <c r="P107" i="5"/>
  <c r="P59" i="5"/>
  <c r="P51" i="5"/>
  <c r="P27" i="5"/>
  <c r="L15" i="5"/>
  <c r="L116" i="5"/>
  <c r="M116" i="5" s="1"/>
  <c r="L92" i="5"/>
  <c r="L36" i="5"/>
  <c r="M36" i="5" s="1"/>
  <c r="O131" i="5"/>
  <c r="O123" i="5"/>
  <c r="O115" i="5"/>
  <c r="Q115" i="5" s="1"/>
  <c r="O107" i="5"/>
  <c r="O103" i="5"/>
  <c r="O99" i="5"/>
  <c r="O91" i="5"/>
  <c r="Q91" i="5" s="1"/>
  <c r="O83" i="5"/>
  <c r="Q83" i="5" s="1"/>
  <c r="O75" i="5"/>
  <c r="Q75" i="5" s="1"/>
  <c r="O71" i="5"/>
  <c r="Q71" i="5" s="1"/>
  <c r="O67" i="5"/>
  <c r="Q67" i="5" s="1"/>
  <c r="O63" i="5"/>
  <c r="O59" i="5"/>
  <c r="O55" i="5"/>
  <c r="O51" i="5"/>
  <c r="O43" i="5"/>
  <c r="Q43" i="5" s="1"/>
  <c r="O35" i="5"/>
  <c r="Q35" i="5" s="1"/>
  <c r="O31" i="5"/>
  <c r="Q31" i="5" s="1"/>
  <c r="O27" i="5"/>
  <c r="O23" i="5"/>
  <c r="O19" i="5"/>
  <c r="L131" i="5"/>
  <c r="M131" i="5" s="1"/>
  <c r="L115" i="5"/>
  <c r="L99" i="5"/>
  <c r="M99" i="5" s="1"/>
  <c r="L91" i="5"/>
  <c r="L83" i="5"/>
  <c r="L75" i="5"/>
  <c r="L67" i="5"/>
  <c r="L43" i="5"/>
  <c r="L35" i="5"/>
  <c r="O116" i="5"/>
  <c r="Q116" i="5" s="1"/>
  <c r="O76" i="5"/>
  <c r="L124" i="5"/>
  <c r="M124" i="5" s="1"/>
  <c r="L100" i="5"/>
  <c r="L76" i="5"/>
  <c r="M76" i="5" s="1"/>
  <c r="L68" i="5"/>
  <c r="M68" i="5" s="1"/>
  <c r="L52" i="5"/>
  <c r="M52" i="5" s="1"/>
  <c r="L44" i="5"/>
  <c r="L28" i="5"/>
  <c r="M28" i="5" s="1"/>
  <c r="P130" i="5"/>
  <c r="Q130" i="5" s="1"/>
  <c r="P126" i="5"/>
  <c r="Q126" i="5" s="1"/>
  <c r="P122" i="5"/>
  <c r="Q122" i="5" s="1"/>
  <c r="P118" i="5"/>
  <c r="Q118" i="5" s="1"/>
  <c r="P114" i="5"/>
  <c r="Q114" i="5" s="1"/>
  <c r="P110" i="5"/>
  <c r="Q110" i="5" s="1"/>
  <c r="P106" i="5"/>
  <c r="P102" i="5"/>
  <c r="Q102" i="5" s="1"/>
  <c r="P98" i="5"/>
  <c r="Q98" i="5" s="1"/>
  <c r="P94" i="5"/>
  <c r="Q94" i="5" s="1"/>
  <c r="P90" i="5"/>
  <c r="Q90" i="5" s="1"/>
  <c r="P86" i="5"/>
  <c r="Q86" i="5" s="1"/>
  <c r="P82" i="5"/>
  <c r="Q82" i="5" s="1"/>
  <c r="P78" i="5"/>
  <c r="Q78" i="5" s="1"/>
  <c r="P74" i="5"/>
  <c r="Q74" i="5" s="1"/>
  <c r="P70" i="5"/>
  <c r="Q70" i="5" s="1"/>
  <c r="P66" i="5"/>
  <c r="Q66" i="5" s="1"/>
  <c r="P62" i="5"/>
  <c r="Q62" i="5" s="1"/>
  <c r="P58" i="5"/>
  <c r="Q58" i="5" s="1"/>
  <c r="P54" i="5"/>
  <c r="Q54" i="5" s="1"/>
  <c r="P50" i="5"/>
  <c r="Q50" i="5" s="1"/>
  <c r="P46" i="5"/>
  <c r="Q46" i="5" s="1"/>
  <c r="P42" i="5"/>
  <c r="Q42" i="5" s="1"/>
  <c r="P38" i="5"/>
  <c r="Q38" i="5" s="1"/>
  <c r="P34" i="5"/>
  <c r="Q34" i="5" s="1"/>
  <c r="P30" i="5"/>
  <c r="P26" i="5"/>
  <c r="Q26" i="5" s="1"/>
  <c r="P22" i="5"/>
  <c r="Q22" i="5" s="1"/>
  <c r="P18" i="5"/>
  <c r="Q18" i="5" s="1"/>
  <c r="L130" i="5"/>
  <c r="L122" i="5"/>
  <c r="L114" i="5"/>
  <c r="L106" i="5"/>
  <c r="M106" i="5" s="1"/>
  <c r="L98" i="5"/>
  <c r="L90" i="5"/>
  <c r="L82" i="5"/>
  <c r="L74" i="5"/>
  <c r="L66" i="5"/>
  <c r="L58" i="5"/>
  <c r="L50" i="5"/>
  <c r="L42" i="5"/>
  <c r="L34" i="5"/>
  <c r="L26" i="5"/>
  <c r="L18" i="5"/>
  <c r="O108" i="5"/>
  <c r="O84" i="5"/>
  <c r="O60" i="5"/>
  <c r="Q60" i="5" s="1"/>
  <c r="O52" i="5"/>
  <c r="O36" i="5"/>
  <c r="P99" i="5"/>
  <c r="L108" i="5"/>
  <c r="M108" i="5" s="1"/>
  <c r="L84" i="5"/>
  <c r="M84" i="5" s="1"/>
  <c r="O106" i="5"/>
  <c r="O30" i="5"/>
  <c r="L129" i="5"/>
  <c r="L121" i="5"/>
  <c r="L113" i="5"/>
  <c r="L105" i="5"/>
  <c r="L97" i="5"/>
  <c r="L89" i="5"/>
  <c r="L81" i="5"/>
  <c r="L73" i="5"/>
  <c r="L65" i="5"/>
  <c r="L57" i="5"/>
  <c r="L49" i="5"/>
  <c r="L41" i="5"/>
  <c r="L33" i="5"/>
  <c r="L25" i="5"/>
  <c r="L17" i="5"/>
  <c r="O68" i="5"/>
  <c r="Q68" i="5" s="1"/>
  <c r="O28" i="5"/>
  <c r="P117" i="5"/>
  <c r="P93" i="5"/>
  <c r="P85" i="5"/>
  <c r="P69" i="5"/>
  <c r="P61" i="5"/>
  <c r="P29" i="5"/>
  <c r="L16" i="5"/>
  <c r="M16" i="5" s="1"/>
  <c r="K123" i="5"/>
  <c r="M123" i="5" s="1"/>
  <c r="K83" i="5"/>
  <c r="M83" i="5" s="1"/>
  <c r="K115" i="5"/>
  <c r="K82" i="5"/>
  <c r="K43" i="5"/>
  <c r="K114" i="5"/>
  <c r="K79" i="5"/>
  <c r="K42" i="5"/>
  <c r="K111" i="5"/>
  <c r="K75" i="5"/>
  <c r="K39" i="5"/>
  <c r="K47" i="5"/>
  <c r="M47" i="5" s="1"/>
  <c r="K107" i="5"/>
  <c r="M107" i="5" s="1"/>
  <c r="K67" i="5"/>
  <c r="K35" i="5"/>
  <c r="K66" i="5"/>
  <c r="M66" i="5" s="1"/>
  <c r="K27" i="5"/>
  <c r="M27" i="5" s="1"/>
  <c r="K98" i="5"/>
  <c r="K59" i="5"/>
  <c r="M59" i="5" s="1"/>
  <c r="K127" i="5"/>
  <c r="K95" i="5"/>
  <c r="K19" i="5"/>
  <c r="M19" i="5" s="1"/>
  <c r="K51" i="5"/>
  <c r="M51" i="5" s="1"/>
  <c r="K119" i="5"/>
  <c r="M119" i="5" s="1"/>
  <c r="K87" i="5"/>
  <c r="M87" i="5" s="1"/>
  <c r="K15" i="5"/>
  <c r="M15" i="5" s="1"/>
  <c r="K126" i="5"/>
  <c r="K118" i="5"/>
  <c r="M118" i="5" s="1"/>
  <c r="K110" i="5"/>
  <c r="K102" i="5"/>
  <c r="K94" i="5"/>
  <c r="M94" i="5" s="1"/>
  <c r="K86" i="5"/>
  <c r="M86" i="5" s="1"/>
  <c r="K78" i="5"/>
  <c r="K70" i="5"/>
  <c r="M70" i="5" s="1"/>
  <c r="K62" i="5"/>
  <c r="K54" i="5"/>
  <c r="K46" i="5"/>
  <c r="M46" i="5" s="1"/>
  <c r="K38" i="5"/>
  <c r="K22" i="5"/>
  <c r="M22" i="5" s="1"/>
  <c r="K125" i="5"/>
  <c r="M125" i="5" s="1"/>
  <c r="K109" i="5"/>
  <c r="M109" i="5" s="1"/>
  <c r="K101" i="5"/>
  <c r="K77" i="5"/>
  <c r="K53" i="5"/>
  <c r="M53" i="5" s="1"/>
  <c r="K45" i="5"/>
  <c r="K37" i="5"/>
  <c r="M37" i="5" s="1"/>
  <c r="K21" i="5"/>
  <c r="K100" i="5"/>
  <c r="K92" i="5"/>
  <c r="K60" i="5"/>
  <c r="M60" i="5" s="1"/>
  <c r="K44" i="5"/>
  <c r="K130" i="5"/>
  <c r="K122" i="5"/>
  <c r="K90" i="5"/>
  <c r="K74" i="5"/>
  <c r="M74" i="5" s="1"/>
  <c r="K58" i="5"/>
  <c r="K50" i="5"/>
  <c r="K34" i="5"/>
  <c r="K26" i="5"/>
  <c r="K18" i="5"/>
  <c r="K129" i="5"/>
  <c r="K121" i="5"/>
  <c r="K113" i="5"/>
  <c r="K105" i="5"/>
  <c r="K97" i="5"/>
  <c r="M97" i="5" s="1"/>
  <c r="K89" i="5"/>
  <c r="K81" i="5"/>
  <c r="K73" i="5"/>
  <c r="K65" i="5"/>
  <c r="K57" i="5"/>
  <c r="K49" i="5"/>
  <c r="K41" i="5"/>
  <c r="K33" i="5"/>
  <c r="M33" i="5" s="1"/>
  <c r="K25" i="5"/>
  <c r="K17" i="5"/>
  <c r="K91" i="5"/>
  <c r="M91" i="5" s="1"/>
  <c r="K128" i="5"/>
  <c r="M128" i="5" s="1"/>
  <c r="K120" i="5"/>
  <c r="M120" i="5" s="1"/>
  <c r="K112" i="5"/>
  <c r="M112" i="5" s="1"/>
  <c r="K104" i="5"/>
  <c r="M104" i="5" s="1"/>
  <c r="K96" i="5"/>
  <c r="M96" i="5" s="1"/>
  <c r="K88" i="5"/>
  <c r="M88" i="5" s="1"/>
  <c r="K80" i="5"/>
  <c r="M80" i="5" s="1"/>
  <c r="K72" i="5"/>
  <c r="M72" i="5" s="1"/>
  <c r="K64" i="5"/>
  <c r="M64" i="5" s="1"/>
  <c r="K56" i="5"/>
  <c r="M56" i="5" s="1"/>
  <c r="K48" i="5"/>
  <c r="M48" i="5" s="1"/>
  <c r="K40" i="5"/>
  <c r="M40" i="5" s="1"/>
  <c r="K32" i="5"/>
  <c r="M32" i="5" s="1"/>
  <c r="K24" i="5"/>
  <c r="M24" i="5" s="1"/>
  <c r="AH26" i="10" l="1"/>
  <c r="AM25" i="10"/>
  <c r="AL26" i="10"/>
  <c r="AN25" i="10"/>
  <c r="W33" i="9"/>
  <c r="V33" i="9"/>
  <c r="AB33" i="9"/>
  <c r="AC33" i="9" s="1"/>
  <c r="AD33" i="9" s="1"/>
  <c r="Z33" i="9"/>
  <c r="P34" i="9"/>
  <c r="S81" i="9"/>
  <c r="R82" i="9"/>
  <c r="R113" i="9"/>
  <c r="S113" i="9" s="1"/>
  <c r="S112" i="9"/>
  <c r="S33" i="9"/>
  <c r="M29" i="7"/>
  <c r="AD30" i="7" s="1"/>
  <c r="O29" i="7"/>
  <c r="AF30" i="7" s="1"/>
  <c r="N29" i="7"/>
  <c r="AE30" i="7" s="1"/>
  <c r="M95" i="5"/>
  <c r="M111" i="5"/>
  <c r="M101" i="5"/>
  <c r="Q52" i="5"/>
  <c r="Q28" i="5"/>
  <c r="Q55" i="5"/>
  <c r="Q53" i="5"/>
  <c r="M100" i="5"/>
  <c r="Q19" i="5"/>
  <c r="M29" i="5"/>
  <c r="Q40" i="5"/>
  <c r="Q128" i="5"/>
  <c r="M42" i="5"/>
  <c r="M93" i="5"/>
  <c r="M117" i="5"/>
  <c r="M49" i="5"/>
  <c r="M113" i="5"/>
  <c r="M79" i="5"/>
  <c r="M127" i="5"/>
  <c r="Q108" i="5"/>
  <c r="Q63" i="5"/>
  <c r="Q123" i="5"/>
  <c r="M110" i="5"/>
  <c r="Q56" i="5"/>
  <c r="Q17" i="5"/>
  <c r="Q20" i="5"/>
  <c r="Q77" i="5"/>
  <c r="Q104" i="5"/>
  <c r="M126" i="5"/>
  <c r="M54" i="5"/>
  <c r="M25" i="5"/>
  <c r="M89" i="5"/>
  <c r="M34" i="5"/>
  <c r="M98" i="5"/>
  <c r="M75" i="5"/>
  <c r="Q51" i="5"/>
  <c r="Q85" i="5"/>
  <c r="M78" i="5"/>
  <c r="Q99" i="5"/>
  <c r="Q16" i="5"/>
  <c r="M82" i="5"/>
  <c r="M105" i="5"/>
  <c r="Q30" i="5"/>
  <c r="Q84" i="5"/>
  <c r="Q59" i="5"/>
  <c r="Q103" i="5"/>
  <c r="Q72" i="5"/>
  <c r="M18" i="5"/>
  <c r="M41" i="5"/>
  <c r="M21" i="5"/>
  <c r="Q107" i="5"/>
  <c r="Q48" i="5"/>
  <c r="M50" i="5"/>
  <c r="M85" i="5"/>
  <c r="M35" i="5"/>
  <c r="Q106" i="5"/>
  <c r="Q23" i="5"/>
  <c r="Q29" i="5"/>
  <c r="Q69" i="5"/>
  <c r="M57" i="5"/>
  <c r="M121" i="5"/>
  <c r="M90" i="5"/>
  <c r="M38" i="5"/>
  <c r="M102" i="5"/>
  <c r="M67" i="5"/>
  <c r="M114" i="5"/>
  <c r="Q27" i="5"/>
  <c r="M69" i="5"/>
  <c r="Q93" i="5"/>
  <c r="Q117" i="5"/>
  <c r="M58" i="5"/>
  <c r="Q124" i="5"/>
  <c r="M129" i="5"/>
  <c r="M45" i="5"/>
  <c r="M73" i="5"/>
  <c r="M130" i="5"/>
  <c r="Q131" i="5"/>
  <c r="Q37" i="5"/>
  <c r="Q101" i="5"/>
  <c r="Q125" i="5"/>
  <c r="M92" i="5"/>
  <c r="M61" i="5"/>
  <c r="M65" i="5"/>
  <c r="M122" i="5"/>
  <c r="M43" i="5"/>
  <c r="M17" i="5"/>
  <c r="M81" i="5"/>
  <c r="M26" i="5"/>
  <c r="M44" i="5"/>
  <c r="M77" i="5"/>
  <c r="M62" i="5"/>
  <c r="M39" i="5"/>
  <c r="M115" i="5"/>
  <c r="Q36" i="5"/>
  <c r="Q76" i="5"/>
  <c r="Q112" i="5"/>
  <c r="Q61" i="5"/>
  <c r="AH27" i="10" l="1"/>
  <c r="AM26" i="10"/>
  <c r="AL27" i="10"/>
  <c r="AN26" i="10"/>
  <c r="V34" i="9"/>
  <c r="AB34" i="9"/>
  <c r="AC34" i="9" s="1"/>
  <c r="AD34" i="9" s="1"/>
  <c r="P35" i="9"/>
  <c r="Z34" i="9"/>
  <c r="W34" i="9"/>
  <c r="S82" i="9"/>
  <c r="R83" i="9"/>
  <c r="S34" i="9"/>
  <c r="O30" i="7"/>
  <c r="AF31" i="7" s="1"/>
  <c r="M30" i="7"/>
  <c r="AD31" i="7" s="1"/>
  <c r="N30" i="7"/>
  <c r="AE31" i="7" s="1"/>
  <c r="M13" i="5"/>
  <c r="Q13" i="5"/>
  <c r="E20" i="4"/>
  <c r="E17" i="2"/>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R36" i="4"/>
  <c r="Q36" i="4"/>
  <c r="N36" i="4"/>
  <c r="O19" i="1"/>
  <c r="D38" i="4"/>
  <c r="D39" i="4"/>
  <c r="D40" i="4"/>
  <c r="D37" i="4"/>
  <c r="L9" i="4"/>
  <c r="J37" i="4" s="1"/>
  <c r="M37" i="4" s="1"/>
  <c r="G36" i="4"/>
  <c r="F36" i="4"/>
  <c r="E36" i="4"/>
  <c r="A36" i="4"/>
  <c r="F23" i="4"/>
  <c r="F20" i="4"/>
  <c r="F19" i="4"/>
  <c r="F18" i="4"/>
  <c r="F17" i="4"/>
  <c r="AH28" i="10" l="1"/>
  <c r="AM27" i="10"/>
  <c r="AL28" i="10"/>
  <c r="AN27" i="10"/>
  <c r="W35" i="9"/>
  <c r="AB35" i="9"/>
  <c r="AC35" i="9" s="1"/>
  <c r="AD35" i="9" s="1"/>
  <c r="V35" i="9"/>
  <c r="P36" i="9"/>
  <c r="Z35" i="9"/>
  <c r="R84" i="9"/>
  <c r="S83" i="9"/>
  <c r="S35" i="9"/>
  <c r="N31" i="7"/>
  <c r="AE32" i="7" s="1"/>
  <c r="M31" i="7"/>
  <c r="AD32" i="7" s="1"/>
  <c r="O31" i="7"/>
  <c r="AF32" i="7" s="1"/>
  <c r="N40" i="4"/>
  <c r="N52" i="4"/>
  <c r="N64" i="4"/>
  <c r="N76" i="4"/>
  <c r="N88" i="4"/>
  <c r="N100" i="4"/>
  <c r="N112" i="4"/>
  <c r="N124" i="4"/>
  <c r="N136" i="4"/>
  <c r="N148" i="4"/>
  <c r="N160" i="4"/>
  <c r="N172" i="4"/>
  <c r="N184" i="4"/>
  <c r="N196" i="4"/>
  <c r="N208" i="4"/>
  <c r="N220" i="4"/>
  <c r="N232" i="4"/>
  <c r="N244" i="4"/>
  <c r="N41" i="4"/>
  <c r="N53" i="4"/>
  <c r="N65" i="4"/>
  <c r="N77" i="4"/>
  <c r="N89" i="4"/>
  <c r="N101" i="4"/>
  <c r="N113" i="4"/>
  <c r="N125" i="4"/>
  <c r="N137" i="4"/>
  <c r="N149" i="4"/>
  <c r="N161" i="4"/>
  <c r="N173" i="4"/>
  <c r="N185" i="4"/>
  <c r="N197" i="4"/>
  <c r="N209" i="4"/>
  <c r="N221" i="4"/>
  <c r="N233" i="4"/>
  <c r="N245" i="4"/>
  <c r="N42" i="4"/>
  <c r="N54" i="4"/>
  <c r="N66" i="4"/>
  <c r="N78" i="4"/>
  <c r="N90" i="4"/>
  <c r="N102" i="4"/>
  <c r="N114" i="4"/>
  <c r="N126" i="4"/>
  <c r="N138" i="4"/>
  <c r="N150" i="4"/>
  <c r="N162" i="4"/>
  <c r="N174" i="4"/>
  <c r="N186" i="4"/>
  <c r="N198" i="4"/>
  <c r="N210" i="4"/>
  <c r="N222" i="4"/>
  <c r="N234" i="4"/>
  <c r="N246" i="4"/>
  <c r="N43" i="4"/>
  <c r="N55" i="4"/>
  <c r="N67" i="4"/>
  <c r="N79" i="4"/>
  <c r="N91" i="4"/>
  <c r="N103" i="4"/>
  <c r="N115" i="4"/>
  <c r="N127" i="4"/>
  <c r="N139" i="4"/>
  <c r="N151" i="4"/>
  <c r="N163" i="4"/>
  <c r="N175" i="4"/>
  <c r="N187" i="4"/>
  <c r="N199" i="4"/>
  <c r="N211" i="4"/>
  <c r="N223" i="4"/>
  <c r="N235" i="4"/>
  <c r="N247" i="4"/>
  <c r="N44" i="4"/>
  <c r="N56" i="4"/>
  <c r="N68" i="4"/>
  <c r="N80" i="4"/>
  <c r="N92" i="4"/>
  <c r="N104" i="4"/>
  <c r="N116" i="4"/>
  <c r="N128" i="4"/>
  <c r="N140" i="4"/>
  <c r="N152" i="4"/>
  <c r="N164" i="4"/>
  <c r="N176" i="4"/>
  <c r="N188" i="4"/>
  <c r="N200" i="4"/>
  <c r="N212" i="4"/>
  <c r="N224" i="4"/>
  <c r="N236" i="4"/>
  <c r="N248" i="4"/>
  <c r="N45" i="4"/>
  <c r="N57" i="4"/>
  <c r="N69" i="4"/>
  <c r="N81" i="4"/>
  <c r="N93" i="4"/>
  <c r="N105" i="4"/>
  <c r="N117" i="4"/>
  <c r="N129" i="4"/>
  <c r="N141" i="4"/>
  <c r="N153" i="4"/>
  <c r="N165" i="4"/>
  <c r="N177" i="4"/>
  <c r="N189" i="4"/>
  <c r="N201" i="4"/>
  <c r="N213" i="4"/>
  <c r="N225" i="4"/>
  <c r="N237" i="4"/>
  <c r="N249" i="4"/>
  <c r="N38" i="4"/>
  <c r="N50" i="4"/>
  <c r="N62" i="4"/>
  <c r="N74" i="4"/>
  <c r="N86" i="4"/>
  <c r="N98" i="4"/>
  <c r="N110" i="4"/>
  <c r="N122" i="4"/>
  <c r="N134" i="4"/>
  <c r="N146" i="4"/>
  <c r="N158" i="4"/>
  <c r="N170" i="4"/>
  <c r="N182" i="4"/>
  <c r="N194" i="4"/>
  <c r="N206" i="4"/>
  <c r="N218" i="4"/>
  <c r="N230" i="4"/>
  <c r="N242" i="4"/>
  <c r="N46" i="4"/>
  <c r="N72" i="4"/>
  <c r="N99" i="4"/>
  <c r="N131" i="4"/>
  <c r="N157" i="4"/>
  <c r="N190" i="4"/>
  <c r="N216" i="4"/>
  <c r="N243" i="4"/>
  <c r="N47" i="4"/>
  <c r="N73" i="4"/>
  <c r="N106" i="4"/>
  <c r="N132" i="4"/>
  <c r="N159" i="4"/>
  <c r="N191" i="4"/>
  <c r="N217" i="4"/>
  <c r="N37" i="4"/>
  <c r="N48" i="4"/>
  <c r="N75" i="4"/>
  <c r="N107" i="4"/>
  <c r="N133" i="4"/>
  <c r="N166" i="4"/>
  <c r="N192" i="4"/>
  <c r="N219" i="4"/>
  <c r="N49" i="4"/>
  <c r="N82" i="4"/>
  <c r="N108" i="4"/>
  <c r="N135" i="4"/>
  <c r="N167" i="4"/>
  <c r="N193" i="4"/>
  <c r="N226" i="4"/>
  <c r="N51" i="4"/>
  <c r="N83" i="4"/>
  <c r="N109" i="4"/>
  <c r="N142" i="4"/>
  <c r="N168" i="4"/>
  <c r="N195" i="4"/>
  <c r="N227" i="4"/>
  <c r="N58" i="4"/>
  <c r="N84" i="4"/>
  <c r="N111" i="4"/>
  <c r="N143" i="4"/>
  <c r="N169" i="4"/>
  <c r="N202" i="4"/>
  <c r="N228" i="4"/>
  <c r="N59" i="4"/>
  <c r="N85" i="4"/>
  <c r="N118" i="4"/>
  <c r="N144" i="4"/>
  <c r="N171" i="4"/>
  <c r="N203" i="4"/>
  <c r="N229" i="4"/>
  <c r="N60" i="4"/>
  <c r="N87" i="4"/>
  <c r="N119" i="4"/>
  <c r="N145" i="4"/>
  <c r="N178" i="4"/>
  <c r="N204" i="4"/>
  <c r="N231" i="4"/>
  <c r="N61" i="4"/>
  <c r="N94" i="4"/>
  <c r="N120" i="4"/>
  <c r="N147" i="4"/>
  <c r="N179" i="4"/>
  <c r="N205" i="4"/>
  <c r="N238" i="4"/>
  <c r="N63" i="4"/>
  <c r="N95" i="4"/>
  <c r="N121" i="4"/>
  <c r="N154" i="4"/>
  <c r="N180" i="4"/>
  <c r="N207" i="4"/>
  <c r="N239" i="4"/>
  <c r="N155" i="4"/>
  <c r="N156" i="4"/>
  <c r="N181" i="4"/>
  <c r="N183" i="4"/>
  <c r="N214" i="4"/>
  <c r="N39" i="4"/>
  <c r="N215" i="4"/>
  <c r="N70" i="4"/>
  <c r="N240" i="4"/>
  <c r="N71" i="4"/>
  <c r="N241" i="4"/>
  <c r="N96" i="4"/>
  <c r="N130" i="4"/>
  <c r="N97" i="4"/>
  <c r="N123" i="4"/>
  <c r="L37" i="4"/>
  <c r="AH29" i="10" l="1"/>
  <c r="AM28" i="10"/>
  <c r="AL29" i="10"/>
  <c r="AN28" i="10"/>
  <c r="W36" i="9"/>
  <c r="AB36" i="9"/>
  <c r="AC36" i="9" s="1"/>
  <c r="AD36" i="9" s="1"/>
  <c r="V36" i="9"/>
  <c r="Z36" i="9"/>
  <c r="P37" i="9"/>
  <c r="S84" i="9"/>
  <c r="R85" i="9"/>
  <c r="S36" i="9"/>
  <c r="O32" i="7"/>
  <c r="AF33" i="7" s="1"/>
  <c r="M32" i="7"/>
  <c r="AD33" i="7" s="1"/>
  <c r="N32" i="7"/>
  <c r="AE33" i="7" s="1"/>
  <c r="I38" i="4"/>
  <c r="L38" i="4" s="1"/>
  <c r="J38" i="4"/>
  <c r="M38" i="4" s="1"/>
  <c r="AH30" i="10" l="1"/>
  <c r="AM29" i="10"/>
  <c r="AL30" i="10"/>
  <c r="AN29" i="10"/>
  <c r="W37" i="9"/>
  <c r="AB37" i="9"/>
  <c r="AC37" i="9" s="1"/>
  <c r="AD37" i="9" s="1"/>
  <c r="V37" i="9"/>
  <c r="P38" i="9"/>
  <c r="Z37" i="9"/>
  <c r="S85" i="9"/>
  <c r="R86" i="9"/>
  <c r="S37" i="9"/>
  <c r="O33" i="7"/>
  <c r="AF34" i="7" s="1"/>
  <c r="M33" i="7"/>
  <c r="AD34" i="7" s="1"/>
  <c r="N33" i="7"/>
  <c r="AE34" i="7" s="1"/>
  <c r="J39" i="4"/>
  <c r="M39" i="4" s="1"/>
  <c r="I39" i="4"/>
  <c r="L39" i="4" s="1"/>
  <c r="AH31" i="10" l="1"/>
  <c r="AM30" i="10"/>
  <c r="AL31" i="10"/>
  <c r="AN30" i="10"/>
  <c r="AB38" i="9"/>
  <c r="AC38" i="9" s="1"/>
  <c r="AD38" i="9" s="1"/>
  <c r="AD39" i="9" s="1"/>
  <c r="V38" i="9"/>
  <c r="V39" i="9" s="1"/>
  <c r="P39" i="9"/>
  <c r="Z38" i="9"/>
  <c r="W38" i="9"/>
  <c r="S86" i="9"/>
  <c r="R87" i="9"/>
  <c r="S38" i="9"/>
  <c r="M34" i="7"/>
  <c r="AD35" i="7" s="1"/>
  <c r="O34" i="7"/>
  <c r="AF35" i="7" s="1"/>
  <c r="N34" i="7"/>
  <c r="AE35" i="7" s="1"/>
  <c r="I40" i="4"/>
  <c r="L40" i="4" s="1"/>
  <c r="J40" i="4"/>
  <c r="M40" i="4" s="1"/>
  <c r="AH32" i="10" l="1"/>
  <c r="AM31" i="10"/>
  <c r="AL32" i="10"/>
  <c r="AN31" i="10"/>
  <c r="W39" i="9"/>
  <c r="AB39" i="9"/>
  <c r="P40" i="9"/>
  <c r="Z39" i="9"/>
  <c r="R88" i="9"/>
  <c r="S87" i="9"/>
  <c r="S39" i="9"/>
  <c r="O35" i="7"/>
  <c r="AF36" i="7" s="1"/>
  <c r="M35" i="7"/>
  <c r="AD36" i="7" s="1"/>
  <c r="N35" i="7"/>
  <c r="AE36" i="7" s="1"/>
  <c r="I41" i="4"/>
  <c r="L41" i="4" s="1"/>
  <c r="J41" i="4"/>
  <c r="M41" i="4" s="1"/>
  <c r="AN32" i="10" l="1"/>
  <c r="AL33" i="10"/>
  <c r="AM32" i="10"/>
  <c r="AH33" i="10"/>
  <c r="V40" i="9"/>
  <c r="AB40" i="9"/>
  <c r="AC40" i="9" s="1"/>
  <c r="AD40" i="9" s="1"/>
  <c r="Z40" i="9"/>
  <c r="P41" i="9"/>
  <c r="W40" i="9"/>
  <c r="S88" i="9"/>
  <c r="R89" i="9"/>
  <c r="S89" i="9" s="1"/>
  <c r="S40" i="9"/>
  <c r="N36" i="7"/>
  <c r="AE37" i="7" s="1"/>
  <c r="M36" i="7"/>
  <c r="AD37" i="7" s="1"/>
  <c r="O36" i="7"/>
  <c r="AF37" i="7" s="1"/>
  <c r="J42" i="4"/>
  <c r="M42" i="4" s="1"/>
  <c r="I42" i="4"/>
  <c r="L42" i="4" s="1"/>
  <c r="AH34" i="10" l="1"/>
  <c r="AM33" i="10"/>
  <c r="AL34" i="10"/>
  <c r="AN33" i="10"/>
  <c r="W41" i="9"/>
  <c r="AB41" i="9"/>
  <c r="AC41" i="9" s="1"/>
  <c r="AD41" i="9" s="1"/>
  <c r="P42" i="9"/>
  <c r="Z41" i="9"/>
  <c r="S41" i="9"/>
  <c r="N37" i="7"/>
  <c r="AE38" i="7" s="1"/>
  <c r="M37" i="7"/>
  <c r="AD38" i="7" s="1"/>
  <c r="O37" i="7"/>
  <c r="AF38" i="7" s="1"/>
  <c r="J43" i="4"/>
  <c r="M43" i="4" s="1"/>
  <c r="I43" i="4"/>
  <c r="L43" i="4" s="1"/>
  <c r="AL35" i="10" l="1"/>
  <c r="AN34" i="10"/>
  <c r="AH35" i="10"/>
  <c r="AM34" i="10"/>
  <c r="AB42" i="9"/>
  <c r="AC42" i="9" s="1"/>
  <c r="AD42" i="9" s="1"/>
  <c r="P43" i="9"/>
  <c r="Z42" i="9"/>
  <c r="W42" i="9"/>
  <c r="S42" i="9"/>
  <c r="O38" i="7"/>
  <c r="AF39" i="7" s="1"/>
  <c r="M38" i="7"/>
  <c r="AD39" i="7" s="1"/>
  <c r="N38" i="7"/>
  <c r="AE39" i="7" s="1"/>
  <c r="J44" i="4"/>
  <c r="M44" i="4" s="1"/>
  <c r="I44" i="4"/>
  <c r="L44" i="4" s="1"/>
  <c r="AH36" i="10" l="1"/>
  <c r="AM35" i="10"/>
  <c r="AL36" i="10"/>
  <c r="AN35" i="10"/>
  <c r="AB43" i="9"/>
  <c r="AC43" i="9" s="1"/>
  <c r="AD43" i="9" s="1"/>
  <c r="P44" i="9"/>
  <c r="Z43" i="9"/>
  <c r="W43" i="9"/>
  <c r="S43" i="9"/>
  <c r="O39" i="7"/>
  <c r="AF40" i="7" s="1"/>
  <c r="N39" i="7"/>
  <c r="AE40" i="7" s="1"/>
  <c r="M39" i="7"/>
  <c r="AD40" i="7" s="1"/>
  <c r="I45" i="4"/>
  <c r="L45" i="4" s="1"/>
  <c r="J45" i="4"/>
  <c r="M45" i="4" s="1"/>
  <c r="AN36" i="10" l="1"/>
  <c r="AL37" i="10"/>
  <c r="AH37" i="10"/>
  <c r="AM36" i="10"/>
  <c r="P45" i="9"/>
  <c r="AB44" i="9"/>
  <c r="AC44" i="9" s="1"/>
  <c r="AD44" i="9" s="1"/>
  <c r="S44" i="9"/>
  <c r="N40" i="7"/>
  <c r="AE41" i="7" s="1"/>
  <c r="O40" i="7"/>
  <c r="AF41" i="7" s="1"/>
  <c r="M40" i="7"/>
  <c r="AD41" i="7" s="1"/>
  <c r="J46" i="4"/>
  <c r="M46" i="4" s="1"/>
  <c r="I46" i="4"/>
  <c r="L46" i="4" s="1"/>
  <c r="AH38" i="10" l="1"/>
  <c r="AM37" i="10"/>
  <c r="AL38" i="10"/>
  <c r="AN37" i="10"/>
  <c r="P46" i="9"/>
  <c r="AB45" i="9"/>
  <c r="AC45" i="9" s="1"/>
  <c r="AD45" i="9" s="1"/>
  <c r="S45" i="9"/>
  <c r="M41" i="7"/>
  <c r="AD42" i="7" s="1"/>
  <c r="O41" i="7"/>
  <c r="AF42" i="7" s="1"/>
  <c r="N41" i="7"/>
  <c r="AE42" i="7" s="1"/>
  <c r="J47" i="4"/>
  <c r="M47" i="4" s="1"/>
  <c r="I47" i="4"/>
  <c r="L47" i="4" s="1"/>
  <c r="AN38" i="10" l="1"/>
  <c r="AL39" i="10"/>
  <c r="AM38" i="10"/>
  <c r="AH39" i="10"/>
  <c r="P47" i="9"/>
  <c r="AB46" i="9"/>
  <c r="AC46" i="9" s="1"/>
  <c r="AD46" i="9" s="1"/>
  <c r="S46" i="9"/>
  <c r="N42" i="7"/>
  <c r="AE43" i="7" s="1"/>
  <c r="O42" i="7"/>
  <c r="AF43" i="7" s="1"/>
  <c r="M42" i="7"/>
  <c r="AD43" i="7" s="1"/>
  <c r="I48" i="4"/>
  <c r="L48" i="4" s="1"/>
  <c r="J48" i="4"/>
  <c r="M48" i="4" s="1"/>
  <c r="AH40" i="10" l="1"/>
  <c r="AM39" i="10"/>
  <c r="AN39" i="10"/>
  <c r="AL40" i="10"/>
  <c r="P48" i="9"/>
  <c r="AB47" i="9"/>
  <c r="AC47" i="9" s="1"/>
  <c r="AD47" i="9" s="1"/>
  <c r="S47" i="9"/>
  <c r="O43" i="7"/>
  <c r="AF44" i="7" s="1"/>
  <c r="N43" i="7"/>
  <c r="AE44" i="7" s="1"/>
  <c r="M43" i="7"/>
  <c r="AD44" i="7" s="1"/>
  <c r="I49" i="4"/>
  <c r="L49" i="4" s="1"/>
  <c r="J49" i="4"/>
  <c r="M49" i="4" s="1"/>
  <c r="AL41" i="10" l="1"/>
  <c r="AN40" i="10"/>
  <c r="AH41" i="10"/>
  <c r="AM40" i="10"/>
  <c r="P49" i="9"/>
  <c r="AB48" i="9"/>
  <c r="AC48" i="9" s="1"/>
  <c r="AD48" i="9" s="1"/>
  <c r="S48" i="9"/>
  <c r="M44" i="7"/>
  <c r="AD45" i="7" s="1"/>
  <c r="N44" i="7"/>
  <c r="AE45" i="7" s="1"/>
  <c r="O44" i="7"/>
  <c r="AF45" i="7" s="1"/>
  <c r="J50" i="4"/>
  <c r="M50" i="4" s="1"/>
  <c r="I50" i="4"/>
  <c r="L50" i="4" s="1"/>
  <c r="AM41" i="10" l="1"/>
  <c r="AH42" i="10"/>
  <c r="AN41" i="10"/>
  <c r="AL42" i="10"/>
  <c r="P50" i="9"/>
  <c r="P51" i="9" s="1"/>
  <c r="P52" i="9" s="1"/>
  <c r="P53" i="9" s="1"/>
  <c r="P54" i="9" s="1"/>
  <c r="P55" i="9" s="1"/>
  <c r="P56" i="9" s="1"/>
  <c r="P57" i="9" s="1"/>
  <c r="P58" i="9" s="1"/>
  <c r="P59" i="9" s="1"/>
  <c r="P60" i="9" s="1"/>
  <c r="P61" i="9" s="1"/>
  <c r="AB49" i="9"/>
  <c r="AC49" i="9" s="1"/>
  <c r="AD49" i="9" s="1"/>
  <c r="S49" i="9"/>
  <c r="O45" i="7"/>
  <c r="AF46" i="7" s="1"/>
  <c r="N45" i="7"/>
  <c r="AE46" i="7" s="1"/>
  <c r="M45" i="7"/>
  <c r="AD46" i="7" s="1"/>
  <c r="J51" i="4"/>
  <c r="M51" i="4" s="1"/>
  <c r="I51" i="4"/>
  <c r="L51" i="4" s="1"/>
  <c r="AL43" i="10" l="1"/>
  <c r="AN42" i="10"/>
  <c r="AH43" i="10"/>
  <c r="AM42" i="10"/>
  <c r="S50" i="9"/>
  <c r="N46" i="7"/>
  <c r="AE47" i="7" s="1"/>
  <c r="O46" i="7"/>
  <c r="AF47" i="7" s="1"/>
  <c r="M46" i="7"/>
  <c r="AD47" i="7" s="1"/>
  <c r="I52" i="4"/>
  <c r="L52" i="4" s="1"/>
  <c r="J52" i="4"/>
  <c r="M52" i="4" s="1"/>
  <c r="AM43" i="10" l="1"/>
  <c r="AH44" i="10"/>
  <c r="AN43" i="10"/>
  <c r="AL44" i="10"/>
  <c r="S51" i="9"/>
  <c r="M47" i="7"/>
  <c r="AD48" i="7" s="1"/>
  <c r="O47" i="7"/>
  <c r="AF48" i="7" s="1"/>
  <c r="N47" i="7"/>
  <c r="AE48" i="7" s="1"/>
  <c r="J53" i="4"/>
  <c r="M53" i="4" s="1"/>
  <c r="I53" i="4"/>
  <c r="L53" i="4" s="1"/>
  <c r="AN44" i="10" l="1"/>
  <c r="AL45" i="10"/>
  <c r="AH45" i="10"/>
  <c r="AM44" i="10"/>
  <c r="S52" i="9"/>
  <c r="N48" i="7"/>
  <c r="AE49" i="7" s="1"/>
  <c r="O48" i="7"/>
  <c r="AF49" i="7" s="1"/>
  <c r="M48" i="7"/>
  <c r="AD49" i="7" s="1"/>
  <c r="I54" i="4"/>
  <c r="L54" i="4" s="1"/>
  <c r="J54" i="4"/>
  <c r="M54" i="4" s="1"/>
  <c r="AH46" i="10" l="1"/>
  <c r="AM46" i="10" s="1"/>
  <c r="AM45" i="10"/>
  <c r="AN45" i="10"/>
  <c r="AL46" i="10"/>
  <c r="AN46" i="10" s="1"/>
  <c r="S53" i="9"/>
  <c r="O49" i="7"/>
  <c r="AF50" i="7" s="1"/>
  <c r="N49" i="7"/>
  <c r="AE50" i="7" s="1"/>
  <c r="M49" i="7"/>
  <c r="AD50" i="7" s="1"/>
  <c r="J55" i="4"/>
  <c r="M55" i="4" s="1"/>
  <c r="I55" i="4"/>
  <c r="L55" i="4" s="1"/>
  <c r="S54" i="9" l="1"/>
  <c r="M50" i="7"/>
  <c r="AD51" i="7" s="1"/>
  <c r="N50" i="7"/>
  <c r="AE51" i="7" s="1"/>
  <c r="O50" i="7"/>
  <c r="AF51" i="7" s="1"/>
  <c r="J56" i="4"/>
  <c r="M56" i="4" s="1"/>
  <c r="I56" i="4"/>
  <c r="L56" i="4" s="1"/>
  <c r="S55" i="9" l="1"/>
  <c r="O51" i="7"/>
  <c r="AF52" i="7" s="1"/>
  <c r="N51" i="7"/>
  <c r="AE52" i="7" s="1"/>
  <c r="M51" i="7"/>
  <c r="AD52" i="7" s="1"/>
  <c r="J57" i="4"/>
  <c r="M57" i="4" s="1"/>
  <c r="I57" i="4"/>
  <c r="L57" i="4" s="1"/>
  <c r="S56" i="9" l="1"/>
  <c r="M52" i="7"/>
  <c r="AD53" i="7" s="1"/>
  <c r="O52" i="7"/>
  <c r="AF53" i="7" s="1"/>
  <c r="N52" i="7"/>
  <c r="AE53" i="7" s="1"/>
  <c r="I58" i="4"/>
  <c r="L58" i="4" s="1"/>
  <c r="J58" i="4"/>
  <c r="M58" i="4" s="1"/>
  <c r="S57" i="9" l="1"/>
  <c r="O53" i="7"/>
  <c r="AF54" i="7" s="1"/>
  <c r="M53" i="7"/>
  <c r="AD54" i="7" s="1"/>
  <c r="N53" i="7"/>
  <c r="AE54" i="7" s="1"/>
  <c r="I59" i="4"/>
  <c r="L59" i="4" s="1"/>
  <c r="J59" i="4"/>
  <c r="M59" i="4" s="1"/>
  <c r="S58" i="9" l="1"/>
  <c r="N54" i="7"/>
  <c r="AE55" i="7" s="1"/>
  <c r="O54" i="7"/>
  <c r="AF55" i="7" s="1"/>
  <c r="M54" i="7"/>
  <c r="AD55" i="7" s="1"/>
  <c r="J60" i="4"/>
  <c r="M60" i="4" s="1"/>
  <c r="I60" i="4"/>
  <c r="L60" i="4" s="1"/>
  <c r="S59" i="9" l="1"/>
  <c r="M55" i="7"/>
  <c r="AD56" i="7" s="1"/>
  <c r="O55" i="7"/>
  <c r="AF56" i="7" s="1"/>
  <c r="N55" i="7"/>
  <c r="AE56" i="7" s="1"/>
  <c r="J61" i="4"/>
  <c r="M61" i="4" s="1"/>
  <c r="I61" i="4"/>
  <c r="L61" i="4" s="1"/>
  <c r="S61" i="9" l="1"/>
  <c r="S60" i="9"/>
  <c r="N56" i="7"/>
  <c r="AE57" i="7" s="1"/>
  <c r="M56" i="7"/>
  <c r="AD57" i="7" s="1"/>
  <c r="O56" i="7"/>
  <c r="AF57" i="7" s="1"/>
  <c r="J62" i="4"/>
  <c r="M62" i="4" s="1"/>
  <c r="I62" i="4"/>
  <c r="L62" i="4" s="1"/>
  <c r="O57" i="7" l="1"/>
  <c r="AF58" i="7" s="1"/>
  <c r="M57" i="7"/>
  <c r="AD58" i="7" s="1"/>
  <c r="N57" i="7"/>
  <c r="AE58" i="7" s="1"/>
  <c r="I63" i="4"/>
  <c r="L63" i="4" s="1"/>
  <c r="J63" i="4"/>
  <c r="M63" i="4" s="1"/>
  <c r="M58" i="7" l="1"/>
  <c r="AD59" i="7" s="1"/>
  <c r="N58" i="7"/>
  <c r="AE59" i="7" s="1"/>
  <c r="O58" i="7"/>
  <c r="AF59" i="7" s="1"/>
  <c r="J64" i="4"/>
  <c r="M64" i="4" s="1"/>
  <c r="I64" i="4"/>
  <c r="L64" i="4" s="1"/>
  <c r="N59" i="7" l="1"/>
  <c r="AE60" i="7" s="1"/>
  <c r="M59" i="7"/>
  <c r="AD60" i="7" s="1"/>
  <c r="O59" i="7"/>
  <c r="AF60" i="7" s="1"/>
  <c r="I65" i="4"/>
  <c r="L65" i="4" s="1"/>
  <c r="J65" i="4"/>
  <c r="M65" i="4" s="1"/>
  <c r="O60" i="7" l="1"/>
  <c r="AF61" i="7" s="1"/>
  <c r="M60" i="7"/>
  <c r="AD61" i="7" s="1"/>
  <c r="N60" i="7"/>
  <c r="AE61" i="7" s="1"/>
  <c r="J66" i="4"/>
  <c r="M66" i="4" s="1"/>
  <c r="I66" i="4"/>
  <c r="L66" i="4" s="1"/>
  <c r="M61" i="7" l="1"/>
  <c r="AD62" i="7" s="1"/>
  <c r="O61" i="7"/>
  <c r="AF62" i="7" s="1"/>
  <c r="N61" i="7"/>
  <c r="AE62" i="7" s="1"/>
  <c r="I67" i="4"/>
  <c r="L67" i="4" s="1"/>
  <c r="J67" i="4"/>
  <c r="M67" i="4" s="1"/>
  <c r="N62" i="7" l="1"/>
  <c r="AE63" i="7" s="1"/>
  <c r="O62" i="7"/>
  <c r="AF63" i="7" s="1"/>
  <c r="M62" i="7"/>
  <c r="AD63" i="7" s="1"/>
  <c r="J68" i="4"/>
  <c r="M68" i="4" s="1"/>
  <c r="I68" i="4"/>
  <c r="L68" i="4" s="1"/>
  <c r="N63" i="7" l="1"/>
  <c r="AE64" i="7" s="1"/>
  <c r="M63" i="7"/>
  <c r="AD64" i="7" s="1"/>
  <c r="O63" i="7"/>
  <c r="AF64" i="7" s="1"/>
  <c r="I69" i="4"/>
  <c r="L69" i="4" s="1"/>
  <c r="J69" i="4"/>
  <c r="M69" i="4" s="1"/>
  <c r="N64" i="7" l="1"/>
  <c r="AE65" i="7" s="1"/>
  <c r="O64" i="7"/>
  <c r="AF65" i="7" s="1"/>
  <c r="M64" i="7"/>
  <c r="AD65" i="7" s="1"/>
  <c r="I70" i="4"/>
  <c r="L70" i="4" s="1"/>
  <c r="J70" i="4"/>
  <c r="M70" i="4" s="1"/>
  <c r="M65" i="7" l="1"/>
  <c r="AD66" i="7" s="1"/>
  <c r="O65" i="7"/>
  <c r="AF66" i="7" s="1"/>
  <c r="N65" i="7"/>
  <c r="AE66" i="7" s="1"/>
  <c r="I71" i="4"/>
  <c r="L71" i="4" s="1"/>
  <c r="J71" i="4"/>
  <c r="M71" i="4" s="1"/>
  <c r="N66" i="7" l="1"/>
  <c r="AE67" i="7" s="1"/>
  <c r="O66" i="7"/>
  <c r="AF67" i="7" s="1"/>
  <c r="M66" i="7"/>
  <c r="AD67" i="7" s="1"/>
  <c r="I72" i="4"/>
  <c r="L72" i="4" s="1"/>
  <c r="J72" i="4"/>
  <c r="M72" i="4" s="1"/>
  <c r="M67" i="7" l="1"/>
  <c r="AD68" i="7" s="1"/>
  <c r="O67" i="7"/>
  <c r="AF68" i="7" s="1"/>
  <c r="N67" i="7"/>
  <c r="AE68" i="7" s="1"/>
  <c r="J73" i="4"/>
  <c r="M73" i="4" s="1"/>
  <c r="I73" i="4"/>
  <c r="L73" i="4" s="1"/>
  <c r="N68" i="7" l="1"/>
  <c r="AE69" i="7" s="1"/>
  <c r="O68" i="7"/>
  <c r="AF69" i="7" s="1"/>
  <c r="M68" i="7"/>
  <c r="AD69" i="7" s="1"/>
  <c r="J74" i="4"/>
  <c r="M74" i="4" s="1"/>
  <c r="I74" i="4"/>
  <c r="L74" i="4" s="1"/>
  <c r="M69" i="7" l="1"/>
  <c r="AD70" i="7" s="1"/>
  <c r="O69" i="7"/>
  <c r="AF70" i="7" s="1"/>
  <c r="N69" i="7"/>
  <c r="AE70" i="7" s="1"/>
  <c r="J75" i="4"/>
  <c r="M75" i="4" s="1"/>
  <c r="I75" i="4"/>
  <c r="L75" i="4" s="1"/>
  <c r="N70" i="7" l="1"/>
  <c r="AE71" i="7" s="1"/>
  <c r="M70" i="7"/>
  <c r="AD71" i="7" s="1"/>
  <c r="O70" i="7"/>
  <c r="AF71" i="7" s="1"/>
  <c r="J76" i="4"/>
  <c r="M76" i="4" s="1"/>
  <c r="I76" i="4"/>
  <c r="L76" i="4" s="1"/>
  <c r="O71" i="7" l="1"/>
  <c r="AF72" i="7" s="1"/>
  <c r="M71" i="7"/>
  <c r="AD72" i="7" s="1"/>
  <c r="N71" i="7"/>
  <c r="AE72" i="7" s="1"/>
  <c r="I77" i="4"/>
  <c r="L77" i="4" s="1"/>
  <c r="J77" i="4"/>
  <c r="M77" i="4" s="1"/>
  <c r="O72" i="7" l="1"/>
  <c r="AF73" i="7" s="1"/>
  <c r="N72" i="7"/>
  <c r="AE73" i="7" s="1"/>
  <c r="M72" i="7"/>
  <c r="AD73" i="7" s="1"/>
  <c r="I78" i="4"/>
  <c r="L78" i="4" s="1"/>
  <c r="J78" i="4"/>
  <c r="M78" i="4" s="1"/>
  <c r="M73" i="7" l="1"/>
  <c r="AD74" i="7" s="1"/>
  <c r="N73" i="7"/>
  <c r="AE74" i="7" s="1"/>
  <c r="O73" i="7"/>
  <c r="AF74" i="7" s="1"/>
  <c r="I79" i="4"/>
  <c r="L79" i="4" s="1"/>
  <c r="J79" i="4"/>
  <c r="M79" i="4" s="1"/>
  <c r="N74" i="7" l="1"/>
  <c r="AE75" i="7" s="1"/>
  <c r="O74" i="7"/>
  <c r="AF75" i="7" s="1"/>
  <c r="M74" i="7"/>
  <c r="AD75" i="7" s="1"/>
  <c r="J80" i="4"/>
  <c r="M80" i="4" s="1"/>
  <c r="I80" i="4"/>
  <c r="L80" i="4" s="1"/>
  <c r="O75" i="7" l="1"/>
  <c r="AF76" i="7" s="1"/>
  <c r="M75" i="7"/>
  <c r="AD76" i="7" s="1"/>
  <c r="N75" i="7"/>
  <c r="AE76" i="7" s="1"/>
  <c r="J81" i="4"/>
  <c r="M81" i="4" s="1"/>
  <c r="I81" i="4"/>
  <c r="L81" i="4" s="1"/>
  <c r="M76" i="7" l="1"/>
  <c r="AD77" i="7" s="1"/>
  <c r="O76" i="7"/>
  <c r="AF77" i="7" s="1"/>
  <c r="N76" i="7"/>
  <c r="AE77" i="7" s="1"/>
  <c r="I82" i="4"/>
  <c r="L82" i="4" s="1"/>
  <c r="J82" i="4"/>
  <c r="M82" i="4" s="1"/>
  <c r="O77" i="7" l="1"/>
  <c r="AF78" i="7" s="1"/>
  <c r="N77" i="7"/>
  <c r="AE78" i="7" s="1"/>
  <c r="M77" i="7"/>
  <c r="AD78" i="7" s="1"/>
  <c r="J83" i="4"/>
  <c r="M83" i="4" s="1"/>
  <c r="I83" i="4"/>
  <c r="L83" i="4" s="1"/>
  <c r="M78" i="7" l="1"/>
  <c r="AD79" i="7" s="1"/>
  <c r="N78" i="7"/>
  <c r="AE79" i="7" s="1"/>
  <c r="O78" i="7"/>
  <c r="AF79" i="7" s="1"/>
  <c r="I84" i="4"/>
  <c r="L84" i="4" s="1"/>
  <c r="J84" i="4"/>
  <c r="M84" i="4" s="1"/>
  <c r="N79" i="7" l="1"/>
  <c r="AE80" i="7" s="1"/>
  <c r="O79" i="7"/>
  <c r="AF80" i="7" s="1"/>
  <c r="M79" i="7"/>
  <c r="AD80" i="7" s="1"/>
  <c r="J85" i="4"/>
  <c r="M85" i="4" s="1"/>
  <c r="I85" i="4"/>
  <c r="L85" i="4" s="1"/>
  <c r="M80" i="7" l="1"/>
  <c r="AD81" i="7" s="1"/>
  <c r="O80" i="7"/>
  <c r="AF81" i="7" s="1"/>
  <c r="N80" i="7"/>
  <c r="AE81" i="7" s="1"/>
  <c r="J86" i="4"/>
  <c r="M86" i="4" s="1"/>
  <c r="I86" i="4"/>
  <c r="L86" i="4" s="1"/>
  <c r="O81" i="7" l="1"/>
  <c r="AF82" i="7" s="1"/>
  <c r="M81" i="7"/>
  <c r="AD82" i="7" s="1"/>
  <c r="N81" i="7"/>
  <c r="AE82" i="7" s="1"/>
  <c r="J87" i="4"/>
  <c r="M87" i="4" s="1"/>
  <c r="I87" i="4"/>
  <c r="L87" i="4" s="1"/>
  <c r="N82" i="7" l="1"/>
  <c r="AE83" i="7" s="1"/>
  <c r="M82" i="7"/>
  <c r="AD83" i="7" s="1"/>
  <c r="O82" i="7"/>
  <c r="AF83" i="7" s="1"/>
  <c r="J88" i="4"/>
  <c r="M88" i="4" s="1"/>
  <c r="I88" i="4"/>
  <c r="L88" i="4" s="1"/>
  <c r="O83" i="7" l="1"/>
  <c r="AF84" i="7" s="1"/>
  <c r="M83" i="7"/>
  <c r="AD84" i="7" s="1"/>
  <c r="N83" i="7"/>
  <c r="AE84" i="7" s="1"/>
  <c r="J89" i="4"/>
  <c r="M89" i="4" s="1"/>
  <c r="I89" i="4"/>
  <c r="L89" i="4" s="1"/>
  <c r="N84" i="7" l="1"/>
  <c r="AE85" i="7" s="1"/>
  <c r="M84" i="7"/>
  <c r="AD85" i="7" s="1"/>
  <c r="O84" i="7"/>
  <c r="AF85" i="7" s="1"/>
  <c r="I90" i="4"/>
  <c r="L90" i="4" s="1"/>
  <c r="J90" i="4"/>
  <c r="M90" i="4" s="1"/>
  <c r="O85" i="7" l="1"/>
  <c r="AF86" i="7" s="1"/>
  <c r="M85" i="7"/>
  <c r="AD86" i="7" s="1"/>
  <c r="N85" i="7"/>
  <c r="AE86" i="7" s="1"/>
  <c r="J91" i="4"/>
  <c r="M91" i="4" s="1"/>
  <c r="I91" i="4"/>
  <c r="L91" i="4" s="1"/>
  <c r="N86" i="7" l="1"/>
  <c r="AE87" i="7" s="1"/>
  <c r="M86" i="7"/>
  <c r="AD87" i="7" s="1"/>
  <c r="O86" i="7"/>
  <c r="AF87" i="7" s="1"/>
  <c r="J92" i="4"/>
  <c r="M92" i="4" s="1"/>
  <c r="I92" i="4"/>
  <c r="L92" i="4" s="1"/>
  <c r="O87" i="7" l="1"/>
  <c r="AF88" i="7" s="1"/>
  <c r="M87" i="7"/>
  <c r="AD88" i="7" s="1"/>
  <c r="N87" i="7"/>
  <c r="AE88" i="7" s="1"/>
  <c r="I93" i="4"/>
  <c r="L93" i="4" s="1"/>
  <c r="J93" i="4"/>
  <c r="M93" i="4" s="1"/>
  <c r="M88" i="7" l="1"/>
  <c r="AD89" i="7" s="1"/>
  <c r="N88" i="7"/>
  <c r="AE89" i="7" s="1"/>
  <c r="O88" i="7"/>
  <c r="AF89" i="7" s="1"/>
  <c r="J94" i="4"/>
  <c r="M94" i="4" s="1"/>
  <c r="I94" i="4"/>
  <c r="L94" i="4" s="1"/>
  <c r="O89" i="7" l="1"/>
  <c r="AF90" i="7" s="1"/>
  <c r="N89" i="7"/>
  <c r="AE90" i="7" s="1"/>
  <c r="M89" i="7"/>
  <c r="AD90" i="7" s="1"/>
  <c r="I95" i="4"/>
  <c r="L95" i="4" s="1"/>
  <c r="J95" i="4"/>
  <c r="M95" i="4" s="1"/>
  <c r="M90" i="7" l="1"/>
  <c r="AD91" i="7" s="1"/>
  <c r="N90" i="7"/>
  <c r="AE91" i="7" s="1"/>
  <c r="O90" i="7"/>
  <c r="AF91" i="7" s="1"/>
  <c r="I96" i="4"/>
  <c r="L96" i="4" s="1"/>
  <c r="J96" i="4"/>
  <c r="M96" i="4" s="1"/>
  <c r="N91" i="7" l="1"/>
  <c r="AE92" i="7" s="1"/>
  <c r="O91" i="7"/>
  <c r="AF92" i="7" s="1"/>
  <c r="M91" i="7"/>
  <c r="AD92" i="7" s="1"/>
  <c r="I97" i="4"/>
  <c r="L97" i="4" s="1"/>
  <c r="J97" i="4"/>
  <c r="M97" i="4" s="1"/>
  <c r="M92" i="7" l="1"/>
  <c r="AD93" i="7" s="1"/>
  <c r="O92" i="7"/>
  <c r="AF93" i="7" s="1"/>
  <c r="N92" i="7"/>
  <c r="AE93" i="7" s="1"/>
  <c r="I98" i="4"/>
  <c r="L98" i="4" s="1"/>
  <c r="J98" i="4"/>
  <c r="M98" i="4" s="1"/>
  <c r="O93" i="7" l="1"/>
  <c r="AF94" i="7" s="1"/>
  <c r="M93" i="7"/>
  <c r="AD94" i="7" s="1"/>
  <c r="N93" i="7"/>
  <c r="AE94" i="7" s="1"/>
  <c r="J99" i="4"/>
  <c r="M99" i="4" s="1"/>
  <c r="I99" i="4"/>
  <c r="L99" i="4" s="1"/>
  <c r="N94" i="7" l="1"/>
  <c r="AE95" i="7" s="1"/>
  <c r="M94" i="7"/>
  <c r="AD95" i="7" s="1"/>
  <c r="O94" i="7"/>
  <c r="AF95" i="7" s="1"/>
  <c r="I100" i="4"/>
  <c r="L100" i="4" s="1"/>
  <c r="J100" i="4"/>
  <c r="M100" i="4" s="1"/>
  <c r="O95" i="7" l="1"/>
  <c r="AF96" i="7" s="1"/>
  <c r="M95" i="7"/>
  <c r="AD96" i="7" s="1"/>
  <c r="N95" i="7"/>
  <c r="AE96" i="7" s="1"/>
  <c r="I101" i="4"/>
  <c r="L101" i="4" s="1"/>
  <c r="J101" i="4"/>
  <c r="M101" i="4" s="1"/>
  <c r="O96" i="7" l="1"/>
  <c r="AF97" i="7" s="1"/>
  <c r="N96" i="7"/>
  <c r="AE97" i="7" s="1"/>
  <c r="M96" i="7"/>
  <c r="AD97" i="7" s="1"/>
  <c r="J102" i="4"/>
  <c r="M102" i="4" s="1"/>
  <c r="I102" i="4"/>
  <c r="L102" i="4" s="1"/>
  <c r="M97" i="7" l="1"/>
  <c r="AD98" i="7" s="1"/>
  <c r="N97" i="7"/>
  <c r="AE98" i="7" s="1"/>
  <c r="O97" i="7"/>
  <c r="AF98" i="7" s="1"/>
  <c r="J103" i="4"/>
  <c r="M103" i="4" s="1"/>
  <c r="I103" i="4"/>
  <c r="L103" i="4" s="1"/>
  <c r="O98" i="7" l="1"/>
  <c r="AF99" i="7" s="1"/>
  <c r="N98" i="7"/>
  <c r="AE99" i="7" s="1"/>
  <c r="M98" i="7"/>
  <c r="AD99" i="7" s="1"/>
  <c r="I104" i="4"/>
  <c r="L104" i="4" s="1"/>
  <c r="J104" i="4"/>
  <c r="M104" i="4" s="1"/>
  <c r="M99" i="7" l="1"/>
  <c r="AD100" i="7" s="1"/>
  <c r="N99" i="7"/>
  <c r="AE100" i="7" s="1"/>
  <c r="O99" i="7"/>
  <c r="AF100" i="7" s="1"/>
  <c r="I105" i="4"/>
  <c r="L105" i="4" s="1"/>
  <c r="J105" i="4"/>
  <c r="M105" i="4" s="1"/>
  <c r="O100" i="7" l="1"/>
  <c r="AF101" i="7" s="1"/>
  <c r="N100" i="7"/>
  <c r="AE101" i="7" s="1"/>
  <c r="M100" i="7"/>
  <c r="AD101" i="7" s="1"/>
  <c r="I106" i="4"/>
  <c r="L106" i="4" s="1"/>
  <c r="J106" i="4"/>
  <c r="M106" i="4" s="1"/>
  <c r="O101" i="7" l="1"/>
  <c r="AF102" i="7" s="1"/>
  <c r="M101" i="7"/>
  <c r="AD102" i="7" s="1"/>
  <c r="N101" i="7"/>
  <c r="AE102" i="7" s="1"/>
  <c r="I107" i="4"/>
  <c r="L107" i="4" s="1"/>
  <c r="J107" i="4"/>
  <c r="M107" i="4" s="1"/>
  <c r="M102" i="7" l="1"/>
  <c r="AD103" i="7" s="1"/>
  <c r="O102" i="7"/>
  <c r="AF103" i="7" s="1"/>
  <c r="N102" i="7"/>
  <c r="AE103" i="7" s="1"/>
  <c r="J108" i="4"/>
  <c r="M108" i="4" s="1"/>
  <c r="I108" i="4"/>
  <c r="L108" i="4" s="1"/>
  <c r="O103" i="7" l="1"/>
  <c r="AF104" i="7" s="1"/>
  <c r="N103" i="7"/>
  <c r="AE104" i="7" s="1"/>
  <c r="M103" i="7"/>
  <c r="AD104" i="7" s="1"/>
  <c r="J109" i="4"/>
  <c r="M109" i="4" s="1"/>
  <c r="I109" i="4"/>
  <c r="L109" i="4" s="1"/>
  <c r="N104" i="7" l="1"/>
  <c r="AE105" i="7" s="1"/>
  <c r="M104" i="7"/>
  <c r="AD105" i="7" s="1"/>
  <c r="O104" i="7"/>
  <c r="AF105" i="7" s="1"/>
  <c r="J110" i="4"/>
  <c r="M110" i="4" s="1"/>
  <c r="I110" i="4"/>
  <c r="L110" i="4" s="1"/>
  <c r="O105" i="7" l="1"/>
  <c r="AF106" i="7" s="1"/>
  <c r="M105" i="7"/>
  <c r="AD106" i="7" s="1"/>
  <c r="N105" i="7"/>
  <c r="AE106" i="7" s="1"/>
  <c r="I111" i="4"/>
  <c r="L111" i="4" s="1"/>
  <c r="J111" i="4"/>
  <c r="M111" i="4" s="1"/>
  <c r="N106" i="7" l="1"/>
  <c r="AE107" i="7" s="1"/>
  <c r="M106" i="7"/>
  <c r="AD107" i="7" s="1"/>
  <c r="O106" i="7"/>
  <c r="AF107" i="7" s="1"/>
  <c r="I112" i="4"/>
  <c r="L112" i="4" s="1"/>
  <c r="J112" i="4"/>
  <c r="M112" i="4" s="1"/>
  <c r="O107" i="7" l="1"/>
  <c r="AF108" i="7" s="1"/>
  <c r="M107" i="7"/>
  <c r="AD108" i="7" s="1"/>
  <c r="N107" i="7"/>
  <c r="AE108" i="7" s="1"/>
  <c r="J113" i="4"/>
  <c r="M113" i="4" s="1"/>
  <c r="I113" i="4"/>
  <c r="L113" i="4" s="1"/>
  <c r="N108" i="7" l="1"/>
  <c r="AE109" i="7" s="1"/>
  <c r="M108" i="7"/>
  <c r="AD109" i="7" s="1"/>
  <c r="O108" i="7"/>
  <c r="AF109" i="7" s="1"/>
  <c r="J114" i="4"/>
  <c r="M114" i="4" s="1"/>
  <c r="I114" i="4"/>
  <c r="L114" i="4" s="1"/>
  <c r="O109" i="7" l="1"/>
  <c r="AF110" i="7" s="1"/>
  <c r="M109" i="7"/>
  <c r="AD110" i="7" s="1"/>
  <c r="N109" i="7"/>
  <c r="AE110" i="7" s="1"/>
  <c r="I115" i="4"/>
  <c r="L115" i="4" s="1"/>
  <c r="J115" i="4"/>
  <c r="M115" i="4" s="1"/>
  <c r="O110" i="7" l="1"/>
  <c r="AF111" i="7" s="1"/>
  <c r="N110" i="7"/>
  <c r="AE111" i="7" s="1"/>
  <c r="M110" i="7"/>
  <c r="AD111" i="7" s="1"/>
  <c r="J116" i="4"/>
  <c r="M116" i="4" s="1"/>
  <c r="I116" i="4"/>
  <c r="L116" i="4" s="1"/>
  <c r="N111" i="7" l="1"/>
  <c r="AE112" i="7" s="1"/>
  <c r="M111" i="7"/>
  <c r="AD112" i="7" s="1"/>
  <c r="O111" i="7"/>
  <c r="AF112" i="7" s="1"/>
  <c r="I117" i="4"/>
  <c r="L117" i="4" s="1"/>
  <c r="J117" i="4"/>
  <c r="M117" i="4" s="1"/>
  <c r="N112" i="7" l="1"/>
  <c r="AE113" i="7" s="1"/>
  <c r="M112" i="7"/>
  <c r="AD113" i="7" s="1"/>
  <c r="O112" i="7"/>
  <c r="AF113" i="7" s="1"/>
  <c r="J118" i="4"/>
  <c r="M118" i="4" s="1"/>
  <c r="I118" i="4"/>
  <c r="L118" i="4" s="1"/>
  <c r="N113" i="7" l="1"/>
  <c r="AE114" i="7" s="1"/>
  <c r="O113" i="7"/>
  <c r="AF114" i="7" s="1"/>
  <c r="M113" i="7"/>
  <c r="AD114" i="7" s="1"/>
  <c r="I119" i="4"/>
  <c r="L119" i="4" s="1"/>
  <c r="J119" i="4"/>
  <c r="M119" i="4" s="1"/>
  <c r="N114" i="7" l="1"/>
  <c r="AE115" i="7" s="1"/>
  <c r="M114" i="7"/>
  <c r="AD115" i="7" s="1"/>
  <c r="O114" i="7"/>
  <c r="AF115" i="7" s="1"/>
  <c r="J120" i="4"/>
  <c r="M120" i="4" s="1"/>
  <c r="I120" i="4"/>
  <c r="L120" i="4" s="1"/>
  <c r="N115" i="7" l="1"/>
  <c r="AE116" i="7" s="1"/>
  <c r="O115" i="7"/>
  <c r="AF116" i="7" s="1"/>
  <c r="M115" i="7"/>
  <c r="AD116" i="7" s="1"/>
  <c r="I121" i="4"/>
  <c r="L121" i="4" s="1"/>
  <c r="J121" i="4"/>
  <c r="M121" i="4" s="1"/>
  <c r="O116" i="7" l="1"/>
  <c r="AF117" i="7" s="1"/>
  <c r="N116" i="7"/>
  <c r="AE117" i="7" s="1"/>
  <c r="M116" i="7"/>
  <c r="AD117" i="7" s="1"/>
  <c r="J122" i="4"/>
  <c r="M122" i="4" s="1"/>
  <c r="I122" i="4"/>
  <c r="L122" i="4" s="1"/>
  <c r="M117" i="7" l="1"/>
  <c r="AD118" i="7" s="1"/>
  <c r="N117" i="7"/>
  <c r="AE118" i="7" s="1"/>
  <c r="O117" i="7"/>
  <c r="AF118" i="7" s="1"/>
  <c r="J123" i="4"/>
  <c r="M123" i="4" s="1"/>
  <c r="I123" i="4"/>
  <c r="L123" i="4" s="1"/>
  <c r="N118" i="7" l="1"/>
  <c r="AE119" i="7" s="1"/>
  <c r="M118" i="7"/>
  <c r="AD119" i="7" s="1"/>
  <c r="O118" i="7"/>
  <c r="AF119" i="7" s="1"/>
  <c r="J124" i="4"/>
  <c r="M124" i="4" s="1"/>
  <c r="I124" i="4"/>
  <c r="L124" i="4" s="1"/>
  <c r="M119" i="7" l="1"/>
  <c r="AD120" i="7" s="1"/>
  <c r="O119" i="7"/>
  <c r="AF120" i="7" s="1"/>
  <c r="N119" i="7"/>
  <c r="AE120" i="7" s="1"/>
  <c r="J125" i="4"/>
  <c r="M125" i="4" s="1"/>
  <c r="I125" i="4"/>
  <c r="L125" i="4" s="1"/>
  <c r="N120" i="7" l="1"/>
  <c r="AE121" i="7" s="1"/>
  <c r="M120" i="7"/>
  <c r="AD121" i="7" s="1"/>
  <c r="O120" i="7"/>
  <c r="AF121" i="7" s="1"/>
  <c r="I126" i="4"/>
  <c r="L126" i="4" s="1"/>
  <c r="J126" i="4"/>
  <c r="M126" i="4" s="1"/>
  <c r="O121" i="7" l="1"/>
  <c r="AF122" i="7" s="1"/>
  <c r="M121" i="7"/>
  <c r="AD122" i="7" s="1"/>
  <c r="N121" i="7"/>
  <c r="AE122" i="7" s="1"/>
  <c r="I127" i="4"/>
  <c r="L127" i="4" s="1"/>
  <c r="J127" i="4"/>
  <c r="M127" i="4" s="1"/>
  <c r="M122" i="7" l="1"/>
  <c r="AD123" i="7" s="1"/>
  <c r="N122" i="7"/>
  <c r="AE123" i="7" s="1"/>
  <c r="O122" i="7"/>
  <c r="AF123" i="7" s="1"/>
  <c r="J128" i="4"/>
  <c r="M128" i="4" s="1"/>
  <c r="I128" i="4"/>
  <c r="L128" i="4" s="1"/>
  <c r="O123" i="7" l="1"/>
  <c r="AF124" i="7" s="1"/>
  <c r="N123" i="7"/>
  <c r="AE124" i="7" s="1"/>
  <c r="M123" i="7"/>
  <c r="AD124" i="7" s="1"/>
  <c r="I129" i="4"/>
  <c r="L129" i="4" s="1"/>
  <c r="J129" i="4"/>
  <c r="M129" i="4" s="1"/>
  <c r="N124" i="7" l="1"/>
  <c r="AE125" i="7" s="1"/>
  <c r="M124" i="7"/>
  <c r="AD125" i="7" s="1"/>
  <c r="O124" i="7"/>
  <c r="AF125" i="7" s="1"/>
  <c r="J130" i="4"/>
  <c r="M130" i="4" s="1"/>
  <c r="I130" i="4"/>
  <c r="L130" i="4" s="1"/>
  <c r="O125" i="7" l="1"/>
  <c r="AF126" i="7" s="1"/>
  <c r="M125" i="7"/>
  <c r="AD126" i="7" s="1"/>
  <c r="N125" i="7"/>
  <c r="AE126" i="7" s="1"/>
  <c r="J131" i="4"/>
  <c r="M131" i="4" s="1"/>
  <c r="I131" i="4"/>
  <c r="L131" i="4" s="1"/>
  <c r="N126" i="7" l="1"/>
  <c r="AE127" i="7" s="1"/>
  <c r="M126" i="7"/>
  <c r="AD127" i="7" s="1"/>
  <c r="O126" i="7"/>
  <c r="AF127" i="7" s="1"/>
  <c r="I132" i="4"/>
  <c r="L132" i="4" s="1"/>
  <c r="J132" i="4"/>
  <c r="M132" i="4" s="1"/>
  <c r="N127" i="7" l="1"/>
  <c r="AE128" i="7" s="1"/>
  <c r="O127" i="7"/>
  <c r="AF128" i="7" s="1"/>
  <c r="M127" i="7"/>
  <c r="AD128" i="7" s="1"/>
  <c r="J133" i="4"/>
  <c r="M133" i="4" s="1"/>
  <c r="I133" i="4"/>
  <c r="L133" i="4" s="1"/>
  <c r="O128" i="7" l="1"/>
  <c r="AF129" i="7" s="1"/>
  <c r="M128" i="7"/>
  <c r="AD129" i="7" s="1"/>
  <c r="N128" i="7"/>
  <c r="AE129" i="7" s="1"/>
  <c r="I134" i="4"/>
  <c r="L134" i="4" s="1"/>
  <c r="J134" i="4"/>
  <c r="M134" i="4" s="1"/>
  <c r="O129" i="7" l="1"/>
  <c r="AF130" i="7" s="1"/>
  <c r="N129" i="7"/>
  <c r="AE130" i="7" s="1"/>
  <c r="M129" i="7"/>
  <c r="AD130" i="7" s="1"/>
  <c r="J135" i="4"/>
  <c r="M135" i="4" s="1"/>
  <c r="I135" i="4"/>
  <c r="L135" i="4" s="1"/>
  <c r="O130" i="7" l="1"/>
  <c r="AF131" i="7" s="1"/>
  <c r="M130" i="7"/>
  <c r="AD131" i="7" s="1"/>
  <c r="N130" i="7"/>
  <c r="AE131" i="7" s="1"/>
  <c r="I136" i="4"/>
  <c r="L136" i="4" s="1"/>
  <c r="J136" i="4"/>
  <c r="M136" i="4" s="1"/>
  <c r="O131" i="7" l="1"/>
  <c r="AF132" i="7" s="1"/>
  <c r="M131" i="7"/>
  <c r="AD132" i="7" s="1"/>
  <c r="N131" i="7"/>
  <c r="AE132" i="7" s="1"/>
  <c r="I137" i="4"/>
  <c r="L137" i="4" s="1"/>
  <c r="J137" i="4"/>
  <c r="M137" i="4" s="1"/>
  <c r="N132" i="7" l="1"/>
  <c r="AE133" i="7" s="1"/>
  <c r="M132" i="7"/>
  <c r="AD133" i="7" s="1"/>
  <c r="O132" i="7"/>
  <c r="AF133" i="7" s="1"/>
  <c r="J138" i="4"/>
  <c r="M138" i="4" s="1"/>
  <c r="I138" i="4"/>
  <c r="L138" i="4" s="1"/>
  <c r="N133" i="7" l="1"/>
  <c r="AE134" i="7" s="1"/>
  <c r="O133" i="7"/>
  <c r="AF134" i="7" s="1"/>
  <c r="M133" i="7"/>
  <c r="AD134" i="7" s="1"/>
  <c r="J139" i="4"/>
  <c r="M139" i="4" s="1"/>
  <c r="I139" i="4"/>
  <c r="L139" i="4" s="1"/>
  <c r="N134" i="7" l="1"/>
  <c r="AE135" i="7" s="1"/>
  <c r="M134" i="7"/>
  <c r="AD135" i="7" s="1"/>
  <c r="O134" i="7"/>
  <c r="AF135" i="7" s="1"/>
  <c r="I140" i="4"/>
  <c r="L140" i="4" s="1"/>
  <c r="J140" i="4"/>
  <c r="M140" i="4" s="1"/>
  <c r="M135" i="7" l="1"/>
  <c r="AD136" i="7" s="1"/>
  <c r="O135" i="7"/>
  <c r="AF136" i="7" s="1"/>
  <c r="N135" i="7"/>
  <c r="AE136" i="7" s="1"/>
  <c r="J141" i="4"/>
  <c r="M141" i="4" s="1"/>
  <c r="I141" i="4"/>
  <c r="L141" i="4" s="1"/>
  <c r="M136" i="7" l="1"/>
  <c r="AD137" i="7" s="1"/>
  <c r="N136" i="7"/>
  <c r="AE137" i="7" s="1"/>
  <c r="O136" i="7"/>
  <c r="AF137" i="7" s="1"/>
  <c r="I142" i="4"/>
  <c r="L142" i="4" s="1"/>
  <c r="J142" i="4"/>
  <c r="M142" i="4" s="1"/>
  <c r="O137" i="7" l="1"/>
  <c r="AF138" i="7" s="1"/>
  <c r="N137" i="7"/>
  <c r="AE138" i="7" s="1"/>
  <c r="M137" i="7"/>
  <c r="AD138" i="7" s="1"/>
  <c r="J143" i="4"/>
  <c r="M143" i="4" s="1"/>
  <c r="I143" i="4"/>
  <c r="L143" i="4" s="1"/>
  <c r="M138" i="7" l="1"/>
  <c r="AD139" i="7" s="1"/>
  <c r="O138" i="7"/>
  <c r="AF139" i="7" s="1"/>
  <c r="N138" i="7"/>
  <c r="AE139" i="7" s="1"/>
  <c r="J144" i="4"/>
  <c r="M144" i="4" s="1"/>
  <c r="I144" i="4"/>
  <c r="L144" i="4" s="1"/>
  <c r="M139" i="7" l="1"/>
  <c r="AD140" i="7" s="1"/>
  <c r="N139" i="7"/>
  <c r="AE140" i="7" s="1"/>
  <c r="O139" i="7"/>
  <c r="AF140" i="7" s="1"/>
  <c r="J145" i="4"/>
  <c r="M145" i="4" s="1"/>
  <c r="I145" i="4"/>
  <c r="L145" i="4" s="1"/>
  <c r="O140" i="7" l="1"/>
  <c r="AF141" i="7" s="1"/>
  <c r="N140" i="7"/>
  <c r="AE141" i="7" s="1"/>
  <c r="M140" i="7"/>
  <c r="AD141" i="7" s="1"/>
  <c r="I146" i="4"/>
  <c r="L146" i="4" s="1"/>
  <c r="J146" i="4"/>
  <c r="M146" i="4" s="1"/>
  <c r="AE33" i="2"/>
  <c r="AD33" i="2"/>
  <c r="AC33" i="2"/>
  <c r="F20" i="2"/>
  <c r="F14" i="2"/>
  <c r="T33" i="2"/>
  <c r="AB33" i="2"/>
  <c r="AA33" i="2"/>
  <c r="Z33" i="2"/>
  <c r="X33" i="2"/>
  <c r="W33" i="2"/>
  <c r="V33" i="2"/>
  <c r="R33" i="2"/>
  <c r="Q33" i="2"/>
  <c r="P33" i="2"/>
  <c r="N33" i="2"/>
  <c r="M33" i="2"/>
  <c r="L33" i="2"/>
  <c r="V20" i="1"/>
  <c r="U20" i="1"/>
  <c r="T20" i="1"/>
  <c r="S20" i="1"/>
  <c r="Y20" i="1"/>
  <c r="N20" i="1"/>
  <c r="M20" i="1"/>
  <c r="L20" i="1"/>
  <c r="AD20" i="1"/>
  <c r="Q20" i="1"/>
  <c r="P20" i="1"/>
  <c r="O20" i="1"/>
  <c r="A20" i="1"/>
  <c r="A33" i="2"/>
  <c r="J33" i="2"/>
  <c r="I33" i="2"/>
  <c r="H33" i="2"/>
  <c r="F33" i="2"/>
  <c r="E33" i="2"/>
  <c r="D33" i="2"/>
  <c r="F17" i="2"/>
  <c r="F16" i="2"/>
  <c r="F22" i="2"/>
  <c r="F21" i="2"/>
  <c r="F15" i="2"/>
  <c r="M141" i="7" l="1"/>
  <c r="AD142" i="7" s="1"/>
  <c r="O141" i="7"/>
  <c r="AF142" i="7" s="1"/>
  <c r="N141" i="7"/>
  <c r="AE142" i="7" s="1"/>
  <c r="I34" i="2"/>
  <c r="I38" i="2"/>
  <c r="I42" i="2"/>
  <c r="I46" i="2"/>
  <c r="I50" i="2"/>
  <c r="I54" i="2"/>
  <c r="I58" i="2"/>
  <c r="Q58" i="2" s="1"/>
  <c r="I62" i="2"/>
  <c r="I66" i="2"/>
  <c r="I70" i="2"/>
  <c r="I74" i="2"/>
  <c r="I78" i="2"/>
  <c r="Q78" i="2" s="1"/>
  <c r="I82" i="2"/>
  <c r="I86" i="2"/>
  <c r="I90" i="2"/>
  <c r="I94" i="2"/>
  <c r="I98" i="2"/>
  <c r="I102" i="2"/>
  <c r="I106" i="2"/>
  <c r="Q106" i="2" s="1"/>
  <c r="I110" i="2"/>
  <c r="I114" i="2"/>
  <c r="I118" i="2"/>
  <c r="I122" i="2"/>
  <c r="I126" i="2"/>
  <c r="M126" i="2" s="1"/>
  <c r="W126" i="2" s="1"/>
  <c r="I130" i="2"/>
  <c r="I134" i="2"/>
  <c r="I138" i="2"/>
  <c r="Q138" i="2" s="1"/>
  <c r="I142" i="2"/>
  <c r="H35" i="2"/>
  <c r="H39" i="2"/>
  <c r="H43" i="2"/>
  <c r="H47" i="2"/>
  <c r="H51" i="2"/>
  <c r="H55" i="2"/>
  <c r="H59" i="2"/>
  <c r="H63" i="2"/>
  <c r="H67" i="2"/>
  <c r="L67" i="2" s="1"/>
  <c r="V67" i="2" s="1"/>
  <c r="H71" i="2"/>
  <c r="H75" i="2"/>
  <c r="H79" i="2"/>
  <c r="H83" i="2"/>
  <c r="H87" i="2"/>
  <c r="H91" i="2"/>
  <c r="H95" i="2"/>
  <c r="H99" i="2"/>
  <c r="P99" i="2" s="1"/>
  <c r="H103" i="2"/>
  <c r="H107" i="2"/>
  <c r="L107" i="2" s="1"/>
  <c r="V107" i="2" s="1"/>
  <c r="H111" i="2"/>
  <c r="H115" i="2"/>
  <c r="H119" i="2"/>
  <c r="H123" i="2"/>
  <c r="H127" i="2"/>
  <c r="H131" i="2"/>
  <c r="P131" i="2" s="1"/>
  <c r="H135" i="2"/>
  <c r="H139" i="2"/>
  <c r="H143" i="2"/>
  <c r="I35" i="2"/>
  <c r="I39" i="2"/>
  <c r="I43" i="2"/>
  <c r="I47" i="2"/>
  <c r="I51" i="2"/>
  <c r="I55" i="2"/>
  <c r="I59" i="2"/>
  <c r="I63" i="2"/>
  <c r="I67" i="2"/>
  <c r="I71" i="2"/>
  <c r="I75" i="2"/>
  <c r="I79" i="2"/>
  <c r="I83" i="2"/>
  <c r="I87" i="2"/>
  <c r="I91" i="2"/>
  <c r="I95" i="2"/>
  <c r="I99" i="2"/>
  <c r="I103" i="2"/>
  <c r="I107" i="2"/>
  <c r="I111" i="2"/>
  <c r="I115" i="2"/>
  <c r="I119" i="2"/>
  <c r="I123" i="2"/>
  <c r="I127" i="2"/>
  <c r="I131" i="2"/>
  <c r="H36" i="2"/>
  <c r="H40" i="2"/>
  <c r="H44" i="2"/>
  <c r="H48" i="2"/>
  <c r="H52" i="2"/>
  <c r="H56" i="2"/>
  <c r="H60" i="2"/>
  <c r="H64" i="2"/>
  <c r="H68" i="2"/>
  <c r="H72" i="2"/>
  <c r="H76" i="2"/>
  <c r="H80" i="2"/>
  <c r="H84" i="2"/>
  <c r="H88" i="2"/>
  <c r="L88" i="2" s="1"/>
  <c r="V88" i="2" s="1"/>
  <c r="H92" i="2"/>
  <c r="H96" i="2"/>
  <c r="H100" i="2"/>
  <c r="H104" i="2"/>
  <c r="H108" i="2"/>
  <c r="H112" i="2"/>
  <c r="H116" i="2"/>
  <c r="H120" i="2"/>
  <c r="H124" i="2"/>
  <c r="H128" i="2"/>
  <c r="H132" i="2"/>
  <c r="H136" i="2"/>
  <c r="H140" i="2"/>
  <c r="H144" i="2"/>
  <c r="H148" i="2"/>
  <c r="I36" i="2"/>
  <c r="I40" i="2"/>
  <c r="I44" i="2"/>
  <c r="I48" i="2"/>
  <c r="I52" i="2"/>
  <c r="M52" i="2" s="1"/>
  <c r="W52" i="2" s="1"/>
  <c r="I56" i="2"/>
  <c r="I60" i="2"/>
  <c r="Q60" i="2" s="1"/>
  <c r="I64" i="2"/>
  <c r="I68" i="2"/>
  <c r="M68" i="2" s="1"/>
  <c r="W68" i="2" s="1"/>
  <c r="I72" i="2"/>
  <c r="M72" i="2" s="1"/>
  <c r="W72" i="2" s="1"/>
  <c r="I76" i="2"/>
  <c r="I80" i="2"/>
  <c r="I84" i="2"/>
  <c r="M84" i="2" s="1"/>
  <c r="W84" i="2" s="1"/>
  <c r="I88" i="2"/>
  <c r="I92" i="2"/>
  <c r="M92" i="2" s="1"/>
  <c r="W92" i="2" s="1"/>
  <c r="I96" i="2"/>
  <c r="I100" i="2"/>
  <c r="M100" i="2" s="1"/>
  <c r="W100" i="2" s="1"/>
  <c r="I104" i="2"/>
  <c r="I108" i="2"/>
  <c r="M108" i="2" s="1"/>
  <c r="W108" i="2" s="1"/>
  <c r="I112" i="2"/>
  <c r="I116" i="2"/>
  <c r="M116" i="2" s="1"/>
  <c r="W116" i="2" s="1"/>
  <c r="I120" i="2"/>
  <c r="M120" i="2" s="1"/>
  <c r="W120" i="2" s="1"/>
  <c r="H37" i="2"/>
  <c r="H41" i="2"/>
  <c r="H45" i="2"/>
  <c r="H49" i="2"/>
  <c r="H53" i="2"/>
  <c r="H57" i="2"/>
  <c r="H61" i="2"/>
  <c r="H65" i="2"/>
  <c r="H69" i="2"/>
  <c r="H73" i="2"/>
  <c r="H77" i="2"/>
  <c r="H81" i="2"/>
  <c r="H85" i="2"/>
  <c r="H89" i="2"/>
  <c r="H93" i="2"/>
  <c r="H97" i="2"/>
  <c r="H101" i="2"/>
  <c r="H105" i="2"/>
  <c r="H109" i="2"/>
  <c r="H113" i="2"/>
  <c r="H117" i="2"/>
  <c r="H121" i="2"/>
  <c r="H125" i="2"/>
  <c r="L125" i="2" s="1"/>
  <c r="V125" i="2" s="1"/>
  <c r="H129" i="2"/>
  <c r="H133" i="2"/>
  <c r="H137" i="2"/>
  <c r="H141" i="2"/>
  <c r="H145" i="2"/>
  <c r="I37" i="2"/>
  <c r="I41" i="2"/>
  <c r="I45" i="2"/>
  <c r="I49" i="2"/>
  <c r="I53" i="2"/>
  <c r="I57" i="2"/>
  <c r="I61" i="2"/>
  <c r="I65" i="2"/>
  <c r="I69" i="2"/>
  <c r="I73" i="2"/>
  <c r="I77" i="2"/>
  <c r="I89" i="2"/>
  <c r="I105" i="2"/>
  <c r="I121" i="2"/>
  <c r="I133" i="2"/>
  <c r="H142" i="2"/>
  <c r="I149" i="2"/>
  <c r="I153" i="2"/>
  <c r="I157" i="2"/>
  <c r="I161" i="2"/>
  <c r="I165" i="2"/>
  <c r="I169" i="2"/>
  <c r="I173" i="2"/>
  <c r="I177" i="2"/>
  <c r="I181" i="2"/>
  <c r="I185" i="2"/>
  <c r="I189" i="2"/>
  <c r="I193" i="2"/>
  <c r="I197" i="2"/>
  <c r="I201" i="2"/>
  <c r="I205" i="2"/>
  <c r="I209" i="2"/>
  <c r="I213" i="2"/>
  <c r="I217" i="2"/>
  <c r="I221" i="2"/>
  <c r="I225" i="2"/>
  <c r="I229" i="2"/>
  <c r="I245" i="2"/>
  <c r="H46" i="2"/>
  <c r="H70" i="2"/>
  <c r="I143" i="2"/>
  <c r="H50" i="2"/>
  <c r="H74" i="2"/>
  <c r="I124" i="2"/>
  <c r="M124" i="2" s="1"/>
  <c r="W124" i="2" s="1"/>
  <c r="I135" i="2"/>
  <c r="I145" i="2"/>
  <c r="I150" i="2"/>
  <c r="I154" i="2"/>
  <c r="I162" i="2"/>
  <c r="I170" i="2"/>
  <c r="I174" i="2"/>
  <c r="I178" i="2"/>
  <c r="I186" i="2"/>
  <c r="I194" i="2"/>
  <c r="I198" i="2"/>
  <c r="I202" i="2"/>
  <c r="I214" i="2"/>
  <c r="I218" i="2"/>
  <c r="I226" i="2"/>
  <c r="I234" i="2"/>
  <c r="I242" i="2"/>
  <c r="H90" i="2"/>
  <c r="H106" i="2"/>
  <c r="L106" i="2" s="1"/>
  <c r="V106" i="2" s="1"/>
  <c r="H122" i="2"/>
  <c r="H134" i="2"/>
  <c r="L134" i="2" s="1"/>
  <c r="V134" i="2" s="1"/>
  <c r="I144" i="2"/>
  <c r="H150" i="2"/>
  <c r="L150" i="2" s="1"/>
  <c r="V150" i="2" s="1"/>
  <c r="H154" i="2"/>
  <c r="H158" i="2"/>
  <c r="H162" i="2"/>
  <c r="H166" i="2"/>
  <c r="H170" i="2"/>
  <c r="H174" i="2"/>
  <c r="H178" i="2"/>
  <c r="H182" i="2"/>
  <c r="H186" i="2"/>
  <c r="H190" i="2"/>
  <c r="H194" i="2"/>
  <c r="H198" i="2"/>
  <c r="H202" i="2"/>
  <c r="H206" i="2"/>
  <c r="H210" i="2"/>
  <c r="H214" i="2"/>
  <c r="H218" i="2"/>
  <c r="H222" i="2"/>
  <c r="H226" i="2"/>
  <c r="H230" i="2"/>
  <c r="H234" i="2"/>
  <c r="H238" i="2"/>
  <c r="H242" i="2"/>
  <c r="I109" i="2"/>
  <c r="I166" i="2"/>
  <c r="I190" i="2"/>
  <c r="I206" i="2"/>
  <c r="I222" i="2"/>
  <c r="I238" i="2"/>
  <c r="I246" i="2"/>
  <c r="I93" i="2"/>
  <c r="I158" i="2"/>
  <c r="I182" i="2"/>
  <c r="I210" i="2"/>
  <c r="I230" i="2"/>
  <c r="I125" i="2"/>
  <c r="I136" i="2"/>
  <c r="Q136" i="2" s="1"/>
  <c r="H246" i="2"/>
  <c r="I132" i="2"/>
  <c r="H181" i="2"/>
  <c r="H213" i="2"/>
  <c r="H241" i="2"/>
  <c r="H54" i="2"/>
  <c r="H78" i="2"/>
  <c r="H94" i="2"/>
  <c r="H110" i="2"/>
  <c r="P110" i="2" s="1"/>
  <c r="I137" i="2"/>
  <c r="H146" i="2"/>
  <c r="L146" i="2" s="1"/>
  <c r="V146" i="2" s="1"/>
  <c r="H151" i="2"/>
  <c r="H155" i="2"/>
  <c r="H159" i="2"/>
  <c r="H163" i="2"/>
  <c r="H167" i="2"/>
  <c r="H171" i="2"/>
  <c r="H175" i="2"/>
  <c r="H179" i="2"/>
  <c r="H183" i="2"/>
  <c r="H187" i="2"/>
  <c r="H191" i="2"/>
  <c r="H195" i="2"/>
  <c r="H199" i="2"/>
  <c r="H203" i="2"/>
  <c r="H207" i="2"/>
  <c r="H211" i="2"/>
  <c r="H215" i="2"/>
  <c r="H219" i="2"/>
  <c r="H223" i="2"/>
  <c r="H227" i="2"/>
  <c r="H231" i="2"/>
  <c r="H235" i="2"/>
  <c r="H239" i="2"/>
  <c r="H243" i="2"/>
  <c r="H42" i="2"/>
  <c r="H118" i="2"/>
  <c r="H157" i="2"/>
  <c r="H173" i="2"/>
  <c r="H193" i="2"/>
  <c r="H209" i="2"/>
  <c r="H229" i="2"/>
  <c r="I233" i="2"/>
  <c r="I81" i="2"/>
  <c r="I97" i="2"/>
  <c r="I113" i="2"/>
  <c r="H126" i="2"/>
  <c r="I146" i="2"/>
  <c r="Q146" i="2" s="1"/>
  <c r="I151" i="2"/>
  <c r="I155" i="2"/>
  <c r="I159" i="2"/>
  <c r="I163" i="2"/>
  <c r="I167" i="2"/>
  <c r="I171" i="2"/>
  <c r="I175" i="2"/>
  <c r="I179" i="2"/>
  <c r="I183" i="2"/>
  <c r="I187" i="2"/>
  <c r="I191" i="2"/>
  <c r="I195" i="2"/>
  <c r="I199" i="2"/>
  <c r="I203" i="2"/>
  <c r="I207" i="2"/>
  <c r="I211" i="2"/>
  <c r="I215" i="2"/>
  <c r="I219" i="2"/>
  <c r="I223" i="2"/>
  <c r="I227" i="2"/>
  <c r="I231" i="2"/>
  <c r="I235" i="2"/>
  <c r="I239" i="2"/>
  <c r="I243" i="2"/>
  <c r="H149" i="2"/>
  <c r="H221" i="2"/>
  <c r="I241" i="2"/>
  <c r="H34" i="2"/>
  <c r="H58" i="2"/>
  <c r="I128" i="2"/>
  <c r="H138" i="2"/>
  <c r="L138" i="2" s="1"/>
  <c r="V138" i="2" s="1"/>
  <c r="H147" i="2"/>
  <c r="H102" i="2"/>
  <c r="H153" i="2"/>
  <c r="H169" i="2"/>
  <c r="H189" i="2"/>
  <c r="H205" i="2"/>
  <c r="H225" i="2"/>
  <c r="H245" i="2"/>
  <c r="H82" i="2"/>
  <c r="H98" i="2"/>
  <c r="H114" i="2"/>
  <c r="I129" i="2"/>
  <c r="I139" i="2"/>
  <c r="I147" i="2"/>
  <c r="H152" i="2"/>
  <c r="H156" i="2"/>
  <c r="H160" i="2"/>
  <c r="H164" i="2"/>
  <c r="H168" i="2"/>
  <c r="H172" i="2"/>
  <c r="H176" i="2"/>
  <c r="H180" i="2"/>
  <c r="H184" i="2"/>
  <c r="H188" i="2"/>
  <c r="H192" i="2"/>
  <c r="H196" i="2"/>
  <c r="H200" i="2"/>
  <c r="H204" i="2"/>
  <c r="H208" i="2"/>
  <c r="H212" i="2"/>
  <c r="H216" i="2"/>
  <c r="H220" i="2"/>
  <c r="H224" i="2"/>
  <c r="H228" i="2"/>
  <c r="H232" i="2"/>
  <c r="H236" i="2"/>
  <c r="H240" i="2"/>
  <c r="H244" i="2"/>
  <c r="H66" i="2"/>
  <c r="H86" i="2"/>
  <c r="H161" i="2"/>
  <c r="H165" i="2"/>
  <c r="H177" i="2"/>
  <c r="H185" i="2"/>
  <c r="H197" i="2"/>
  <c r="H201" i="2"/>
  <c r="H217" i="2"/>
  <c r="H233" i="2"/>
  <c r="H237" i="2"/>
  <c r="H38" i="2"/>
  <c r="H62" i="2"/>
  <c r="I85" i="2"/>
  <c r="Q85" i="2" s="1"/>
  <c r="I101" i="2"/>
  <c r="Q101" i="2" s="1"/>
  <c r="I117" i="2"/>
  <c r="I140" i="2"/>
  <c r="I152" i="2"/>
  <c r="I156" i="2"/>
  <c r="I160" i="2"/>
  <c r="I164" i="2"/>
  <c r="I168" i="2"/>
  <c r="I172" i="2"/>
  <c r="I176" i="2"/>
  <c r="I180" i="2"/>
  <c r="I184" i="2"/>
  <c r="I188" i="2"/>
  <c r="I192" i="2"/>
  <c r="I196" i="2"/>
  <c r="I200" i="2"/>
  <c r="I204" i="2"/>
  <c r="I208" i="2"/>
  <c r="I212" i="2"/>
  <c r="I216" i="2"/>
  <c r="I220" i="2"/>
  <c r="I224" i="2"/>
  <c r="I228" i="2"/>
  <c r="I232" i="2"/>
  <c r="I236" i="2"/>
  <c r="I240" i="2"/>
  <c r="I244" i="2"/>
  <c r="H130" i="2"/>
  <c r="I141" i="2"/>
  <c r="I148" i="2"/>
  <c r="I237" i="2"/>
  <c r="J34" i="2"/>
  <c r="N34" i="2" s="1"/>
  <c r="J38" i="2"/>
  <c r="J42" i="2"/>
  <c r="N42" i="2" s="1"/>
  <c r="J46" i="2"/>
  <c r="J50" i="2"/>
  <c r="N50" i="2" s="1"/>
  <c r="J54" i="2"/>
  <c r="N54" i="2" s="1"/>
  <c r="J58" i="2"/>
  <c r="N58" i="2" s="1"/>
  <c r="J62" i="2"/>
  <c r="J66" i="2"/>
  <c r="N66" i="2" s="1"/>
  <c r="J70" i="2"/>
  <c r="J74" i="2"/>
  <c r="N74" i="2" s="1"/>
  <c r="J78" i="2"/>
  <c r="J82" i="2"/>
  <c r="J86" i="2"/>
  <c r="J90" i="2"/>
  <c r="N90" i="2" s="1"/>
  <c r="J94" i="2"/>
  <c r="J98" i="2"/>
  <c r="N98" i="2" s="1"/>
  <c r="J102" i="2"/>
  <c r="N102" i="2" s="1"/>
  <c r="J106" i="2"/>
  <c r="N106" i="2" s="1"/>
  <c r="J110" i="2"/>
  <c r="J114" i="2"/>
  <c r="J118" i="2"/>
  <c r="J122" i="2"/>
  <c r="N122" i="2" s="1"/>
  <c r="J126" i="2"/>
  <c r="J130" i="2"/>
  <c r="N130" i="2" s="1"/>
  <c r="J134" i="2"/>
  <c r="J138" i="2"/>
  <c r="N138" i="2" s="1"/>
  <c r="J142" i="2"/>
  <c r="J146" i="2"/>
  <c r="N146" i="2" s="1"/>
  <c r="J35" i="2"/>
  <c r="N35" i="2" s="1"/>
  <c r="J39" i="2"/>
  <c r="N39" i="2" s="1"/>
  <c r="J43" i="2"/>
  <c r="J47" i="2"/>
  <c r="N47" i="2" s="1"/>
  <c r="J51" i="2"/>
  <c r="J55" i="2"/>
  <c r="N55" i="2" s="1"/>
  <c r="J59" i="2"/>
  <c r="J63" i="2"/>
  <c r="N63" i="2" s="1"/>
  <c r="J67" i="2"/>
  <c r="J71" i="2"/>
  <c r="N71" i="2" s="1"/>
  <c r="J75" i="2"/>
  <c r="J79" i="2"/>
  <c r="N79" i="2" s="1"/>
  <c r="J83" i="2"/>
  <c r="N83" i="2" s="1"/>
  <c r="J87" i="2"/>
  <c r="N87" i="2" s="1"/>
  <c r="J91" i="2"/>
  <c r="J95" i="2"/>
  <c r="J99" i="2"/>
  <c r="J103" i="2"/>
  <c r="N103" i="2" s="1"/>
  <c r="J107" i="2"/>
  <c r="J111" i="2"/>
  <c r="N111" i="2" s="1"/>
  <c r="J115" i="2"/>
  <c r="J119" i="2"/>
  <c r="N119" i="2" s="1"/>
  <c r="J123" i="2"/>
  <c r="J127" i="2"/>
  <c r="N127" i="2" s="1"/>
  <c r="J131" i="2"/>
  <c r="N131" i="2" s="1"/>
  <c r="J135" i="2"/>
  <c r="N135" i="2" s="1"/>
  <c r="J139" i="2"/>
  <c r="J143" i="2"/>
  <c r="J36" i="2"/>
  <c r="J40" i="2"/>
  <c r="J44" i="2"/>
  <c r="J48" i="2"/>
  <c r="N48" i="2" s="1"/>
  <c r="J52" i="2"/>
  <c r="J56" i="2"/>
  <c r="N56" i="2" s="1"/>
  <c r="J60" i="2"/>
  <c r="J64" i="2"/>
  <c r="J68" i="2"/>
  <c r="N68" i="2" s="1"/>
  <c r="J72" i="2"/>
  <c r="J76" i="2"/>
  <c r="J80" i="2"/>
  <c r="J84" i="2"/>
  <c r="J88" i="2"/>
  <c r="J92" i="2"/>
  <c r="J96" i="2"/>
  <c r="N96" i="2" s="1"/>
  <c r="J100" i="2"/>
  <c r="J104" i="2"/>
  <c r="N104" i="2" s="1"/>
  <c r="J108" i="2"/>
  <c r="J112" i="2"/>
  <c r="N112" i="2" s="1"/>
  <c r="J116" i="2"/>
  <c r="N116" i="2" s="1"/>
  <c r="J120" i="2"/>
  <c r="N120" i="2" s="1"/>
  <c r="J124" i="2"/>
  <c r="J128" i="2"/>
  <c r="N128" i="2" s="1"/>
  <c r="J132" i="2"/>
  <c r="J136" i="2"/>
  <c r="J140" i="2"/>
  <c r="J144" i="2"/>
  <c r="N144" i="2" s="1"/>
  <c r="J148" i="2"/>
  <c r="J45" i="2"/>
  <c r="N45" i="2" s="1"/>
  <c r="J69" i="2"/>
  <c r="J89" i="2"/>
  <c r="N89" i="2" s="1"/>
  <c r="J105" i="2"/>
  <c r="N105" i="2" s="1"/>
  <c r="J121" i="2"/>
  <c r="N121" i="2" s="1"/>
  <c r="J133" i="2"/>
  <c r="J149" i="2"/>
  <c r="J153" i="2"/>
  <c r="J157" i="2"/>
  <c r="J161" i="2"/>
  <c r="J165" i="2"/>
  <c r="N165" i="2" s="1"/>
  <c r="J169" i="2"/>
  <c r="J173" i="2"/>
  <c r="N173" i="2" s="1"/>
  <c r="J177" i="2"/>
  <c r="J181" i="2"/>
  <c r="N181" i="2" s="1"/>
  <c r="J185" i="2"/>
  <c r="N185" i="2" s="1"/>
  <c r="J189" i="2"/>
  <c r="N189" i="2" s="1"/>
  <c r="J193" i="2"/>
  <c r="J197" i="2"/>
  <c r="N197" i="2" s="1"/>
  <c r="J201" i="2"/>
  <c r="J205" i="2"/>
  <c r="N205" i="2" s="1"/>
  <c r="J209" i="2"/>
  <c r="J213" i="2"/>
  <c r="J217" i="2"/>
  <c r="N217" i="2" s="1"/>
  <c r="J221" i="2"/>
  <c r="N221" i="2" s="1"/>
  <c r="J225" i="2"/>
  <c r="J229" i="2"/>
  <c r="N229" i="2" s="1"/>
  <c r="J233" i="2"/>
  <c r="N233" i="2" s="1"/>
  <c r="J237" i="2"/>
  <c r="N237" i="2" s="1"/>
  <c r="J241" i="2"/>
  <c r="J245" i="2"/>
  <c r="J49" i="2"/>
  <c r="J73" i="2"/>
  <c r="J246" i="2"/>
  <c r="J53" i="2"/>
  <c r="N53" i="2" s="1"/>
  <c r="J77" i="2"/>
  <c r="J93" i="2"/>
  <c r="N93" i="2" s="1"/>
  <c r="J109" i="2"/>
  <c r="J145" i="2"/>
  <c r="J150" i="2"/>
  <c r="N150" i="2" s="1"/>
  <c r="J154" i="2"/>
  <c r="N154" i="2" s="1"/>
  <c r="J158" i="2"/>
  <c r="J162" i="2"/>
  <c r="N162" i="2" s="1"/>
  <c r="J166" i="2"/>
  <c r="J170" i="2"/>
  <c r="N170" i="2" s="1"/>
  <c r="J174" i="2"/>
  <c r="J178" i="2"/>
  <c r="N178" i="2" s="1"/>
  <c r="J182" i="2"/>
  <c r="N182" i="2" s="1"/>
  <c r="J186" i="2"/>
  <c r="J190" i="2"/>
  <c r="J194" i="2"/>
  <c r="N194" i="2" s="1"/>
  <c r="J198" i="2"/>
  <c r="J202" i="2"/>
  <c r="N202" i="2" s="1"/>
  <c r="J206" i="2"/>
  <c r="J210" i="2"/>
  <c r="J214" i="2"/>
  <c r="J218" i="2"/>
  <c r="J222" i="2"/>
  <c r="N222" i="2" s="1"/>
  <c r="J226" i="2"/>
  <c r="N226" i="2" s="1"/>
  <c r="J230" i="2"/>
  <c r="N230" i="2" s="1"/>
  <c r="J234" i="2"/>
  <c r="N234" i="2" s="1"/>
  <c r="J238" i="2"/>
  <c r="J242" i="2"/>
  <c r="N242" i="2" s="1"/>
  <c r="J125" i="2"/>
  <c r="N125" i="2" s="1"/>
  <c r="J57" i="2"/>
  <c r="N57" i="2" s="1"/>
  <c r="J137" i="2"/>
  <c r="J81" i="2"/>
  <c r="N81" i="2" s="1"/>
  <c r="J97" i="2"/>
  <c r="J113" i="2"/>
  <c r="N113" i="2" s="1"/>
  <c r="J151" i="2"/>
  <c r="N151" i="2" s="1"/>
  <c r="J155" i="2"/>
  <c r="J159" i="2"/>
  <c r="J163" i="2"/>
  <c r="N163" i="2" s="1"/>
  <c r="J167" i="2"/>
  <c r="J171" i="2"/>
  <c r="N171" i="2" s="1"/>
  <c r="J175" i="2"/>
  <c r="J179" i="2"/>
  <c r="N179" i="2" s="1"/>
  <c r="J183" i="2"/>
  <c r="J187" i="2"/>
  <c r="N187" i="2" s="1"/>
  <c r="J191" i="2"/>
  <c r="J195" i="2"/>
  <c r="N195" i="2" s="1"/>
  <c r="J199" i="2"/>
  <c r="N199" i="2" s="1"/>
  <c r="J203" i="2"/>
  <c r="N203" i="2" s="1"/>
  <c r="J207" i="2"/>
  <c r="N207" i="2" s="1"/>
  <c r="J211" i="2"/>
  <c r="N211" i="2" s="1"/>
  <c r="J215" i="2"/>
  <c r="J219" i="2"/>
  <c r="N219" i="2" s="1"/>
  <c r="J223" i="2"/>
  <c r="N223" i="2" s="1"/>
  <c r="J227" i="2"/>
  <c r="N227" i="2" s="1"/>
  <c r="J231" i="2"/>
  <c r="J235" i="2"/>
  <c r="N235" i="2" s="1"/>
  <c r="J239" i="2"/>
  <c r="J243" i="2"/>
  <c r="N243" i="2" s="1"/>
  <c r="J37" i="2"/>
  <c r="J61" i="2"/>
  <c r="N61" i="2" s="1"/>
  <c r="J141" i="2"/>
  <c r="J129" i="2"/>
  <c r="N129" i="2" s="1"/>
  <c r="J147" i="2"/>
  <c r="J41" i="2"/>
  <c r="N41" i="2" s="1"/>
  <c r="J65" i="2"/>
  <c r="J85" i="2"/>
  <c r="J101" i="2"/>
  <c r="J117" i="2"/>
  <c r="J152" i="2"/>
  <c r="J156" i="2"/>
  <c r="J160" i="2"/>
  <c r="N160" i="2" s="1"/>
  <c r="J164" i="2"/>
  <c r="N164" i="2" s="1"/>
  <c r="J168" i="2"/>
  <c r="J172" i="2"/>
  <c r="J176" i="2"/>
  <c r="N176" i="2" s="1"/>
  <c r="J180" i="2"/>
  <c r="N180" i="2" s="1"/>
  <c r="J184" i="2"/>
  <c r="N184" i="2" s="1"/>
  <c r="J188" i="2"/>
  <c r="N188" i="2" s="1"/>
  <c r="J192" i="2"/>
  <c r="J196" i="2"/>
  <c r="N196" i="2" s="1"/>
  <c r="J200" i="2"/>
  <c r="J204" i="2"/>
  <c r="N204" i="2" s="1"/>
  <c r="J208" i="2"/>
  <c r="J212" i="2"/>
  <c r="N212" i="2" s="1"/>
  <c r="J216" i="2"/>
  <c r="N216" i="2" s="1"/>
  <c r="J220" i="2"/>
  <c r="N220" i="2" s="1"/>
  <c r="J224" i="2"/>
  <c r="N224" i="2" s="1"/>
  <c r="J228" i="2"/>
  <c r="N228" i="2" s="1"/>
  <c r="J232" i="2"/>
  <c r="N232" i="2" s="1"/>
  <c r="J236" i="2"/>
  <c r="N236" i="2" s="1"/>
  <c r="J240" i="2"/>
  <c r="J244" i="2"/>
  <c r="N244" i="2" s="1"/>
  <c r="N152" i="2"/>
  <c r="N157" i="2"/>
  <c r="N161" i="2"/>
  <c r="N169" i="2"/>
  <c r="N183" i="2"/>
  <c r="N186" i="2"/>
  <c r="N210" i="2"/>
  <c r="N225" i="2"/>
  <c r="N246" i="2"/>
  <c r="N155" i="2"/>
  <c r="N231" i="2"/>
  <c r="N159" i="2"/>
  <c r="N174" i="2"/>
  <c r="N156" i="2"/>
  <c r="N168" i="2"/>
  <c r="N172" i="2"/>
  <c r="N190" i="2"/>
  <c r="N153" i="2"/>
  <c r="N166" i="2"/>
  <c r="N198" i="2"/>
  <c r="N214" i="2"/>
  <c r="N241" i="2"/>
  <c r="N239" i="2"/>
  <c r="N192" i="2"/>
  <c r="N158" i="2"/>
  <c r="N177" i="2"/>
  <c r="N209" i="2"/>
  <c r="N218" i="2"/>
  <c r="N238" i="2"/>
  <c r="N245" i="2"/>
  <c r="N193" i="2"/>
  <c r="N206" i="2"/>
  <c r="N213" i="2"/>
  <c r="N167" i="2"/>
  <c r="N200" i="2"/>
  <c r="N240" i="2"/>
  <c r="N201" i="2"/>
  <c r="N208" i="2"/>
  <c r="N215" i="2"/>
  <c r="N175" i="2"/>
  <c r="N191" i="2"/>
  <c r="Q46" i="2"/>
  <c r="X49" i="4" s="1"/>
  <c r="J147" i="4"/>
  <c r="M147" i="4" s="1"/>
  <c r="I147" i="4"/>
  <c r="L147" i="4" s="1"/>
  <c r="L114" i="2"/>
  <c r="V114" i="2" s="1"/>
  <c r="N107" i="2"/>
  <c r="P139" i="2"/>
  <c r="M95" i="2"/>
  <c r="W95" i="2" s="1"/>
  <c r="Q80" i="2"/>
  <c r="N143" i="2"/>
  <c r="L54" i="2"/>
  <c r="V54" i="2" s="1"/>
  <c r="P54" i="2"/>
  <c r="N94" i="2"/>
  <c r="M48" i="2"/>
  <c r="W48" i="2" s="1"/>
  <c r="P143" i="2"/>
  <c r="N140" i="2"/>
  <c r="L130" i="2"/>
  <c r="V130" i="2" s="1"/>
  <c r="N123" i="2"/>
  <c r="N109" i="2"/>
  <c r="N99" i="2"/>
  <c r="N145" i="2"/>
  <c r="L121" i="2"/>
  <c r="V121" i="2" s="1"/>
  <c r="P121" i="2"/>
  <c r="M59" i="2"/>
  <c r="W59" i="2" s="1"/>
  <c r="Q59" i="2"/>
  <c r="P67" i="2"/>
  <c r="N46" i="2"/>
  <c r="N137" i="2"/>
  <c r="N115" i="2"/>
  <c r="N124" i="2"/>
  <c r="L84" i="2"/>
  <c r="V84" i="2" s="1"/>
  <c r="Q98" i="2"/>
  <c r="Q118" i="2"/>
  <c r="M130" i="2"/>
  <c r="W130" i="2" s="1"/>
  <c r="L44" i="2"/>
  <c r="V44" i="2" s="1"/>
  <c r="P75" i="2"/>
  <c r="L104" i="2"/>
  <c r="V104" i="2" s="1"/>
  <c r="L108" i="2"/>
  <c r="V108" i="2" s="1"/>
  <c r="M44" i="2"/>
  <c r="W44" i="2" s="1"/>
  <c r="P47" i="2"/>
  <c r="Q66" i="2"/>
  <c r="M104" i="2"/>
  <c r="W104" i="2" s="1"/>
  <c r="Q112" i="2"/>
  <c r="L56" i="2"/>
  <c r="V56" i="2" s="1"/>
  <c r="P87" i="2"/>
  <c r="L96" i="2"/>
  <c r="V96" i="2" s="1"/>
  <c r="L116" i="2"/>
  <c r="V116" i="2" s="1"/>
  <c r="L124" i="2"/>
  <c r="V124" i="2" s="1"/>
  <c r="M142" i="2"/>
  <c r="W142" i="2" s="1"/>
  <c r="P147" i="2"/>
  <c r="M56" i="2"/>
  <c r="W56" i="2" s="1"/>
  <c r="L68" i="2"/>
  <c r="V68" i="2" s="1"/>
  <c r="M96" i="2"/>
  <c r="W96" i="2" s="1"/>
  <c r="L127" i="2"/>
  <c r="V127" i="2" s="1"/>
  <c r="L64" i="2"/>
  <c r="V64" i="2" s="1"/>
  <c r="Q68" i="2"/>
  <c r="N133" i="2"/>
  <c r="L142" i="2"/>
  <c r="V142" i="2" s="1"/>
  <c r="N40" i="2"/>
  <c r="N37" i="2"/>
  <c r="L135" i="2"/>
  <c r="V135" i="2" s="1"/>
  <c r="N86" i="2"/>
  <c r="M76" i="2"/>
  <c r="W76" i="2" s="1"/>
  <c r="N147" i="2"/>
  <c r="M150" i="2"/>
  <c r="W150" i="2" s="1"/>
  <c r="N141" i="2"/>
  <c r="N139" i="2"/>
  <c r="N134" i="2"/>
  <c r="N114" i="2"/>
  <c r="Q86" i="2"/>
  <c r="L76" i="2"/>
  <c r="V76" i="2" s="1"/>
  <c r="P55" i="2"/>
  <c r="N76" i="2"/>
  <c r="N110" i="2"/>
  <c r="N126" i="2"/>
  <c r="N67" i="2"/>
  <c r="N92" i="2"/>
  <c r="N97" i="2"/>
  <c r="N118" i="2"/>
  <c r="N136" i="2"/>
  <c r="N52" i="2"/>
  <c r="N62" i="2"/>
  <c r="N69" i="2"/>
  <c r="N70" i="2"/>
  <c r="N84" i="2"/>
  <c r="N88" i="2"/>
  <c r="N100" i="2"/>
  <c r="N117" i="2"/>
  <c r="N44" i="2"/>
  <c r="N65" i="2"/>
  <c r="N73" i="2"/>
  <c r="N75" i="2"/>
  <c r="N108" i="2"/>
  <c r="N132" i="2"/>
  <c r="N149" i="2"/>
  <c r="N51" i="2"/>
  <c r="N60" i="2"/>
  <c r="N91" i="2"/>
  <c r="N142" i="2"/>
  <c r="N148" i="2"/>
  <c r="N43" i="2"/>
  <c r="N49" i="2"/>
  <c r="N72" i="2"/>
  <c r="N77" i="2"/>
  <c r="N78" i="2"/>
  <c r="N82" i="2"/>
  <c r="P37" i="2"/>
  <c r="M134" i="2"/>
  <c r="W134" i="2" s="1"/>
  <c r="Q110" i="2"/>
  <c r="N101" i="2"/>
  <c r="N95" i="2"/>
  <c r="N85" i="2"/>
  <c r="N80" i="2"/>
  <c r="N64" i="2"/>
  <c r="N59" i="2"/>
  <c r="M88" i="2"/>
  <c r="W88" i="2" s="1"/>
  <c r="Q88" i="2"/>
  <c r="M112" i="2"/>
  <c r="W112" i="2" s="1"/>
  <c r="Q100" i="2"/>
  <c r="P124" i="2"/>
  <c r="M80" i="2"/>
  <c r="W80" i="2" s="1"/>
  <c r="L147" i="2"/>
  <c r="V147" i="2" s="1"/>
  <c r="L143" i="2"/>
  <c r="V143" i="2" s="1"/>
  <c r="L139" i="2"/>
  <c r="V139" i="2" s="1"/>
  <c r="M98" i="2"/>
  <c r="W98" i="2" s="1"/>
  <c r="M46" i="2"/>
  <c r="W46" i="2" s="1"/>
  <c r="P108" i="2"/>
  <c r="W111" i="4" s="1"/>
  <c r="M64" i="2"/>
  <c r="W64" i="2" s="1"/>
  <c r="Q64" i="2"/>
  <c r="N36" i="2"/>
  <c r="N38" i="2"/>
  <c r="AD21" i="1"/>
  <c r="E21" i="1"/>
  <c r="Z21" i="1" s="1"/>
  <c r="AE21" i="1" s="1"/>
  <c r="E28" i="1"/>
  <c r="F28" i="1"/>
  <c r="E29" i="1"/>
  <c r="F29" i="1"/>
  <c r="E30" i="1"/>
  <c r="F30" i="1"/>
  <c r="E31" i="1"/>
  <c r="F31" i="1"/>
  <c r="E32" i="1"/>
  <c r="F32" i="1"/>
  <c r="E33" i="1"/>
  <c r="F33"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E53" i="1"/>
  <c r="F53" i="1"/>
  <c r="E54" i="1"/>
  <c r="F54" i="1"/>
  <c r="E55" i="1"/>
  <c r="F55" i="1"/>
  <c r="E56" i="1"/>
  <c r="F56" i="1"/>
  <c r="E57" i="1"/>
  <c r="F57" i="1"/>
  <c r="E58" i="1"/>
  <c r="F58" i="1"/>
  <c r="E59" i="1"/>
  <c r="F59" i="1"/>
  <c r="E60" i="1"/>
  <c r="F60" i="1"/>
  <c r="E61" i="1"/>
  <c r="F61" i="1"/>
  <c r="E62" i="1"/>
  <c r="F62" i="1"/>
  <c r="E63" i="1"/>
  <c r="F63" i="1"/>
  <c r="E64" i="1"/>
  <c r="F64" i="1"/>
  <c r="E65" i="1"/>
  <c r="F65" i="1"/>
  <c r="E66" i="1"/>
  <c r="F66" i="1"/>
  <c r="E67" i="1"/>
  <c r="F67" i="1"/>
  <c r="E68" i="1"/>
  <c r="F68" i="1"/>
  <c r="E69" i="1"/>
  <c r="F69" i="1"/>
  <c r="E70" i="1"/>
  <c r="F70" i="1"/>
  <c r="E71" i="1"/>
  <c r="F71" i="1"/>
  <c r="E72" i="1"/>
  <c r="F72" i="1"/>
  <c r="E73" i="1"/>
  <c r="F73" i="1"/>
  <c r="E74" i="1"/>
  <c r="F74" i="1"/>
  <c r="E75" i="1"/>
  <c r="F75" i="1"/>
  <c r="E76" i="1"/>
  <c r="F76" i="1"/>
  <c r="E77" i="1"/>
  <c r="F77" i="1"/>
  <c r="E78" i="1"/>
  <c r="F78" i="1"/>
  <c r="E79" i="1"/>
  <c r="F79" i="1"/>
  <c r="E80" i="1"/>
  <c r="F80" i="1"/>
  <c r="E81" i="1"/>
  <c r="F81" i="1"/>
  <c r="E82" i="1"/>
  <c r="F82" i="1"/>
  <c r="E83" i="1"/>
  <c r="F83" i="1"/>
  <c r="E84" i="1"/>
  <c r="F84" i="1"/>
  <c r="E85" i="1"/>
  <c r="F85" i="1"/>
  <c r="E86" i="1"/>
  <c r="F86" i="1"/>
  <c r="E87" i="1"/>
  <c r="F87" i="1"/>
  <c r="E88" i="1"/>
  <c r="F88" i="1"/>
  <c r="E89" i="1"/>
  <c r="F89" i="1"/>
  <c r="E90" i="1"/>
  <c r="F90" i="1"/>
  <c r="E91" i="1"/>
  <c r="F91" i="1"/>
  <c r="E92" i="1"/>
  <c r="F92" i="1"/>
  <c r="E93" i="1"/>
  <c r="F93" i="1"/>
  <c r="E94" i="1"/>
  <c r="F94" i="1"/>
  <c r="E95" i="1"/>
  <c r="F95" i="1"/>
  <c r="E96" i="1"/>
  <c r="F96" i="1"/>
  <c r="E97" i="1"/>
  <c r="F97" i="1"/>
  <c r="E98" i="1"/>
  <c r="F98" i="1"/>
  <c r="E99" i="1"/>
  <c r="F99" i="1"/>
  <c r="E100" i="1"/>
  <c r="F100" i="1"/>
  <c r="E101" i="1"/>
  <c r="F101" i="1"/>
  <c r="E102" i="1"/>
  <c r="F102" i="1"/>
  <c r="E103" i="1"/>
  <c r="F103" i="1"/>
  <c r="E104" i="1"/>
  <c r="F104" i="1"/>
  <c r="E105" i="1"/>
  <c r="F105" i="1"/>
  <c r="E106" i="1"/>
  <c r="F106" i="1"/>
  <c r="E107" i="1"/>
  <c r="F107" i="1"/>
  <c r="E108" i="1"/>
  <c r="F108" i="1"/>
  <c r="E109" i="1"/>
  <c r="F109" i="1"/>
  <c r="E110" i="1"/>
  <c r="F110" i="1"/>
  <c r="E111" i="1"/>
  <c r="F111" i="1"/>
  <c r="E112" i="1"/>
  <c r="F112" i="1"/>
  <c r="E113" i="1"/>
  <c r="F113" i="1"/>
  <c r="E114" i="1"/>
  <c r="F114" i="1"/>
  <c r="E115" i="1"/>
  <c r="F115" i="1"/>
  <c r="E116" i="1"/>
  <c r="F116" i="1"/>
  <c r="E117" i="1"/>
  <c r="F117" i="1"/>
  <c r="E118" i="1"/>
  <c r="F118" i="1"/>
  <c r="E119" i="1"/>
  <c r="F119" i="1"/>
  <c r="E120" i="1"/>
  <c r="F120" i="1"/>
  <c r="E121" i="1"/>
  <c r="F121" i="1"/>
  <c r="E122" i="1"/>
  <c r="F122" i="1"/>
  <c r="E123" i="1"/>
  <c r="F123" i="1"/>
  <c r="E124" i="1"/>
  <c r="F124" i="1"/>
  <c r="E125" i="1"/>
  <c r="F125" i="1"/>
  <c r="E126" i="1"/>
  <c r="F126" i="1"/>
  <c r="E127" i="1"/>
  <c r="F127" i="1"/>
  <c r="E128" i="1"/>
  <c r="F128" i="1"/>
  <c r="E129" i="1"/>
  <c r="F129" i="1"/>
  <c r="E130" i="1"/>
  <c r="F130" i="1"/>
  <c r="E131" i="1"/>
  <c r="F131" i="1"/>
  <c r="E132" i="1"/>
  <c r="F132" i="1"/>
  <c r="E133" i="1"/>
  <c r="F133" i="1"/>
  <c r="E134" i="1"/>
  <c r="F134" i="1"/>
  <c r="E135" i="1"/>
  <c r="F135" i="1"/>
  <c r="E136" i="1"/>
  <c r="F136" i="1"/>
  <c r="E137" i="1"/>
  <c r="F137" i="1"/>
  <c r="E22" i="1"/>
  <c r="F22" i="1"/>
  <c r="E23" i="1"/>
  <c r="F23" i="1"/>
  <c r="E24" i="1"/>
  <c r="F24" i="1"/>
  <c r="E25" i="1"/>
  <c r="F25" i="1"/>
  <c r="E26" i="1"/>
  <c r="F26" i="1"/>
  <c r="E27" i="1"/>
  <c r="F27" i="1"/>
  <c r="F21" i="1"/>
  <c r="AC21" i="1" s="1"/>
  <c r="AF21" i="1" s="1"/>
  <c r="L131" i="2" l="1"/>
  <c r="V131" i="2" s="1"/>
  <c r="H128" i="1"/>
  <c r="H136" i="1"/>
  <c r="J136" i="1" s="1"/>
  <c r="H88" i="1"/>
  <c r="J88" i="1" s="1"/>
  <c r="H76" i="1"/>
  <c r="J76" i="1" s="1"/>
  <c r="H64" i="1"/>
  <c r="H52" i="1"/>
  <c r="H124" i="1"/>
  <c r="H112" i="1"/>
  <c r="H100" i="1"/>
  <c r="H116" i="1"/>
  <c r="H80" i="1"/>
  <c r="H68" i="1"/>
  <c r="H56" i="1"/>
  <c r="H24" i="1"/>
  <c r="H104" i="1"/>
  <c r="H92" i="1"/>
  <c r="N142" i="7"/>
  <c r="AE143" i="7" s="1"/>
  <c r="O142" i="7"/>
  <c r="AF143" i="7" s="1"/>
  <c r="M142" i="7"/>
  <c r="AD143" i="7" s="1"/>
  <c r="H133" i="1"/>
  <c r="H121" i="1"/>
  <c r="H109" i="1"/>
  <c r="H97" i="1"/>
  <c r="H85" i="1"/>
  <c r="H73" i="1"/>
  <c r="H61" i="1"/>
  <c r="H49" i="1"/>
  <c r="H37" i="1"/>
  <c r="H132" i="1"/>
  <c r="J132" i="1" s="1"/>
  <c r="H120" i="1"/>
  <c r="J120" i="1" s="1"/>
  <c r="H108" i="1"/>
  <c r="H96" i="1"/>
  <c r="H84" i="1"/>
  <c r="J84" i="1" s="1"/>
  <c r="H72" i="1"/>
  <c r="H60" i="1"/>
  <c r="Q116" i="2"/>
  <c r="Q124" i="2"/>
  <c r="AA124" i="2" s="1"/>
  <c r="AD124" i="2" s="1"/>
  <c r="M146" i="2"/>
  <c r="W146" i="2" s="1"/>
  <c r="H101" i="1"/>
  <c r="J101" i="1" s="1"/>
  <c r="H89" i="1"/>
  <c r="H77" i="1"/>
  <c r="J77" i="1" s="1"/>
  <c r="H65" i="1"/>
  <c r="J65" i="1" s="1"/>
  <c r="H53" i="1"/>
  <c r="H41" i="1"/>
  <c r="L110" i="2"/>
  <c r="V110" i="2" s="1"/>
  <c r="P107" i="2"/>
  <c r="H125" i="1"/>
  <c r="H113" i="1"/>
  <c r="Q120" i="2"/>
  <c r="M101" i="2"/>
  <c r="W101" i="2" s="1"/>
  <c r="Q72" i="2"/>
  <c r="P106" i="2"/>
  <c r="H129" i="1"/>
  <c r="J129" i="1" s="1"/>
  <c r="H117" i="1"/>
  <c r="J117" i="1" s="1"/>
  <c r="H105" i="1"/>
  <c r="H93" i="1"/>
  <c r="H81" i="1"/>
  <c r="H69" i="1"/>
  <c r="H57" i="1"/>
  <c r="H45" i="1"/>
  <c r="H25" i="1"/>
  <c r="AA46" i="2"/>
  <c r="AD46" i="2" s="1"/>
  <c r="X228" i="2"/>
  <c r="R228" i="2"/>
  <c r="AB228" i="2" s="1"/>
  <c r="AE228" i="2" s="1"/>
  <c r="P188" i="2"/>
  <c r="W191" i="4" s="1"/>
  <c r="L188" i="2"/>
  <c r="V188" i="2" s="1"/>
  <c r="M235" i="2"/>
  <c r="W235" i="2" s="1"/>
  <c r="Q235" i="2"/>
  <c r="P237" i="2"/>
  <c r="W240" i="4" s="1"/>
  <c r="L237" i="2"/>
  <c r="V237" i="2" s="1"/>
  <c r="M212" i="2"/>
  <c r="W212" i="2" s="1"/>
  <c r="Q212" i="2"/>
  <c r="L191" i="2"/>
  <c r="V191" i="2" s="1"/>
  <c r="P191" i="2"/>
  <c r="W194" i="4" s="1"/>
  <c r="Q165" i="2"/>
  <c r="M165" i="2"/>
  <c r="W165" i="2" s="1"/>
  <c r="Q160" i="2"/>
  <c r="M160" i="2"/>
  <c r="W160" i="2" s="1"/>
  <c r="P189" i="2"/>
  <c r="W192" i="4" s="1"/>
  <c r="L189" i="2"/>
  <c r="V189" i="2" s="1"/>
  <c r="P238" i="2"/>
  <c r="W241" i="4" s="1"/>
  <c r="L238" i="2"/>
  <c r="V238" i="2" s="1"/>
  <c r="L209" i="2"/>
  <c r="V209" i="2" s="1"/>
  <c r="P209" i="2"/>
  <c r="W212" i="4" s="1"/>
  <c r="L160" i="2"/>
  <c r="V160" i="2" s="1"/>
  <c r="P160" i="2"/>
  <c r="W163" i="4" s="1"/>
  <c r="P236" i="2"/>
  <c r="W239" i="4" s="1"/>
  <c r="L236" i="2"/>
  <c r="V236" i="2" s="1"/>
  <c r="Q204" i="2"/>
  <c r="M204" i="2"/>
  <c r="W204" i="2" s="1"/>
  <c r="L171" i="2"/>
  <c r="V171" i="2" s="1"/>
  <c r="P171" i="2"/>
  <c r="W174" i="4" s="1"/>
  <c r="P241" i="2"/>
  <c r="W244" i="4" s="1"/>
  <c r="L241" i="2"/>
  <c r="V241" i="2" s="1"/>
  <c r="P204" i="2"/>
  <c r="W207" i="4" s="1"/>
  <c r="L204" i="2"/>
  <c r="V204" i="2" s="1"/>
  <c r="Q172" i="2"/>
  <c r="M172" i="2"/>
  <c r="W172" i="2" s="1"/>
  <c r="P244" i="2"/>
  <c r="W247" i="4" s="1"/>
  <c r="L244" i="2"/>
  <c r="V244" i="2" s="1"/>
  <c r="M195" i="2"/>
  <c r="W195" i="2" s="1"/>
  <c r="Q195" i="2"/>
  <c r="L168" i="2"/>
  <c r="V168" i="2" s="1"/>
  <c r="P168" i="2"/>
  <c r="W171" i="4" s="1"/>
  <c r="R196" i="2"/>
  <c r="AB196" i="2" s="1"/>
  <c r="AE196" i="2" s="1"/>
  <c r="X196" i="2"/>
  <c r="R200" i="2"/>
  <c r="AB200" i="2" s="1"/>
  <c r="AE200" i="2" s="1"/>
  <c r="X200" i="2"/>
  <c r="X235" i="2"/>
  <c r="R235" i="2"/>
  <c r="AB235" i="2" s="1"/>
  <c r="AE235" i="2" s="1"/>
  <c r="R243" i="2"/>
  <c r="AB243" i="2" s="1"/>
  <c r="AE243" i="2" s="1"/>
  <c r="X243" i="2"/>
  <c r="R177" i="2"/>
  <c r="AB177" i="2" s="1"/>
  <c r="AE177" i="2" s="1"/>
  <c r="X177" i="2"/>
  <c r="R194" i="2"/>
  <c r="AB194" i="2" s="1"/>
  <c r="AE194" i="2" s="1"/>
  <c r="X194" i="2"/>
  <c r="X199" i="2"/>
  <c r="R199" i="2"/>
  <c r="AB199" i="2" s="1"/>
  <c r="AE199" i="2" s="1"/>
  <c r="R219" i="2"/>
  <c r="AB219" i="2" s="1"/>
  <c r="AE219" i="2" s="1"/>
  <c r="X219" i="2"/>
  <c r="X151" i="2"/>
  <c r="R151" i="2"/>
  <c r="AB151" i="2" s="1"/>
  <c r="AE151" i="2" s="1"/>
  <c r="X195" i="2"/>
  <c r="R195" i="2"/>
  <c r="AB195" i="2" s="1"/>
  <c r="AE195" i="2" s="1"/>
  <c r="R237" i="2"/>
  <c r="AB237" i="2" s="1"/>
  <c r="AE237" i="2" s="1"/>
  <c r="X237" i="2"/>
  <c r="R186" i="2"/>
  <c r="AB186" i="2" s="1"/>
  <c r="AE186" i="2" s="1"/>
  <c r="X186" i="2"/>
  <c r="P68" i="2"/>
  <c r="P142" i="2"/>
  <c r="P127" i="2"/>
  <c r="M136" i="2"/>
  <c r="W136" i="2" s="1"/>
  <c r="L163" i="2"/>
  <c r="V163" i="2" s="1"/>
  <c r="P163" i="2"/>
  <c r="W166" i="4" s="1"/>
  <c r="L246" i="2"/>
  <c r="V246" i="2" s="1"/>
  <c r="P246" i="2"/>
  <c r="W249" i="4" s="1"/>
  <c r="M237" i="2"/>
  <c r="W237" i="2" s="1"/>
  <c r="Q237" i="2"/>
  <c r="P225" i="2"/>
  <c r="W228" i="4" s="1"/>
  <c r="L225" i="2"/>
  <c r="V225" i="2" s="1"/>
  <c r="P217" i="2"/>
  <c r="W220" i="4" s="1"/>
  <c r="L217" i="2"/>
  <c r="V217" i="2" s="1"/>
  <c r="L183" i="2"/>
  <c r="V183" i="2" s="1"/>
  <c r="P183" i="2"/>
  <c r="W186" i="4" s="1"/>
  <c r="L152" i="2"/>
  <c r="V152" i="2" s="1"/>
  <c r="P152" i="2"/>
  <c r="W155" i="4" s="1"/>
  <c r="Q208" i="2"/>
  <c r="M208" i="2"/>
  <c r="W208" i="2" s="1"/>
  <c r="M189" i="2"/>
  <c r="W189" i="2" s="1"/>
  <c r="Q189" i="2"/>
  <c r="L164" i="2"/>
  <c r="V164" i="2" s="1"/>
  <c r="P164" i="2"/>
  <c r="W167" i="4" s="1"/>
  <c r="Q158" i="2"/>
  <c r="M158" i="2"/>
  <c r="W158" i="2" s="1"/>
  <c r="Q177" i="2"/>
  <c r="M177" i="2"/>
  <c r="W177" i="2" s="1"/>
  <c r="M236" i="2"/>
  <c r="W236" i="2" s="1"/>
  <c r="Q236" i="2"/>
  <c r="M194" i="2"/>
  <c r="W194" i="2" s="1"/>
  <c r="Q194" i="2"/>
  <c r="L158" i="2"/>
  <c r="V158" i="2" s="1"/>
  <c r="P158" i="2"/>
  <c r="W161" i="4" s="1"/>
  <c r="P231" i="2"/>
  <c r="W234" i="4" s="1"/>
  <c r="L231" i="2"/>
  <c r="V231" i="2" s="1"/>
  <c r="M199" i="2"/>
  <c r="W199" i="2" s="1"/>
  <c r="Q199" i="2"/>
  <c r="Q166" i="2"/>
  <c r="M166" i="2"/>
  <c r="W166" i="2" s="1"/>
  <c r="M228" i="2"/>
  <c r="W228" i="2" s="1"/>
  <c r="Q228" i="2"/>
  <c r="L199" i="2"/>
  <c r="V199" i="2" s="1"/>
  <c r="P199" i="2"/>
  <c r="W202" i="4" s="1"/>
  <c r="Q168" i="2"/>
  <c r="M168" i="2"/>
  <c r="W168" i="2" s="1"/>
  <c r="M234" i="2"/>
  <c r="W234" i="2" s="1"/>
  <c r="Q234" i="2"/>
  <c r="P190" i="2"/>
  <c r="W193" i="4" s="1"/>
  <c r="L190" i="2"/>
  <c r="V190" i="2" s="1"/>
  <c r="M163" i="2"/>
  <c r="W163" i="2" s="1"/>
  <c r="Q163" i="2"/>
  <c r="R175" i="2"/>
  <c r="AB175" i="2" s="1"/>
  <c r="AE175" i="2" s="1"/>
  <c r="X175" i="2"/>
  <c r="X184" i="2"/>
  <c r="R184" i="2"/>
  <c r="AB184" i="2" s="1"/>
  <c r="AE184" i="2" s="1"/>
  <c r="X193" i="2"/>
  <c r="R193" i="2"/>
  <c r="AB193" i="2" s="1"/>
  <c r="AE193" i="2" s="1"/>
  <c r="R238" i="2"/>
  <c r="AB238" i="2" s="1"/>
  <c r="AE238" i="2" s="1"/>
  <c r="X238" i="2"/>
  <c r="R160" i="2"/>
  <c r="AB160" i="2" s="1"/>
  <c r="AE160" i="2" s="1"/>
  <c r="X160" i="2"/>
  <c r="R241" i="2"/>
  <c r="AB241" i="2" s="1"/>
  <c r="AE241" i="2" s="1"/>
  <c r="X241" i="2"/>
  <c r="R198" i="2"/>
  <c r="AB198" i="2" s="1"/>
  <c r="AE198" i="2" s="1"/>
  <c r="X198" i="2"/>
  <c r="R190" i="2"/>
  <c r="AB190" i="2" s="1"/>
  <c r="AE190" i="2" s="1"/>
  <c r="X190" i="2"/>
  <c r="X236" i="2"/>
  <c r="R236" i="2"/>
  <c r="AB236" i="2" s="1"/>
  <c r="AE236" i="2" s="1"/>
  <c r="R188" i="2"/>
  <c r="AB188" i="2" s="1"/>
  <c r="AE188" i="2" s="1"/>
  <c r="X188" i="2"/>
  <c r="R233" i="2"/>
  <c r="AB233" i="2" s="1"/>
  <c r="AE233" i="2" s="1"/>
  <c r="X233" i="2"/>
  <c r="R183" i="2"/>
  <c r="AB183" i="2" s="1"/>
  <c r="AE183" i="2" s="1"/>
  <c r="X183" i="2"/>
  <c r="Q240" i="2"/>
  <c r="M240" i="2"/>
  <c r="W240" i="2" s="1"/>
  <c r="M203" i="2"/>
  <c r="W203" i="2" s="1"/>
  <c r="Q203" i="2"/>
  <c r="M213" i="2"/>
  <c r="W213" i="2" s="1"/>
  <c r="Q213" i="2"/>
  <c r="P208" i="2"/>
  <c r="W211" i="4" s="1"/>
  <c r="L208" i="2"/>
  <c r="V208" i="2" s="1"/>
  <c r="M171" i="2"/>
  <c r="W171" i="2" s="1"/>
  <c r="Q171" i="2"/>
  <c r="M244" i="2"/>
  <c r="W244" i="2" s="1"/>
  <c r="Q244" i="2"/>
  <c r="Q202" i="2"/>
  <c r="M202" i="2"/>
  <c r="W202" i="2" s="1"/>
  <c r="X242" i="2"/>
  <c r="R242" i="2"/>
  <c r="AB242" i="2" s="1"/>
  <c r="AE242" i="2" s="1"/>
  <c r="X222" i="2"/>
  <c r="R222" i="2"/>
  <c r="AB222" i="2" s="1"/>
  <c r="AE222" i="2" s="1"/>
  <c r="X203" i="2"/>
  <c r="R203" i="2"/>
  <c r="AB203" i="2" s="1"/>
  <c r="AE203" i="2" s="1"/>
  <c r="Q184" i="2"/>
  <c r="M184" i="2"/>
  <c r="W184" i="2" s="1"/>
  <c r="L220" i="2"/>
  <c r="V220" i="2" s="1"/>
  <c r="P220" i="2"/>
  <c r="W223" i="4" s="1"/>
  <c r="L242" i="2"/>
  <c r="V242" i="2" s="1"/>
  <c r="P242" i="2"/>
  <c r="W245" i="4" s="1"/>
  <c r="Q154" i="2"/>
  <c r="M154" i="2"/>
  <c r="W154" i="2" s="1"/>
  <c r="M192" i="2"/>
  <c r="W192" i="2" s="1"/>
  <c r="Q192" i="2"/>
  <c r="Q198" i="2"/>
  <c r="M198" i="2"/>
  <c r="W198" i="2" s="1"/>
  <c r="P166" i="2"/>
  <c r="W169" i="4" s="1"/>
  <c r="L166" i="2"/>
  <c r="V166" i="2" s="1"/>
  <c r="M159" i="2"/>
  <c r="W159" i="2" s="1"/>
  <c r="Q159" i="2"/>
  <c r="R229" i="2"/>
  <c r="AB229" i="2" s="1"/>
  <c r="AE229" i="2" s="1"/>
  <c r="X229" i="2"/>
  <c r="R181" i="2"/>
  <c r="AB181" i="2" s="1"/>
  <c r="AE181" i="2" s="1"/>
  <c r="X181" i="2"/>
  <c r="R225" i="2"/>
  <c r="AB225" i="2" s="1"/>
  <c r="AE225" i="2" s="1"/>
  <c r="X225" i="2"/>
  <c r="L37" i="2"/>
  <c r="V37" i="2" s="1"/>
  <c r="Q84" i="2"/>
  <c r="Q150" i="2"/>
  <c r="P135" i="2"/>
  <c r="M85" i="2"/>
  <c r="W85" i="2" s="1"/>
  <c r="Q152" i="2"/>
  <c r="M152" i="2"/>
  <c r="W152" i="2" s="1"/>
  <c r="M226" i="2"/>
  <c r="W226" i="2" s="1"/>
  <c r="Q226" i="2"/>
  <c r="Q225" i="2"/>
  <c r="M225" i="2"/>
  <c r="W225" i="2" s="1"/>
  <c r="Q200" i="2"/>
  <c r="M200" i="2"/>
  <c r="W200" i="2" s="1"/>
  <c r="L224" i="2"/>
  <c r="V224" i="2" s="1"/>
  <c r="P224" i="2"/>
  <c r="W227" i="4" s="1"/>
  <c r="M175" i="2"/>
  <c r="W175" i="2" s="1"/>
  <c r="Q175" i="2"/>
  <c r="L240" i="2"/>
  <c r="V240" i="2" s="1"/>
  <c r="P240" i="2"/>
  <c r="W243" i="4" s="1"/>
  <c r="M201" i="2"/>
  <c r="W201" i="2" s="1"/>
  <c r="Q201" i="2"/>
  <c r="P180" i="2"/>
  <c r="W183" i="4" s="1"/>
  <c r="L180" i="2"/>
  <c r="V180" i="2" s="1"/>
  <c r="M245" i="2"/>
  <c r="W245" i="2" s="1"/>
  <c r="Q245" i="2"/>
  <c r="M229" i="2"/>
  <c r="W229" i="2" s="1"/>
  <c r="Q229" i="2"/>
  <c r="L170" i="2"/>
  <c r="V170" i="2" s="1"/>
  <c r="P170" i="2"/>
  <c r="W173" i="4" s="1"/>
  <c r="P229" i="2"/>
  <c r="W232" i="4" s="1"/>
  <c r="L229" i="2"/>
  <c r="V229" i="2" s="1"/>
  <c r="P187" i="2"/>
  <c r="W190" i="4" s="1"/>
  <c r="L187" i="2"/>
  <c r="V187" i="2" s="1"/>
  <c r="M216" i="2"/>
  <c r="W216" i="2" s="1"/>
  <c r="Q216" i="2"/>
  <c r="M223" i="2"/>
  <c r="W223" i="2" s="1"/>
  <c r="Q223" i="2"/>
  <c r="L194" i="2"/>
  <c r="V194" i="2" s="1"/>
  <c r="P194" i="2"/>
  <c r="W197" i="4" s="1"/>
  <c r="L155" i="2"/>
  <c r="V155" i="2" s="1"/>
  <c r="P155" i="2"/>
  <c r="W158" i="4" s="1"/>
  <c r="P223" i="2"/>
  <c r="W226" i="4" s="1"/>
  <c r="L223" i="2"/>
  <c r="V223" i="2" s="1"/>
  <c r="Q190" i="2"/>
  <c r="M190" i="2"/>
  <c r="W190" i="2" s="1"/>
  <c r="L162" i="2"/>
  <c r="V162" i="2" s="1"/>
  <c r="P162" i="2"/>
  <c r="W165" i="4" s="1"/>
  <c r="M230" i="2"/>
  <c r="W230" i="2" s="1"/>
  <c r="Q230" i="2"/>
  <c r="L182" i="2"/>
  <c r="V182" i="2" s="1"/>
  <c r="P182" i="2"/>
  <c r="W185" i="4" s="1"/>
  <c r="L156" i="2"/>
  <c r="V156" i="2" s="1"/>
  <c r="P156" i="2"/>
  <c r="W159" i="4" s="1"/>
  <c r="R215" i="2"/>
  <c r="AB215" i="2" s="1"/>
  <c r="AE215" i="2" s="1"/>
  <c r="X215" i="2"/>
  <c r="X167" i="2"/>
  <c r="R167" i="2"/>
  <c r="AB167" i="2" s="1"/>
  <c r="AE167" i="2" s="1"/>
  <c r="R173" i="2"/>
  <c r="AB173" i="2" s="1"/>
  <c r="AE173" i="2" s="1"/>
  <c r="X173" i="2"/>
  <c r="R221" i="2"/>
  <c r="AB221" i="2" s="1"/>
  <c r="AE221" i="2" s="1"/>
  <c r="X221" i="2"/>
  <c r="R192" i="2"/>
  <c r="AB192" i="2" s="1"/>
  <c r="AE192" i="2" s="1"/>
  <c r="X192" i="2"/>
  <c r="R223" i="2"/>
  <c r="AB223" i="2" s="1"/>
  <c r="AE223" i="2" s="1"/>
  <c r="X223" i="2"/>
  <c r="R166" i="2"/>
  <c r="AB166" i="2" s="1"/>
  <c r="AE166" i="2" s="1"/>
  <c r="X166" i="2"/>
  <c r="R179" i="2"/>
  <c r="AB179" i="2" s="1"/>
  <c r="AE179" i="2" s="1"/>
  <c r="X179" i="2"/>
  <c r="X234" i="2"/>
  <c r="R234" i="2"/>
  <c r="AB234" i="2" s="1"/>
  <c r="AE234" i="2" s="1"/>
  <c r="X163" i="2"/>
  <c r="R163" i="2"/>
  <c r="AB163" i="2" s="1"/>
  <c r="AE163" i="2" s="1"/>
  <c r="X220" i="2"/>
  <c r="R220" i="2"/>
  <c r="AB220" i="2" s="1"/>
  <c r="AE220" i="2" s="1"/>
  <c r="R161" i="2"/>
  <c r="AB161" i="2" s="1"/>
  <c r="AE161" i="2" s="1"/>
  <c r="X161" i="2"/>
  <c r="M161" i="2"/>
  <c r="W161" i="2" s="1"/>
  <c r="Q161" i="2"/>
  <c r="P161" i="2"/>
  <c r="W164" i="4" s="1"/>
  <c r="L161" i="2"/>
  <c r="V161" i="2" s="1"/>
  <c r="L197" i="2"/>
  <c r="V197" i="2" s="1"/>
  <c r="P197" i="2"/>
  <c r="W200" i="4" s="1"/>
  <c r="P239" i="2"/>
  <c r="W242" i="4" s="1"/>
  <c r="L239" i="2"/>
  <c r="V239" i="2" s="1"/>
  <c r="P178" i="2"/>
  <c r="W181" i="4" s="1"/>
  <c r="L178" i="2"/>
  <c r="V178" i="2" s="1"/>
  <c r="Q176" i="2"/>
  <c r="M176" i="2"/>
  <c r="W176" i="2" s="1"/>
  <c r="X226" i="2"/>
  <c r="R226" i="2"/>
  <c r="AB226" i="2" s="1"/>
  <c r="AE226" i="2" s="1"/>
  <c r="R245" i="2"/>
  <c r="AB245" i="2" s="1"/>
  <c r="AE245" i="2" s="1"/>
  <c r="X245" i="2"/>
  <c r="R204" i="2"/>
  <c r="AB204" i="2" s="1"/>
  <c r="AE204" i="2" s="1"/>
  <c r="X204" i="2"/>
  <c r="R156" i="2"/>
  <c r="AB156" i="2" s="1"/>
  <c r="AE156" i="2" s="1"/>
  <c r="X156" i="2"/>
  <c r="Q217" i="2"/>
  <c r="M217" i="2"/>
  <c r="W217" i="2" s="1"/>
  <c r="P233" i="2"/>
  <c r="W236" i="4" s="1"/>
  <c r="L233" i="2"/>
  <c r="V233" i="2" s="1"/>
  <c r="L230" i="2"/>
  <c r="V230" i="2" s="1"/>
  <c r="P230" i="2"/>
  <c r="W233" i="4" s="1"/>
  <c r="P184" i="2"/>
  <c r="W187" i="4" s="1"/>
  <c r="L184" i="2"/>
  <c r="V184" i="2" s="1"/>
  <c r="M231" i="2"/>
  <c r="W231" i="2" s="1"/>
  <c r="Q231" i="2"/>
  <c r="M227" i="2"/>
  <c r="W227" i="2" s="1"/>
  <c r="Q227" i="2"/>
  <c r="L198" i="2"/>
  <c r="V198" i="2" s="1"/>
  <c r="P198" i="2"/>
  <c r="W201" i="4" s="1"/>
  <c r="Q188" i="2"/>
  <c r="M188" i="2"/>
  <c r="W188" i="2" s="1"/>
  <c r="R212" i="2"/>
  <c r="AB212" i="2" s="1"/>
  <c r="AE212" i="2" s="1"/>
  <c r="X212" i="2"/>
  <c r="R227" i="2"/>
  <c r="AB227" i="2" s="1"/>
  <c r="AE227" i="2" s="1"/>
  <c r="X227" i="2"/>
  <c r="X169" i="2"/>
  <c r="R169" i="2"/>
  <c r="AB169" i="2" s="1"/>
  <c r="AE169" i="2" s="1"/>
  <c r="M60" i="2"/>
  <c r="W60" i="2" s="1"/>
  <c r="Q76" i="2"/>
  <c r="AA76" i="2" s="1"/>
  <c r="AD76" i="2" s="1"/>
  <c r="L210" i="2"/>
  <c r="V210" i="2" s="1"/>
  <c r="P210" i="2"/>
  <c r="W213" i="4" s="1"/>
  <c r="M196" i="2"/>
  <c r="W196" i="2" s="1"/>
  <c r="Q196" i="2"/>
  <c r="M220" i="2"/>
  <c r="W220" i="2" s="1"/>
  <c r="Q220" i="2"/>
  <c r="M183" i="2"/>
  <c r="W183" i="2" s="1"/>
  <c r="Q183" i="2"/>
  <c r="M205" i="2"/>
  <c r="W205" i="2" s="1"/>
  <c r="Q205" i="2"/>
  <c r="P169" i="2"/>
  <c r="W172" i="4" s="1"/>
  <c r="L169" i="2"/>
  <c r="V169" i="2" s="1"/>
  <c r="P235" i="2"/>
  <c r="W238" i="4" s="1"/>
  <c r="L235" i="2"/>
  <c r="V235" i="2" s="1"/>
  <c r="L200" i="2"/>
  <c r="V200" i="2" s="1"/>
  <c r="P200" i="2"/>
  <c r="W203" i="4" s="1"/>
  <c r="P175" i="2"/>
  <c r="W178" i="4" s="1"/>
  <c r="L175" i="2"/>
  <c r="V175" i="2" s="1"/>
  <c r="Q238" i="2"/>
  <c r="M238" i="2"/>
  <c r="W238" i="2" s="1"/>
  <c r="M218" i="2"/>
  <c r="W218" i="2" s="1"/>
  <c r="Q218" i="2"/>
  <c r="L165" i="2"/>
  <c r="V165" i="2" s="1"/>
  <c r="P165" i="2"/>
  <c r="W168" i="4" s="1"/>
  <c r="M222" i="2"/>
  <c r="W222" i="2" s="1"/>
  <c r="Q222" i="2"/>
  <c r="M185" i="2"/>
  <c r="W185" i="2" s="1"/>
  <c r="Q185" i="2"/>
  <c r="M187" i="2"/>
  <c r="W187" i="2" s="1"/>
  <c r="Q187" i="2"/>
  <c r="P222" i="2"/>
  <c r="W225" i="4" s="1"/>
  <c r="L222" i="2"/>
  <c r="V222" i="2" s="1"/>
  <c r="L192" i="2"/>
  <c r="V192" i="2" s="1"/>
  <c r="P192" i="2"/>
  <c r="W195" i="4" s="1"/>
  <c r="M153" i="2"/>
  <c r="W153" i="2" s="1"/>
  <c r="Q153" i="2"/>
  <c r="M219" i="2"/>
  <c r="W219" i="2" s="1"/>
  <c r="Q219" i="2"/>
  <c r="Q182" i="2"/>
  <c r="M182" i="2"/>
  <c r="W182" i="2" s="1"/>
  <c r="Q156" i="2"/>
  <c r="M156" i="2"/>
  <c r="W156" i="2" s="1"/>
  <c r="L228" i="2"/>
  <c r="V228" i="2" s="1"/>
  <c r="P228" i="2"/>
  <c r="W231" i="4" s="1"/>
  <c r="L179" i="2"/>
  <c r="V179" i="2" s="1"/>
  <c r="P179" i="2"/>
  <c r="W182" i="4" s="1"/>
  <c r="L151" i="2"/>
  <c r="V151" i="2" s="1"/>
  <c r="P151" i="2"/>
  <c r="W154" i="4" s="1"/>
  <c r="R208" i="2"/>
  <c r="AB208" i="2" s="1"/>
  <c r="AE208" i="2" s="1"/>
  <c r="X208" i="2"/>
  <c r="R164" i="2"/>
  <c r="AB164" i="2" s="1"/>
  <c r="AE164" i="2" s="1"/>
  <c r="X164" i="2"/>
  <c r="R170" i="2"/>
  <c r="AB170" i="2" s="1"/>
  <c r="AE170" i="2" s="1"/>
  <c r="X170" i="2"/>
  <c r="X218" i="2"/>
  <c r="R218" i="2"/>
  <c r="AB218" i="2" s="1"/>
  <c r="AE218" i="2" s="1"/>
  <c r="X178" i="2"/>
  <c r="R178" i="2"/>
  <c r="AB178" i="2" s="1"/>
  <c r="AE178" i="2" s="1"/>
  <c r="X214" i="2"/>
  <c r="R214" i="2"/>
  <c r="AB214" i="2" s="1"/>
  <c r="AE214" i="2" s="1"/>
  <c r="R162" i="2"/>
  <c r="AB162" i="2" s="1"/>
  <c r="AE162" i="2" s="1"/>
  <c r="X162" i="2"/>
  <c r="X176" i="2"/>
  <c r="R176" i="2"/>
  <c r="AB176" i="2" s="1"/>
  <c r="AE176" i="2" s="1"/>
  <c r="X232" i="2"/>
  <c r="R232" i="2"/>
  <c r="AB232" i="2" s="1"/>
  <c r="AE232" i="2" s="1"/>
  <c r="X159" i="2"/>
  <c r="R159" i="2"/>
  <c r="AB159" i="2" s="1"/>
  <c r="AE159" i="2" s="1"/>
  <c r="R217" i="2"/>
  <c r="AB217" i="2" s="1"/>
  <c r="AE217" i="2" s="1"/>
  <c r="X217" i="2"/>
  <c r="X157" i="2"/>
  <c r="R157" i="2"/>
  <c r="AB157" i="2" s="1"/>
  <c r="AE157" i="2" s="1"/>
  <c r="M233" i="2"/>
  <c r="W233" i="2" s="1"/>
  <c r="Q233" i="2"/>
  <c r="P186" i="2"/>
  <c r="W189" i="4" s="1"/>
  <c r="L186" i="2"/>
  <c r="V186" i="2" s="1"/>
  <c r="L193" i="2"/>
  <c r="V193" i="2" s="1"/>
  <c r="P193" i="2"/>
  <c r="W196" i="4" s="1"/>
  <c r="M239" i="2"/>
  <c r="W239" i="2" s="1"/>
  <c r="Q239" i="2"/>
  <c r="M207" i="2"/>
  <c r="W207" i="2" s="1"/>
  <c r="Q207" i="2"/>
  <c r="L206" i="2"/>
  <c r="V206" i="2" s="1"/>
  <c r="P206" i="2"/>
  <c r="W209" i="4" s="1"/>
  <c r="X197" i="2"/>
  <c r="R197" i="2"/>
  <c r="AB197" i="2" s="1"/>
  <c r="AE197" i="2" s="1"/>
  <c r="X187" i="2"/>
  <c r="R187" i="2"/>
  <c r="AB187" i="2" s="1"/>
  <c r="AE187" i="2" s="1"/>
  <c r="X246" i="2"/>
  <c r="R246" i="2"/>
  <c r="AB246" i="2" s="1"/>
  <c r="AE246" i="2" s="1"/>
  <c r="L157" i="2"/>
  <c r="V157" i="2" s="1"/>
  <c r="P157" i="2"/>
  <c r="W160" i="4" s="1"/>
  <c r="M78" i="2"/>
  <c r="W78" i="2" s="1"/>
  <c r="P232" i="2"/>
  <c r="W235" i="4" s="1"/>
  <c r="L232" i="2"/>
  <c r="V232" i="2" s="1"/>
  <c r="Q206" i="2"/>
  <c r="M206" i="2"/>
  <c r="W206" i="2" s="1"/>
  <c r="Q243" i="2"/>
  <c r="M243" i="2"/>
  <c r="W243" i="2" s="1"/>
  <c r="M155" i="2"/>
  <c r="W155" i="2" s="1"/>
  <c r="Q155" i="2"/>
  <c r="P227" i="2"/>
  <c r="W230" i="4" s="1"/>
  <c r="L227" i="2"/>
  <c r="V227" i="2" s="1"/>
  <c r="M232" i="2"/>
  <c r="W232" i="2" s="1"/>
  <c r="Q232" i="2"/>
  <c r="X189" i="2"/>
  <c r="R189" i="2"/>
  <c r="AB189" i="2" s="1"/>
  <c r="AE189" i="2" s="1"/>
  <c r="R182" i="2"/>
  <c r="AB182" i="2" s="1"/>
  <c r="AE182" i="2" s="1"/>
  <c r="X182" i="2"/>
  <c r="X174" i="2"/>
  <c r="R174" i="2"/>
  <c r="AB174" i="2" s="1"/>
  <c r="AE174" i="2" s="1"/>
  <c r="P114" i="2"/>
  <c r="W117" i="4" s="1"/>
  <c r="P234" i="2"/>
  <c r="W237" i="4" s="1"/>
  <c r="L234" i="2"/>
  <c r="V234" i="2" s="1"/>
  <c r="L203" i="2"/>
  <c r="V203" i="2" s="1"/>
  <c r="P203" i="2"/>
  <c r="W206" i="4" s="1"/>
  <c r="Q186" i="2"/>
  <c r="M186" i="2"/>
  <c r="W186" i="2" s="1"/>
  <c r="L195" i="2"/>
  <c r="V195" i="2" s="1"/>
  <c r="P195" i="2"/>
  <c r="W198" i="4" s="1"/>
  <c r="M157" i="2"/>
  <c r="W157" i="2" s="1"/>
  <c r="Q157" i="2"/>
  <c r="M169" i="2"/>
  <c r="W169" i="2" s="1"/>
  <c r="Q169" i="2"/>
  <c r="M167" i="2"/>
  <c r="W167" i="2" s="1"/>
  <c r="Q167" i="2"/>
  <c r="L226" i="2"/>
  <c r="V226" i="2" s="1"/>
  <c r="P226" i="2"/>
  <c r="W229" i="4" s="1"/>
  <c r="M197" i="2"/>
  <c r="W197" i="2" s="1"/>
  <c r="Q197" i="2"/>
  <c r="M173" i="2"/>
  <c r="W173" i="2" s="1"/>
  <c r="Q173" i="2"/>
  <c r="M221" i="2"/>
  <c r="W221" i="2" s="1"/>
  <c r="Q221" i="2"/>
  <c r="P212" i="2"/>
  <c r="W215" i="4" s="1"/>
  <c r="L212" i="2"/>
  <c r="V212" i="2" s="1"/>
  <c r="P245" i="2"/>
  <c r="W248" i="4" s="1"/>
  <c r="L245" i="2"/>
  <c r="V245" i="2" s="1"/>
  <c r="P221" i="2"/>
  <c r="W224" i="4" s="1"/>
  <c r="L221" i="2"/>
  <c r="V221" i="2" s="1"/>
  <c r="Q178" i="2"/>
  <c r="M178" i="2"/>
  <c r="W178" i="2" s="1"/>
  <c r="P154" i="2"/>
  <c r="W157" i="4" s="1"/>
  <c r="L154" i="2"/>
  <c r="V154" i="2" s="1"/>
  <c r="M214" i="2"/>
  <c r="W214" i="2" s="1"/>
  <c r="Q214" i="2"/>
  <c r="L185" i="2"/>
  <c r="V185" i="2" s="1"/>
  <c r="P185" i="2"/>
  <c r="W188" i="4" s="1"/>
  <c r="P215" i="2"/>
  <c r="W218" i="4" s="1"/>
  <c r="L215" i="2"/>
  <c r="V215" i="2" s="1"/>
  <c r="L214" i="2"/>
  <c r="V214" i="2" s="1"/>
  <c r="P214" i="2"/>
  <c r="W217" i="4" s="1"/>
  <c r="L181" i="2"/>
  <c r="V181" i="2" s="1"/>
  <c r="P181" i="2"/>
  <c r="W184" i="4" s="1"/>
  <c r="L153" i="2"/>
  <c r="V153" i="2" s="1"/>
  <c r="P153" i="2"/>
  <c r="W156" i="4" s="1"/>
  <c r="M224" i="2"/>
  <c r="W224" i="2" s="1"/>
  <c r="Q224" i="2"/>
  <c r="L176" i="2"/>
  <c r="V176" i="2" s="1"/>
  <c r="P176" i="2"/>
  <c r="W179" i="4" s="1"/>
  <c r="X201" i="2"/>
  <c r="R201" i="2"/>
  <c r="AB201" i="2" s="1"/>
  <c r="AE201" i="2" s="1"/>
  <c r="R213" i="2"/>
  <c r="AB213" i="2" s="1"/>
  <c r="AE213" i="2" s="1"/>
  <c r="X213" i="2"/>
  <c r="X165" i="2"/>
  <c r="R165" i="2"/>
  <c r="AB165" i="2" s="1"/>
  <c r="AE165" i="2" s="1"/>
  <c r="X216" i="2"/>
  <c r="R216" i="2"/>
  <c r="AB216" i="2" s="1"/>
  <c r="AE216" i="2" s="1"/>
  <c r="X171" i="2"/>
  <c r="R171" i="2"/>
  <c r="AB171" i="2" s="1"/>
  <c r="AE171" i="2" s="1"/>
  <c r="X211" i="2"/>
  <c r="R211" i="2"/>
  <c r="AB211" i="2" s="1"/>
  <c r="AE211" i="2" s="1"/>
  <c r="X153" i="2"/>
  <c r="R153" i="2"/>
  <c r="AB153" i="2" s="1"/>
  <c r="AE153" i="2" s="1"/>
  <c r="X172" i="2"/>
  <c r="R172" i="2"/>
  <c r="AB172" i="2" s="1"/>
  <c r="AE172" i="2" s="1"/>
  <c r="R230" i="2"/>
  <c r="AB230" i="2" s="1"/>
  <c r="AE230" i="2" s="1"/>
  <c r="X230" i="2"/>
  <c r="R231" i="2"/>
  <c r="AB231" i="2" s="1"/>
  <c r="AE231" i="2" s="1"/>
  <c r="X231" i="2"/>
  <c r="X210" i="2"/>
  <c r="R210" i="2"/>
  <c r="AB210" i="2" s="1"/>
  <c r="AE210" i="2" s="1"/>
  <c r="R152" i="2"/>
  <c r="AB152" i="2" s="1"/>
  <c r="AE152" i="2" s="1"/>
  <c r="X152" i="2"/>
  <c r="M193" i="2"/>
  <c r="W193" i="2" s="1"/>
  <c r="Q193" i="2"/>
  <c r="L167" i="2"/>
  <c r="V167" i="2" s="1"/>
  <c r="P167" i="2"/>
  <c r="W170" i="4" s="1"/>
  <c r="L216" i="2"/>
  <c r="V216" i="2" s="1"/>
  <c r="P216" i="2"/>
  <c r="W219" i="4" s="1"/>
  <c r="L207" i="2"/>
  <c r="V207" i="2" s="1"/>
  <c r="P207" i="2"/>
  <c r="W210" i="4" s="1"/>
  <c r="L172" i="2"/>
  <c r="V172" i="2" s="1"/>
  <c r="P172" i="2"/>
  <c r="W175" i="4" s="1"/>
  <c r="R202" i="2"/>
  <c r="AB202" i="2" s="1"/>
  <c r="AE202" i="2" s="1"/>
  <c r="X202" i="2"/>
  <c r="P125" i="2"/>
  <c r="Z125" i="2" s="1"/>
  <c r="AC125" i="2" s="1"/>
  <c r="P202" i="2"/>
  <c r="W205" i="4" s="1"/>
  <c r="L202" i="2"/>
  <c r="V202" i="2" s="1"/>
  <c r="M242" i="2"/>
  <c r="W242" i="2" s="1"/>
  <c r="Q242" i="2"/>
  <c r="Q180" i="2"/>
  <c r="M180" i="2"/>
  <c r="W180" i="2" s="1"/>
  <c r="L173" i="2"/>
  <c r="V173" i="2" s="1"/>
  <c r="P173" i="2"/>
  <c r="W176" i="4" s="1"/>
  <c r="Q162" i="2"/>
  <c r="M162" i="2"/>
  <c r="W162" i="2" s="1"/>
  <c r="R180" i="2"/>
  <c r="AB180" i="2" s="1"/>
  <c r="AE180" i="2" s="1"/>
  <c r="X180" i="2"/>
  <c r="R158" i="2"/>
  <c r="AB158" i="2" s="1"/>
  <c r="AE158" i="2" s="1"/>
  <c r="X158" i="2"/>
  <c r="X185" i="2"/>
  <c r="R185" i="2"/>
  <c r="AB185" i="2" s="1"/>
  <c r="AE185" i="2" s="1"/>
  <c r="M58" i="2"/>
  <c r="W58" i="2" s="1"/>
  <c r="P96" i="2"/>
  <c r="P84" i="2"/>
  <c r="Z84" i="2" s="1"/>
  <c r="AC84" i="2" s="1"/>
  <c r="Q210" i="2"/>
  <c r="M210" i="2"/>
  <c r="W210" i="2" s="1"/>
  <c r="M246" i="2"/>
  <c r="W246" i="2" s="1"/>
  <c r="Q246" i="2"/>
  <c r="L174" i="2"/>
  <c r="V174" i="2" s="1"/>
  <c r="P174" i="2"/>
  <c r="W177" i="4" s="1"/>
  <c r="P159" i="2"/>
  <c r="W162" i="4" s="1"/>
  <c r="L159" i="2"/>
  <c r="V159" i="2" s="1"/>
  <c r="L205" i="2"/>
  <c r="V205" i="2" s="1"/>
  <c r="P205" i="2"/>
  <c r="W208" i="4" s="1"/>
  <c r="M191" i="2"/>
  <c r="W191" i="2" s="1"/>
  <c r="Q191" i="2"/>
  <c r="Q164" i="2"/>
  <c r="M164" i="2"/>
  <c r="W164" i="2" s="1"/>
  <c r="M215" i="2"/>
  <c r="W215" i="2" s="1"/>
  <c r="Q215" i="2"/>
  <c r="L196" i="2"/>
  <c r="V196" i="2" s="1"/>
  <c r="P196" i="2"/>
  <c r="W199" i="4" s="1"/>
  <c r="Q170" i="2"/>
  <c r="M170" i="2"/>
  <c r="W170" i="2" s="1"/>
  <c r="P213" i="2"/>
  <c r="W216" i="4" s="1"/>
  <c r="L213" i="2"/>
  <c r="V213" i="2" s="1"/>
  <c r="M209" i="2"/>
  <c r="W209" i="2" s="1"/>
  <c r="Q209" i="2"/>
  <c r="P243" i="2"/>
  <c r="W246" i="4" s="1"/>
  <c r="L243" i="2"/>
  <c r="V243" i="2" s="1"/>
  <c r="L218" i="2"/>
  <c r="V218" i="2" s="1"/>
  <c r="P218" i="2"/>
  <c r="W221" i="4" s="1"/>
  <c r="L177" i="2"/>
  <c r="V177" i="2" s="1"/>
  <c r="P177" i="2"/>
  <c r="W180" i="4" s="1"/>
  <c r="M241" i="2"/>
  <c r="W241" i="2" s="1"/>
  <c r="Q241" i="2"/>
  <c r="M211" i="2"/>
  <c r="W211" i="2" s="1"/>
  <c r="Q211" i="2"/>
  <c r="M181" i="2"/>
  <c r="W181" i="2" s="1"/>
  <c r="Q181" i="2"/>
  <c r="L201" i="2"/>
  <c r="V201" i="2" s="1"/>
  <c r="P201" i="2"/>
  <c r="W204" i="4" s="1"/>
  <c r="L211" i="2"/>
  <c r="V211" i="2" s="1"/>
  <c r="P211" i="2"/>
  <c r="W214" i="4" s="1"/>
  <c r="M179" i="2"/>
  <c r="W179" i="2" s="1"/>
  <c r="Q179" i="2"/>
  <c r="M151" i="2"/>
  <c r="W151" i="2" s="1"/>
  <c r="Q151" i="2"/>
  <c r="P219" i="2"/>
  <c r="W222" i="4" s="1"/>
  <c r="L219" i="2"/>
  <c r="V219" i="2" s="1"/>
  <c r="Q174" i="2"/>
  <c r="M174" i="2"/>
  <c r="W174" i="2" s="1"/>
  <c r="X191" i="2"/>
  <c r="R191" i="2"/>
  <c r="AB191" i="2" s="1"/>
  <c r="AE191" i="2" s="1"/>
  <c r="X240" i="2"/>
  <c r="R240" i="2"/>
  <c r="AB240" i="2" s="1"/>
  <c r="AE240" i="2" s="1"/>
  <c r="R206" i="2"/>
  <c r="AB206" i="2" s="1"/>
  <c r="AE206" i="2" s="1"/>
  <c r="X206" i="2"/>
  <c r="X154" i="2"/>
  <c r="R154" i="2"/>
  <c r="AB154" i="2" s="1"/>
  <c r="AE154" i="2" s="1"/>
  <c r="R209" i="2"/>
  <c r="AB209" i="2" s="1"/>
  <c r="AE209" i="2" s="1"/>
  <c r="X209" i="2"/>
  <c r="X239" i="2"/>
  <c r="R239" i="2"/>
  <c r="AB239" i="2" s="1"/>
  <c r="AE239" i="2" s="1"/>
  <c r="R207" i="2"/>
  <c r="AB207" i="2" s="1"/>
  <c r="AE207" i="2" s="1"/>
  <c r="X207" i="2"/>
  <c r="X244" i="2"/>
  <c r="R244" i="2"/>
  <c r="AB244" i="2" s="1"/>
  <c r="AE244" i="2" s="1"/>
  <c r="R168" i="2"/>
  <c r="AB168" i="2" s="1"/>
  <c r="AE168" i="2" s="1"/>
  <c r="X168" i="2"/>
  <c r="X224" i="2"/>
  <c r="R224" i="2"/>
  <c r="AB224" i="2" s="1"/>
  <c r="AE224" i="2" s="1"/>
  <c r="X155" i="2"/>
  <c r="R155" i="2"/>
  <c r="AB155" i="2" s="1"/>
  <c r="AE155" i="2" s="1"/>
  <c r="X205" i="2"/>
  <c r="R205" i="2"/>
  <c r="AB205" i="2" s="1"/>
  <c r="AE205" i="2" s="1"/>
  <c r="AA101" i="2"/>
  <c r="AD101" i="2" s="1"/>
  <c r="X104" i="4"/>
  <c r="AA80" i="2"/>
  <c r="AD80" i="2" s="1"/>
  <c r="X83" i="4"/>
  <c r="P44" i="2"/>
  <c r="Z124" i="2"/>
  <c r="AC124" i="2" s="1"/>
  <c r="W127" i="4"/>
  <c r="Q108" i="2"/>
  <c r="T108" i="2" s="1"/>
  <c r="Z37" i="2"/>
  <c r="AC37" i="2" s="1"/>
  <c r="W40" i="4"/>
  <c r="AA78" i="2"/>
  <c r="AD78" i="2" s="1"/>
  <c r="X81" i="4"/>
  <c r="AA59" i="2"/>
  <c r="AD59" i="2" s="1"/>
  <c r="X62" i="4"/>
  <c r="AA88" i="2"/>
  <c r="AD88" i="2" s="1"/>
  <c r="X91" i="4"/>
  <c r="M138" i="2"/>
  <c r="W138" i="2" s="1"/>
  <c r="AA110" i="2"/>
  <c r="AD110" i="2" s="1"/>
  <c r="X113" i="4"/>
  <c r="P88" i="2"/>
  <c r="Q142" i="2"/>
  <c r="T142" i="2" s="1"/>
  <c r="L55" i="2"/>
  <c r="V55" i="2" s="1"/>
  <c r="AA146" i="2"/>
  <c r="AD146" i="2" s="1"/>
  <c r="X149" i="4"/>
  <c r="AA120" i="2"/>
  <c r="AD120" i="2" s="1"/>
  <c r="X123" i="4"/>
  <c r="X127" i="4"/>
  <c r="Z99" i="2"/>
  <c r="AC99" i="2" s="1"/>
  <c r="W102" i="4"/>
  <c r="AA60" i="2"/>
  <c r="AD60" i="2" s="1"/>
  <c r="X63" i="4"/>
  <c r="Z47" i="2"/>
  <c r="AC47" i="2" s="1"/>
  <c r="W50" i="4"/>
  <c r="AA118" i="2"/>
  <c r="AD118" i="2" s="1"/>
  <c r="X121" i="4"/>
  <c r="Z110" i="2"/>
  <c r="AC110" i="2" s="1"/>
  <c r="W113" i="4"/>
  <c r="AA106" i="2"/>
  <c r="AD106" i="2" s="1"/>
  <c r="X109" i="4"/>
  <c r="AA138" i="2"/>
  <c r="AD138" i="2" s="1"/>
  <c r="X141" i="4"/>
  <c r="Z107" i="2"/>
  <c r="AC107" i="2" s="1"/>
  <c r="W110" i="4"/>
  <c r="Q104" i="2"/>
  <c r="Q92" i="2"/>
  <c r="AA150" i="2"/>
  <c r="AD150" i="2" s="1"/>
  <c r="X153" i="4"/>
  <c r="P134" i="2"/>
  <c r="Z127" i="2"/>
  <c r="AC127" i="2" s="1"/>
  <c r="W130" i="4"/>
  <c r="AA86" i="2"/>
  <c r="AD86" i="2" s="1"/>
  <c r="X89" i="4"/>
  <c r="Z87" i="2"/>
  <c r="AC87" i="2" s="1"/>
  <c r="W90" i="4"/>
  <c r="Z75" i="2"/>
  <c r="AC75" i="2" s="1"/>
  <c r="W78" i="4"/>
  <c r="Z121" i="2"/>
  <c r="AC121" i="2" s="1"/>
  <c r="W124" i="4"/>
  <c r="AA136" i="2"/>
  <c r="AD136" i="2" s="1"/>
  <c r="X139" i="4"/>
  <c r="AA116" i="2"/>
  <c r="AD116" i="2" s="1"/>
  <c r="X119" i="4"/>
  <c r="AA100" i="2"/>
  <c r="AD100" i="2" s="1"/>
  <c r="X103" i="4"/>
  <c r="Z55" i="2"/>
  <c r="AC55" i="2" s="1"/>
  <c r="W58" i="4"/>
  <c r="Z106" i="2"/>
  <c r="AC106" i="2" s="1"/>
  <c r="W109" i="4"/>
  <c r="Z54" i="2"/>
  <c r="AC54" i="2" s="1"/>
  <c r="W57" i="4"/>
  <c r="AA64" i="2"/>
  <c r="AD64" i="2" s="1"/>
  <c r="X67" i="4"/>
  <c r="P138" i="2"/>
  <c r="Q126" i="2"/>
  <c r="Z131" i="2"/>
  <c r="AC131" i="2" s="1"/>
  <c r="W134" i="4"/>
  <c r="AA58" i="2"/>
  <c r="AD58" i="2" s="1"/>
  <c r="X61" i="4"/>
  <c r="AA85" i="2"/>
  <c r="AD85" i="2" s="1"/>
  <c r="X88" i="4"/>
  <c r="AA84" i="2"/>
  <c r="AD84" i="2" s="1"/>
  <c r="X87" i="4"/>
  <c r="AA72" i="2"/>
  <c r="AD72" i="2" s="1"/>
  <c r="X75" i="4"/>
  <c r="P64" i="2"/>
  <c r="T64" i="2" s="1"/>
  <c r="Z142" i="2"/>
  <c r="AC142" i="2" s="1"/>
  <c r="W145" i="4"/>
  <c r="Q130" i="2"/>
  <c r="Z135" i="2"/>
  <c r="AC135" i="2" s="1"/>
  <c r="W138" i="4"/>
  <c r="Z147" i="2"/>
  <c r="AC147" i="2" s="1"/>
  <c r="W150" i="4"/>
  <c r="AA98" i="2"/>
  <c r="AD98" i="2" s="1"/>
  <c r="X101" i="4"/>
  <c r="Z67" i="2"/>
  <c r="AC67" i="2" s="1"/>
  <c r="W70" i="4"/>
  <c r="Z143" i="2"/>
  <c r="AC143" i="2" s="1"/>
  <c r="W146" i="4"/>
  <c r="Z139" i="2"/>
  <c r="AC139" i="2" s="1"/>
  <c r="W142" i="4"/>
  <c r="Z68" i="2"/>
  <c r="AC68" i="2" s="1"/>
  <c r="W71" i="4"/>
  <c r="M110" i="2"/>
  <c r="W110" i="2" s="1"/>
  <c r="M106" i="2"/>
  <c r="W106" i="2" s="1"/>
  <c r="P146" i="2"/>
  <c r="W149" i="4" s="1"/>
  <c r="AA68" i="2"/>
  <c r="AD68" i="2" s="1"/>
  <c r="X71" i="4"/>
  <c r="AA112" i="2"/>
  <c r="AD112" i="2" s="1"/>
  <c r="X115" i="4"/>
  <c r="AA66" i="2"/>
  <c r="AD66" i="2" s="1"/>
  <c r="X69" i="4"/>
  <c r="H22" i="1"/>
  <c r="H134" i="1"/>
  <c r="H126" i="1"/>
  <c r="H122" i="1"/>
  <c r="J122" i="1" s="1"/>
  <c r="H118" i="1"/>
  <c r="J118" i="1" s="1"/>
  <c r="H114" i="1"/>
  <c r="H110" i="1"/>
  <c r="H106" i="1"/>
  <c r="H102" i="1"/>
  <c r="H98" i="1"/>
  <c r="H94" i="1"/>
  <c r="H90" i="1"/>
  <c r="H86" i="1"/>
  <c r="H82" i="1"/>
  <c r="H78" i="1"/>
  <c r="H74" i="1"/>
  <c r="H70" i="1"/>
  <c r="J70" i="1" s="1"/>
  <c r="H66" i="1"/>
  <c r="J66" i="1" s="1"/>
  <c r="H62" i="1"/>
  <c r="H58" i="1"/>
  <c r="H54" i="1"/>
  <c r="H50" i="1"/>
  <c r="H46" i="1"/>
  <c r="H42" i="1"/>
  <c r="H38" i="1"/>
  <c r="H34" i="1"/>
  <c r="H30" i="1"/>
  <c r="H137" i="1"/>
  <c r="H138" i="1"/>
  <c r="H26" i="1"/>
  <c r="J26" i="1" s="1"/>
  <c r="H130" i="1"/>
  <c r="H33" i="1"/>
  <c r="H29" i="1"/>
  <c r="H48" i="1"/>
  <c r="H44" i="1"/>
  <c r="H40" i="1"/>
  <c r="H36" i="1"/>
  <c r="H32" i="1"/>
  <c r="H28" i="1"/>
  <c r="H23" i="1"/>
  <c r="H131" i="1"/>
  <c r="J131" i="1" s="1"/>
  <c r="H123" i="1"/>
  <c r="J123" i="1" s="1"/>
  <c r="H115" i="1"/>
  <c r="H111" i="1"/>
  <c r="H107" i="1"/>
  <c r="H103" i="1"/>
  <c r="H99" i="1"/>
  <c r="H95" i="1"/>
  <c r="H91" i="1"/>
  <c r="H87" i="1"/>
  <c r="H83" i="1"/>
  <c r="H79" i="1"/>
  <c r="H75" i="1"/>
  <c r="H71" i="1"/>
  <c r="H67" i="1"/>
  <c r="H63" i="1"/>
  <c r="H59" i="1"/>
  <c r="H55" i="1"/>
  <c r="H51" i="1"/>
  <c r="H47" i="1"/>
  <c r="H43" i="1"/>
  <c r="H39" i="1"/>
  <c r="H35" i="1"/>
  <c r="H31" i="1"/>
  <c r="H27" i="1"/>
  <c r="J27" i="1" s="1"/>
  <c r="H135" i="1"/>
  <c r="J135" i="1" s="1"/>
  <c r="H127" i="1"/>
  <c r="H119" i="1"/>
  <c r="J148" i="4"/>
  <c r="M148" i="4" s="1"/>
  <c r="I148" i="4"/>
  <c r="L148" i="4" s="1"/>
  <c r="R82" i="2"/>
  <c r="AB82" i="2" s="1"/>
  <c r="AE82" i="2" s="1"/>
  <c r="X82" i="2"/>
  <c r="R43" i="2"/>
  <c r="AB43" i="2" s="1"/>
  <c r="AE43" i="2" s="1"/>
  <c r="X43" i="2"/>
  <c r="R83" i="2"/>
  <c r="AB83" i="2" s="1"/>
  <c r="AE83" i="2" s="1"/>
  <c r="X83" i="2"/>
  <c r="R112" i="2"/>
  <c r="AB112" i="2" s="1"/>
  <c r="AE112" i="2" s="1"/>
  <c r="X112" i="2"/>
  <c r="R44" i="2"/>
  <c r="AB44" i="2" s="1"/>
  <c r="AE44" i="2" s="1"/>
  <c r="X44" i="2"/>
  <c r="R118" i="2"/>
  <c r="AB118" i="2" s="1"/>
  <c r="AE118" i="2" s="1"/>
  <c r="X118" i="2"/>
  <c r="R113" i="2"/>
  <c r="AB113" i="2" s="1"/>
  <c r="AE113" i="2" s="1"/>
  <c r="X113" i="2"/>
  <c r="R48" i="2"/>
  <c r="AB48" i="2" s="1"/>
  <c r="AE48" i="2" s="1"/>
  <c r="X48" i="2"/>
  <c r="R114" i="2"/>
  <c r="AB114" i="2" s="1"/>
  <c r="AE114" i="2" s="1"/>
  <c r="X114" i="2"/>
  <c r="R90" i="2"/>
  <c r="AB90" i="2" s="1"/>
  <c r="AE90" i="2" s="1"/>
  <c r="X90" i="2"/>
  <c r="R119" i="2"/>
  <c r="AB119" i="2" s="1"/>
  <c r="AE119" i="2" s="1"/>
  <c r="X119" i="2"/>
  <c r="R69" i="2"/>
  <c r="AB69" i="2" s="1"/>
  <c r="AE69" i="2" s="1"/>
  <c r="X69" i="2"/>
  <c r="R36" i="2"/>
  <c r="AB36" i="2" s="1"/>
  <c r="AE36" i="2" s="1"/>
  <c r="X36" i="2"/>
  <c r="R81" i="2"/>
  <c r="AB81" i="2" s="1"/>
  <c r="AE81" i="2" s="1"/>
  <c r="X81" i="2"/>
  <c r="R42" i="2"/>
  <c r="AB42" i="2" s="1"/>
  <c r="AE42" i="2" s="1"/>
  <c r="X42" i="2"/>
  <c r="R60" i="2"/>
  <c r="AB60" i="2" s="1"/>
  <c r="AE60" i="2" s="1"/>
  <c r="X60" i="2"/>
  <c r="R108" i="2"/>
  <c r="AB108" i="2" s="1"/>
  <c r="AE108" i="2" s="1"/>
  <c r="X108" i="2"/>
  <c r="R125" i="2"/>
  <c r="AB125" i="2" s="1"/>
  <c r="AE125" i="2" s="1"/>
  <c r="X125" i="2"/>
  <c r="R62" i="2"/>
  <c r="AB62" i="2" s="1"/>
  <c r="AE62" i="2" s="1"/>
  <c r="X62" i="2"/>
  <c r="R98" i="2"/>
  <c r="AB98" i="2" s="1"/>
  <c r="AE98" i="2" s="1"/>
  <c r="X98" i="2"/>
  <c r="R110" i="2"/>
  <c r="AB110" i="2" s="1"/>
  <c r="AE110" i="2" s="1"/>
  <c r="X110" i="2"/>
  <c r="R127" i="2"/>
  <c r="AB127" i="2" s="1"/>
  <c r="AE127" i="2" s="1"/>
  <c r="X127" i="2"/>
  <c r="R122" i="2"/>
  <c r="AB122" i="2" s="1"/>
  <c r="AE122" i="2" s="1"/>
  <c r="X122" i="2"/>
  <c r="R116" i="2"/>
  <c r="AB116" i="2" s="1"/>
  <c r="AE116" i="2" s="1"/>
  <c r="X116" i="2"/>
  <c r="R101" i="2"/>
  <c r="AB101" i="2" s="1"/>
  <c r="AE101" i="2" s="1"/>
  <c r="X101" i="2"/>
  <c r="R37" i="2"/>
  <c r="AB37" i="2" s="1"/>
  <c r="AE37" i="2" s="1"/>
  <c r="X37" i="2"/>
  <c r="R78" i="2"/>
  <c r="AB78" i="2" s="1"/>
  <c r="AE78" i="2" s="1"/>
  <c r="X78" i="2"/>
  <c r="R41" i="2"/>
  <c r="AB41" i="2" s="1"/>
  <c r="AE41" i="2" s="1"/>
  <c r="X41" i="2"/>
  <c r="R51" i="2"/>
  <c r="AB51" i="2" s="1"/>
  <c r="AE51" i="2" s="1"/>
  <c r="X51" i="2"/>
  <c r="R104" i="2"/>
  <c r="AB104" i="2" s="1"/>
  <c r="AE104" i="2" s="1"/>
  <c r="X104" i="2"/>
  <c r="R117" i="2"/>
  <c r="AB117" i="2" s="1"/>
  <c r="AE117" i="2" s="1"/>
  <c r="X117" i="2"/>
  <c r="R61" i="2"/>
  <c r="AB61" i="2" s="1"/>
  <c r="AE61" i="2" s="1"/>
  <c r="X61" i="2"/>
  <c r="R97" i="2"/>
  <c r="AB97" i="2" s="1"/>
  <c r="AE97" i="2" s="1"/>
  <c r="X97" i="2"/>
  <c r="R106" i="2"/>
  <c r="AB106" i="2" s="1"/>
  <c r="AE106" i="2" s="1"/>
  <c r="X106" i="2"/>
  <c r="R102" i="2"/>
  <c r="AB102" i="2" s="1"/>
  <c r="AE102" i="2" s="1"/>
  <c r="X102" i="2"/>
  <c r="R150" i="2"/>
  <c r="AB150" i="2" s="1"/>
  <c r="AE150" i="2" s="1"/>
  <c r="X150" i="2"/>
  <c r="R133" i="2"/>
  <c r="AB133" i="2" s="1"/>
  <c r="AE133" i="2" s="1"/>
  <c r="X133" i="2"/>
  <c r="R68" i="2"/>
  <c r="AB68" i="2" s="1"/>
  <c r="AE68" i="2" s="1"/>
  <c r="X68" i="2"/>
  <c r="R123" i="2"/>
  <c r="AB123" i="2" s="1"/>
  <c r="AE123" i="2" s="1"/>
  <c r="X123" i="2"/>
  <c r="R143" i="2"/>
  <c r="AB143" i="2" s="1"/>
  <c r="AE143" i="2" s="1"/>
  <c r="X143" i="2"/>
  <c r="R39" i="2"/>
  <c r="AB39" i="2" s="1"/>
  <c r="AE39" i="2" s="1"/>
  <c r="X39" i="2"/>
  <c r="R59" i="2"/>
  <c r="AB59" i="2" s="1"/>
  <c r="AE59" i="2" s="1"/>
  <c r="X59" i="2"/>
  <c r="R77" i="2"/>
  <c r="AB77" i="2" s="1"/>
  <c r="AE77" i="2" s="1"/>
  <c r="X77" i="2"/>
  <c r="R148" i="2"/>
  <c r="AB148" i="2" s="1"/>
  <c r="AE148" i="2" s="1"/>
  <c r="X148" i="2"/>
  <c r="R47" i="2"/>
  <c r="AB47" i="2" s="1"/>
  <c r="AE47" i="2" s="1"/>
  <c r="X47" i="2"/>
  <c r="R75" i="2"/>
  <c r="AB75" i="2" s="1"/>
  <c r="AE75" i="2" s="1"/>
  <c r="X75" i="2"/>
  <c r="R100" i="2"/>
  <c r="AB100" i="2" s="1"/>
  <c r="AE100" i="2" s="1"/>
  <c r="X100" i="2"/>
  <c r="R58" i="2"/>
  <c r="AB58" i="2" s="1"/>
  <c r="AE58" i="2" s="1"/>
  <c r="X58" i="2"/>
  <c r="R92" i="2"/>
  <c r="AB92" i="2" s="1"/>
  <c r="AE92" i="2" s="1"/>
  <c r="X92" i="2"/>
  <c r="R105" i="2"/>
  <c r="AB105" i="2" s="1"/>
  <c r="AE105" i="2" s="1"/>
  <c r="X105" i="2"/>
  <c r="R134" i="2"/>
  <c r="AB134" i="2" s="1"/>
  <c r="AE134" i="2" s="1"/>
  <c r="X134" i="2"/>
  <c r="R45" i="2"/>
  <c r="AB45" i="2" s="1"/>
  <c r="AE45" i="2" s="1"/>
  <c r="X45" i="2"/>
  <c r="R135" i="2"/>
  <c r="AB135" i="2" s="1"/>
  <c r="AE135" i="2" s="1"/>
  <c r="X135" i="2"/>
  <c r="R137" i="2"/>
  <c r="AB137" i="2" s="1"/>
  <c r="AE137" i="2" s="1"/>
  <c r="X137" i="2"/>
  <c r="R89" i="2"/>
  <c r="AB89" i="2" s="1"/>
  <c r="AE89" i="2" s="1"/>
  <c r="X89" i="2"/>
  <c r="R107" i="2"/>
  <c r="AB107" i="2" s="1"/>
  <c r="AE107" i="2" s="1"/>
  <c r="X107" i="2"/>
  <c r="R64" i="2"/>
  <c r="AB64" i="2" s="1"/>
  <c r="AE64" i="2" s="1"/>
  <c r="X64" i="2"/>
  <c r="R72" i="2"/>
  <c r="AB72" i="2" s="1"/>
  <c r="AE72" i="2" s="1"/>
  <c r="X72" i="2"/>
  <c r="R142" i="2"/>
  <c r="AB142" i="2" s="1"/>
  <c r="AE142" i="2" s="1"/>
  <c r="X142" i="2"/>
  <c r="R35" i="2"/>
  <c r="AB35" i="2" s="1"/>
  <c r="AE35" i="2" s="1"/>
  <c r="X35" i="2"/>
  <c r="R74" i="2"/>
  <c r="AB74" i="2" s="1"/>
  <c r="AE74" i="2" s="1"/>
  <c r="X74" i="2"/>
  <c r="R88" i="2"/>
  <c r="AB88" i="2" s="1"/>
  <c r="AE88" i="2" s="1"/>
  <c r="X88" i="2"/>
  <c r="R57" i="2"/>
  <c r="AB57" i="2" s="1"/>
  <c r="AE57" i="2" s="1"/>
  <c r="X57" i="2"/>
  <c r="R67" i="2"/>
  <c r="AB67" i="2" s="1"/>
  <c r="AE67" i="2" s="1"/>
  <c r="X67" i="2"/>
  <c r="R76" i="2"/>
  <c r="AB76" i="2" s="1"/>
  <c r="AE76" i="2" s="1"/>
  <c r="X76" i="2"/>
  <c r="R139" i="2"/>
  <c r="AB139" i="2" s="1"/>
  <c r="AE139" i="2" s="1"/>
  <c r="X139" i="2"/>
  <c r="R147" i="2"/>
  <c r="AB147" i="2" s="1"/>
  <c r="AE147" i="2" s="1"/>
  <c r="X147" i="2"/>
  <c r="R124" i="2"/>
  <c r="AB124" i="2" s="1"/>
  <c r="AE124" i="2" s="1"/>
  <c r="X124" i="2"/>
  <c r="Q95" i="2"/>
  <c r="R40" i="2"/>
  <c r="AB40" i="2" s="1"/>
  <c r="AE40" i="2" s="1"/>
  <c r="X40" i="2"/>
  <c r="R80" i="2"/>
  <c r="AB80" i="2" s="1"/>
  <c r="AE80" i="2" s="1"/>
  <c r="X80" i="2"/>
  <c r="R128" i="2"/>
  <c r="AB128" i="2" s="1"/>
  <c r="AE128" i="2" s="1"/>
  <c r="X128" i="2"/>
  <c r="R103" i="2"/>
  <c r="AB103" i="2" s="1"/>
  <c r="AE103" i="2" s="1"/>
  <c r="X103" i="2"/>
  <c r="R56" i="2"/>
  <c r="AB56" i="2" s="1"/>
  <c r="AE56" i="2" s="1"/>
  <c r="X56" i="2"/>
  <c r="R131" i="2"/>
  <c r="AB131" i="2" s="1"/>
  <c r="AE131" i="2" s="1"/>
  <c r="X131" i="2"/>
  <c r="R149" i="2"/>
  <c r="AB149" i="2" s="1"/>
  <c r="AE149" i="2" s="1"/>
  <c r="X149" i="2"/>
  <c r="R73" i="2"/>
  <c r="AB73" i="2" s="1"/>
  <c r="AE73" i="2" s="1"/>
  <c r="X73" i="2"/>
  <c r="R84" i="2"/>
  <c r="AB84" i="2" s="1"/>
  <c r="AE84" i="2" s="1"/>
  <c r="X84" i="2"/>
  <c r="R52" i="2"/>
  <c r="AB52" i="2" s="1"/>
  <c r="AE52" i="2" s="1"/>
  <c r="X52" i="2"/>
  <c r="R63" i="2"/>
  <c r="AB63" i="2" s="1"/>
  <c r="AE63" i="2" s="1"/>
  <c r="X63" i="2"/>
  <c r="R55" i="2"/>
  <c r="AB55" i="2" s="1"/>
  <c r="AE55" i="2" s="1"/>
  <c r="X55" i="2"/>
  <c r="R141" i="2"/>
  <c r="AB141" i="2" s="1"/>
  <c r="AE141" i="2" s="1"/>
  <c r="X141" i="2"/>
  <c r="R71" i="2"/>
  <c r="AB71" i="2" s="1"/>
  <c r="AE71" i="2" s="1"/>
  <c r="X71" i="2"/>
  <c r="R93" i="2"/>
  <c r="AB93" i="2" s="1"/>
  <c r="AE93" i="2" s="1"/>
  <c r="X93" i="2"/>
  <c r="R99" i="2"/>
  <c r="AB99" i="2" s="1"/>
  <c r="AE99" i="2" s="1"/>
  <c r="X99" i="2"/>
  <c r="R34" i="2"/>
  <c r="AB34" i="2" s="1"/>
  <c r="AE34" i="2" s="1"/>
  <c r="X34" i="2"/>
  <c r="Q52" i="2"/>
  <c r="P104" i="2"/>
  <c r="P150" i="2"/>
  <c r="R85" i="2"/>
  <c r="AB85" i="2" s="1"/>
  <c r="AE85" i="2" s="1"/>
  <c r="X85" i="2"/>
  <c r="R96" i="2"/>
  <c r="AB96" i="2" s="1"/>
  <c r="AE96" i="2" s="1"/>
  <c r="X96" i="2"/>
  <c r="R50" i="2"/>
  <c r="AB50" i="2" s="1"/>
  <c r="AE50" i="2" s="1"/>
  <c r="X50" i="2"/>
  <c r="R129" i="2"/>
  <c r="AB129" i="2" s="1"/>
  <c r="AE129" i="2" s="1"/>
  <c r="X129" i="2"/>
  <c r="R132" i="2"/>
  <c r="AB132" i="2" s="1"/>
  <c r="AE132" i="2" s="1"/>
  <c r="X132" i="2"/>
  <c r="R66" i="2"/>
  <c r="AB66" i="2" s="1"/>
  <c r="AE66" i="2" s="1"/>
  <c r="X66" i="2"/>
  <c r="R79" i="2"/>
  <c r="AB79" i="2" s="1"/>
  <c r="AE79" i="2" s="1"/>
  <c r="X79" i="2"/>
  <c r="R136" i="2"/>
  <c r="AB136" i="2" s="1"/>
  <c r="AE136" i="2" s="1"/>
  <c r="X136" i="2"/>
  <c r="R126" i="2"/>
  <c r="AB126" i="2" s="1"/>
  <c r="AE126" i="2" s="1"/>
  <c r="X126" i="2"/>
  <c r="R54" i="2"/>
  <c r="AB54" i="2" s="1"/>
  <c r="AE54" i="2" s="1"/>
  <c r="X54" i="2"/>
  <c r="R138" i="2"/>
  <c r="AB138" i="2" s="1"/>
  <c r="AE138" i="2" s="1"/>
  <c r="X138" i="2"/>
  <c r="R144" i="2"/>
  <c r="AB144" i="2" s="1"/>
  <c r="AE144" i="2" s="1"/>
  <c r="X144" i="2"/>
  <c r="R46" i="2"/>
  <c r="AB46" i="2" s="1"/>
  <c r="AE46" i="2" s="1"/>
  <c r="X46" i="2"/>
  <c r="R140" i="2"/>
  <c r="AB140" i="2" s="1"/>
  <c r="AE140" i="2" s="1"/>
  <c r="X140" i="2"/>
  <c r="R38" i="2"/>
  <c r="AB38" i="2" s="1"/>
  <c r="AE38" i="2" s="1"/>
  <c r="X38" i="2"/>
  <c r="M66" i="2"/>
  <c r="W66" i="2" s="1"/>
  <c r="P116" i="2"/>
  <c r="R95" i="2"/>
  <c r="AB95" i="2" s="1"/>
  <c r="AE95" i="2" s="1"/>
  <c r="X95" i="2"/>
  <c r="R87" i="2"/>
  <c r="AB87" i="2" s="1"/>
  <c r="AE87" i="2" s="1"/>
  <c r="X87" i="2"/>
  <c r="R49" i="2"/>
  <c r="AB49" i="2" s="1"/>
  <c r="AE49" i="2" s="1"/>
  <c r="X49" i="2"/>
  <c r="R91" i="2"/>
  <c r="AB91" i="2" s="1"/>
  <c r="AE91" i="2" s="1"/>
  <c r="X91" i="2"/>
  <c r="R120" i="2"/>
  <c r="AB120" i="2" s="1"/>
  <c r="AE120" i="2" s="1"/>
  <c r="X120" i="2"/>
  <c r="R65" i="2"/>
  <c r="AB65" i="2" s="1"/>
  <c r="AE65" i="2" s="1"/>
  <c r="X65" i="2"/>
  <c r="R70" i="2"/>
  <c r="AB70" i="2" s="1"/>
  <c r="AE70" i="2" s="1"/>
  <c r="X70" i="2"/>
  <c r="R130" i="2"/>
  <c r="AB130" i="2" s="1"/>
  <c r="AE130" i="2" s="1"/>
  <c r="X130" i="2"/>
  <c r="R121" i="2"/>
  <c r="AB121" i="2" s="1"/>
  <c r="AE121" i="2" s="1"/>
  <c r="X121" i="2"/>
  <c r="R53" i="2"/>
  <c r="AB53" i="2" s="1"/>
  <c r="AE53" i="2" s="1"/>
  <c r="X53" i="2"/>
  <c r="R111" i="2"/>
  <c r="AB111" i="2" s="1"/>
  <c r="AE111" i="2" s="1"/>
  <c r="X111" i="2"/>
  <c r="R86" i="2"/>
  <c r="AB86" i="2" s="1"/>
  <c r="AE86" i="2" s="1"/>
  <c r="X86" i="2"/>
  <c r="R115" i="2"/>
  <c r="AB115" i="2" s="1"/>
  <c r="AE115" i="2" s="1"/>
  <c r="X115" i="2"/>
  <c r="R146" i="2"/>
  <c r="AB146" i="2" s="1"/>
  <c r="AE146" i="2" s="1"/>
  <c r="X146" i="2"/>
  <c r="R145" i="2"/>
  <c r="AB145" i="2" s="1"/>
  <c r="AE145" i="2" s="1"/>
  <c r="X145" i="2"/>
  <c r="R109" i="2"/>
  <c r="AB109" i="2" s="1"/>
  <c r="AE109" i="2" s="1"/>
  <c r="X109" i="2"/>
  <c r="R94" i="2"/>
  <c r="AB94" i="2" s="1"/>
  <c r="AE94" i="2" s="1"/>
  <c r="X94" i="2"/>
  <c r="T106" i="2"/>
  <c r="T146" i="2"/>
  <c r="Z108" i="2"/>
  <c r="AC108" i="2" s="1"/>
  <c r="M55" i="2"/>
  <c r="W55" i="2" s="1"/>
  <c r="Q55" i="2"/>
  <c r="L45" i="2"/>
  <c r="V45" i="2" s="1"/>
  <c r="P45" i="2"/>
  <c r="W48" i="4" s="1"/>
  <c r="M113" i="2"/>
  <c r="W113" i="2" s="1"/>
  <c r="Q113" i="2"/>
  <c r="L85" i="2"/>
  <c r="V85" i="2" s="1"/>
  <c r="P85" i="2"/>
  <c r="W88" i="4" s="1"/>
  <c r="M61" i="2"/>
  <c r="W61" i="2" s="1"/>
  <c r="Q61" i="2"/>
  <c r="L117" i="2"/>
  <c r="V117" i="2" s="1"/>
  <c r="P117" i="2"/>
  <c r="W120" i="4" s="1"/>
  <c r="P70" i="2"/>
  <c r="L70" i="2"/>
  <c r="V70" i="2" s="1"/>
  <c r="L52" i="2"/>
  <c r="V52" i="2" s="1"/>
  <c r="P52" i="2"/>
  <c r="W55" i="4" s="1"/>
  <c r="M93" i="2"/>
  <c r="W93" i="2" s="1"/>
  <c r="Q93" i="2"/>
  <c r="P140" i="2"/>
  <c r="L140" i="2"/>
  <c r="V140" i="2" s="1"/>
  <c r="T88" i="2"/>
  <c r="L75" i="2"/>
  <c r="V75" i="2" s="1"/>
  <c r="Q44" i="2"/>
  <c r="Q96" i="2"/>
  <c r="M139" i="2"/>
  <c r="W139" i="2" s="1"/>
  <c r="Q139" i="2"/>
  <c r="X142" i="4" s="1"/>
  <c r="Q102" i="2"/>
  <c r="M102" i="2"/>
  <c r="W102" i="2" s="1"/>
  <c r="M99" i="2"/>
  <c r="W99" i="2" s="1"/>
  <c r="Q99" i="2"/>
  <c r="L80" i="2"/>
  <c r="V80" i="2" s="1"/>
  <c r="P80" i="2"/>
  <c r="W83" i="4" s="1"/>
  <c r="Q145" i="2"/>
  <c r="M145" i="2"/>
  <c r="W145" i="2" s="1"/>
  <c r="Q119" i="2"/>
  <c r="M119" i="2"/>
  <c r="W119" i="2" s="1"/>
  <c r="P90" i="2"/>
  <c r="L90" i="2"/>
  <c r="V90" i="2" s="1"/>
  <c r="Q148" i="2"/>
  <c r="M148" i="2"/>
  <c r="W148" i="2" s="1"/>
  <c r="M83" i="2"/>
  <c r="W83" i="2" s="1"/>
  <c r="Q83" i="2"/>
  <c r="M51" i="2"/>
  <c r="W51" i="2" s="1"/>
  <c r="Q51" i="2"/>
  <c r="P129" i="2"/>
  <c r="L129" i="2"/>
  <c r="V129" i="2" s="1"/>
  <c r="Q74" i="2"/>
  <c r="M74" i="2"/>
  <c r="W74" i="2" s="1"/>
  <c r="P149" i="2"/>
  <c r="L149" i="2"/>
  <c r="V149" i="2" s="1"/>
  <c r="L112" i="2"/>
  <c r="V112" i="2" s="1"/>
  <c r="P112" i="2"/>
  <c r="L74" i="2"/>
  <c r="V74" i="2" s="1"/>
  <c r="P74" i="2"/>
  <c r="L100" i="2"/>
  <c r="V100" i="2" s="1"/>
  <c r="P100" i="2"/>
  <c r="W103" i="4" s="1"/>
  <c r="L69" i="2"/>
  <c r="V69" i="2" s="1"/>
  <c r="P69" i="2"/>
  <c r="L109" i="2"/>
  <c r="V109" i="2" s="1"/>
  <c r="P109" i="2"/>
  <c r="L105" i="2"/>
  <c r="V105" i="2" s="1"/>
  <c r="P105" i="2"/>
  <c r="P63" i="2"/>
  <c r="L63" i="2"/>
  <c r="V63" i="2" s="1"/>
  <c r="L86" i="2"/>
  <c r="V86" i="2" s="1"/>
  <c r="P86" i="2"/>
  <c r="Q41" i="2"/>
  <c r="M41" i="2"/>
  <c r="W41" i="2" s="1"/>
  <c r="P83" i="2"/>
  <c r="L83" i="2"/>
  <c r="V83" i="2" s="1"/>
  <c r="L120" i="2"/>
  <c r="V120" i="2" s="1"/>
  <c r="P120" i="2"/>
  <c r="W123" i="4" s="1"/>
  <c r="Q62" i="2"/>
  <c r="M62" i="2"/>
  <c r="W62" i="2" s="1"/>
  <c r="P128" i="2"/>
  <c r="L128" i="2"/>
  <c r="V128" i="2" s="1"/>
  <c r="M75" i="2"/>
  <c r="W75" i="2" s="1"/>
  <c r="Q75" i="2"/>
  <c r="P133" i="2"/>
  <c r="W136" i="4" s="1"/>
  <c r="L133" i="2"/>
  <c r="V133" i="2" s="1"/>
  <c r="P76" i="2"/>
  <c r="W79" i="4" s="1"/>
  <c r="Q141" i="2"/>
  <c r="M141" i="2"/>
  <c r="W141" i="2" s="1"/>
  <c r="P137" i="2"/>
  <c r="L137" i="2"/>
  <c r="V137" i="2" s="1"/>
  <c r="P95" i="2"/>
  <c r="L95" i="2"/>
  <c r="V95" i="2" s="1"/>
  <c r="P71" i="2"/>
  <c r="L71" i="2"/>
  <c r="V71" i="2" s="1"/>
  <c r="L144" i="2"/>
  <c r="V144" i="2" s="1"/>
  <c r="P144" i="2"/>
  <c r="W147" i="4" s="1"/>
  <c r="P89" i="2"/>
  <c r="L89" i="2"/>
  <c r="V89" i="2" s="1"/>
  <c r="P119" i="2"/>
  <c r="L119" i="2"/>
  <c r="V119" i="2" s="1"/>
  <c r="P82" i="2"/>
  <c r="L82" i="2"/>
  <c r="V82" i="2" s="1"/>
  <c r="P50" i="2"/>
  <c r="L50" i="2"/>
  <c r="V50" i="2" s="1"/>
  <c r="Q73" i="2"/>
  <c r="M73" i="2"/>
  <c r="W73" i="2" s="1"/>
  <c r="L73" i="2"/>
  <c r="V73" i="2" s="1"/>
  <c r="P73" i="2"/>
  <c r="W76" i="4" s="1"/>
  <c r="M57" i="2"/>
  <c r="W57" i="2" s="1"/>
  <c r="Q57" i="2"/>
  <c r="M67" i="2"/>
  <c r="W67" i="2" s="1"/>
  <c r="Q67" i="2"/>
  <c r="X70" i="4" s="1"/>
  <c r="Q129" i="2"/>
  <c r="M129" i="2"/>
  <c r="W129" i="2" s="1"/>
  <c r="L99" i="2"/>
  <c r="M86" i="2"/>
  <c r="W86" i="2" s="1"/>
  <c r="P130" i="2"/>
  <c r="W133" i="4" s="1"/>
  <c r="Q48" i="2"/>
  <c r="L148" i="2"/>
  <c r="V148" i="2" s="1"/>
  <c r="P148" i="2"/>
  <c r="L92" i="2"/>
  <c r="V92" i="2" s="1"/>
  <c r="P92" i="2"/>
  <c r="Q144" i="2"/>
  <c r="M144" i="2"/>
  <c r="W144" i="2" s="1"/>
  <c r="M105" i="2"/>
  <c r="W105" i="2" s="1"/>
  <c r="Q105" i="2"/>
  <c r="L94" i="2"/>
  <c r="V94" i="2" s="1"/>
  <c r="P94" i="2"/>
  <c r="P141" i="2"/>
  <c r="L141" i="2"/>
  <c r="V141" i="2" s="1"/>
  <c r="P115" i="2"/>
  <c r="L115" i="2"/>
  <c r="V115" i="2" s="1"/>
  <c r="M87" i="2"/>
  <c r="W87" i="2" s="1"/>
  <c r="Q87" i="2"/>
  <c r="Q50" i="2"/>
  <c r="M50" i="2"/>
  <c r="W50" i="2" s="1"/>
  <c r="P145" i="2"/>
  <c r="L145" i="2"/>
  <c r="V145" i="2" s="1"/>
  <c r="P81" i="2"/>
  <c r="L81" i="2"/>
  <c r="V81" i="2" s="1"/>
  <c r="P49" i="2"/>
  <c r="L49" i="2"/>
  <c r="V49" i="2" s="1"/>
  <c r="M135" i="2"/>
  <c r="W135" i="2" s="1"/>
  <c r="Q135" i="2"/>
  <c r="X138" i="4" s="1"/>
  <c r="Q70" i="2"/>
  <c r="M70" i="2"/>
  <c r="W70" i="2" s="1"/>
  <c r="M97" i="2"/>
  <c r="W97" i="2" s="1"/>
  <c r="Q97" i="2"/>
  <c r="M63" i="2"/>
  <c r="W63" i="2" s="1"/>
  <c r="Q63" i="2"/>
  <c r="L98" i="2"/>
  <c r="P98" i="2"/>
  <c r="L48" i="2"/>
  <c r="V48" i="2" s="1"/>
  <c r="P48" i="2"/>
  <c r="L113" i="2"/>
  <c r="V113" i="2" s="1"/>
  <c r="P113" i="2"/>
  <c r="Q149" i="2"/>
  <c r="M149" i="2"/>
  <c r="W149" i="2" s="1"/>
  <c r="L136" i="2"/>
  <c r="V136" i="2" s="1"/>
  <c r="P136" i="2"/>
  <c r="L118" i="2"/>
  <c r="V118" i="2" s="1"/>
  <c r="P118" i="2"/>
  <c r="P41" i="2"/>
  <c r="W44" i="4" s="1"/>
  <c r="L41" i="2"/>
  <c r="V41" i="2" s="1"/>
  <c r="M79" i="2"/>
  <c r="W79" i="2" s="1"/>
  <c r="Q79" i="2"/>
  <c r="Q147" i="2"/>
  <c r="X150" i="4" s="1"/>
  <c r="M147" i="2"/>
  <c r="W147" i="2" s="1"/>
  <c r="M118" i="2"/>
  <c r="W118" i="2" s="1"/>
  <c r="P56" i="2"/>
  <c r="L87" i="2"/>
  <c r="V87" i="2" s="1"/>
  <c r="Q134" i="2"/>
  <c r="X137" i="4" s="1"/>
  <c r="Q56" i="2"/>
  <c r="Q54" i="2"/>
  <c r="M54" i="2"/>
  <c r="W54" i="2" s="1"/>
  <c r="M45" i="2"/>
  <c r="W45" i="2" s="1"/>
  <c r="Q45" i="2"/>
  <c r="L122" i="2"/>
  <c r="V122" i="2" s="1"/>
  <c r="P122" i="2"/>
  <c r="W125" i="4" s="1"/>
  <c r="M109" i="2"/>
  <c r="W109" i="2" s="1"/>
  <c r="Q109" i="2"/>
  <c r="L97" i="2"/>
  <c r="V97" i="2" s="1"/>
  <c r="P97" i="2"/>
  <c r="W100" i="4" s="1"/>
  <c r="L93" i="2"/>
  <c r="V93" i="2" s="1"/>
  <c r="P93" i="2"/>
  <c r="W96" i="4" s="1"/>
  <c r="Q111" i="2"/>
  <c r="M111" i="2"/>
  <c r="W111" i="2" s="1"/>
  <c r="Q82" i="2"/>
  <c r="M82" i="2"/>
  <c r="W82" i="2" s="1"/>
  <c r="Q49" i="2"/>
  <c r="M49" i="2"/>
  <c r="W49" i="2" s="1"/>
  <c r="P111" i="2"/>
  <c r="L111" i="2"/>
  <c r="V111" i="2" s="1"/>
  <c r="L78" i="2"/>
  <c r="V78" i="2" s="1"/>
  <c r="P78" i="2"/>
  <c r="W81" i="4" s="1"/>
  <c r="M47" i="2"/>
  <c r="W47" i="2" s="1"/>
  <c r="Q47" i="2"/>
  <c r="Q65" i="2"/>
  <c r="M65" i="2"/>
  <c r="W65" i="2" s="1"/>
  <c r="Q133" i="2"/>
  <c r="M133" i="2"/>
  <c r="W133" i="2" s="1"/>
  <c r="M69" i="2"/>
  <c r="W69" i="2" s="1"/>
  <c r="Q69" i="2"/>
  <c r="L62" i="2"/>
  <c r="V62" i="2" s="1"/>
  <c r="P62" i="2"/>
  <c r="L53" i="2"/>
  <c r="V53" i="2" s="1"/>
  <c r="P53" i="2"/>
  <c r="Q77" i="2"/>
  <c r="M77" i="2"/>
  <c r="W77" i="2" s="1"/>
  <c r="Q94" i="2"/>
  <c r="M94" i="2"/>
  <c r="W94" i="2" s="1"/>
  <c r="L47" i="2"/>
  <c r="M143" i="2"/>
  <c r="W143" i="2" s="1"/>
  <c r="Q143" i="2"/>
  <c r="X146" i="4" s="1"/>
  <c r="Q114" i="2"/>
  <c r="X117" i="4" s="1"/>
  <c r="M114" i="2"/>
  <c r="W114" i="2" s="1"/>
  <c r="Q132" i="2"/>
  <c r="M132" i="2"/>
  <c r="W132" i="2" s="1"/>
  <c r="M123" i="2"/>
  <c r="W123" i="2" s="1"/>
  <c r="Q123" i="2"/>
  <c r="Q90" i="2"/>
  <c r="M90" i="2"/>
  <c r="W90" i="2" s="1"/>
  <c r="P59" i="2"/>
  <c r="L59" i="2"/>
  <c r="V59" i="2" s="1"/>
  <c r="Q128" i="2"/>
  <c r="M128" i="2"/>
  <c r="W128" i="2" s="1"/>
  <c r="Q81" i="2"/>
  <c r="M81" i="2"/>
  <c r="W81" i="2" s="1"/>
  <c r="M43" i="2"/>
  <c r="W43" i="2" s="1"/>
  <c r="Q43" i="2"/>
  <c r="P103" i="2"/>
  <c r="L103" i="2"/>
  <c r="V103" i="2" s="1"/>
  <c r="P77" i="2"/>
  <c r="L77" i="2"/>
  <c r="V77" i="2" s="1"/>
  <c r="P43" i="2"/>
  <c r="L43" i="2"/>
  <c r="V43" i="2" s="1"/>
  <c r="L60" i="2"/>
  <c r="V60" i="2" s="1"/>
  <c r="P60" i="2"/>
  <c r="W63" i="4" s="1"/>
  <c r="L132" i="2"/>
  <c r="V132" i="2" s="1"/>
  <c r="P132" i="2"/>
  <c r="W135" i="4" s="1"/>
  <c r="L66" i="2"/>
  <c r="V66" i="2" s="1"/>
  <c r="P66" i="2"/>
  <c r="L61" i="2"/>
  <c r="V61" i="2" s="1"/>
  <c r="P61" i="2"/>
  <c r="W64" i="4" s="1"/>
  <c r="L126" i="2"/>
  <c r="V126" i="2" s="1"/>
  <c r="P126" i="2"/>
  <c r="W129" i="4" s="1"/>
  <c r="P102" i="2"/>
  <c r="W105" i="4" s="1"/>
  <c r="L102" i="2"/>
  <c r="V102" i="2" s="1"/>
  <c r="M91" i="2"/>
  <c r="W91" i="2" s="1"/>
  <c r="Q91" i="2"/>
  <c r="P79" i="2"/>
  <c r="L79" i="2"/>
  <c r="V79" i="2" s="1"/>
  <c r="L57" i="2"/>
  <c r="V57" i="2" s="1"/>
  <c r="P57" i="2"/>
  <c r="W60" i="4" s="1"/>
  <c r="Q137" i="2"/>
  <c r="M137" i="2"/>
  <c r="W137" i="2" s="1"/>
  <c r="Q122" i="2"/>
  <c r="M122" i="2"/>
  <c r="W122" i="2" s="1"/>
  <c r="L101" i="2"/>
  <c r="V101" i="2" s="1"/>
  <c r="P101" i="2"/>
  <c r="W104" i="4" s="1"/>
  <c r="P123" i="2"/>
  <c r="W126" i="4" s="1"/>
  <c r="L123" i="2"/>
  <c r="V123" i="2" s="1"/>
  <c r="M117" i="2"/>
  <c r="W117" i="2" s="1"/>
  <c r="Q117" i="2"/>
  <c r="M53" i="2"/>
  <c r="W53" i="2" s="1"/>
  <c r="Q53" i="2"/>
  <c r="M121" i="2"/>
  <c r="W121" i="2" s="1"/>
  <c r="Q121" i="2"/>
  <c r="X124" i="4" s="1"/>
  <c r="M71" i="2"/>
  <c r="W71" i="2" s="1"/>
  <c r="Q71" i="2"/>
  <c r="Q140" i="2"/>
  <c r="M140" i="2"/>
  <c r="W140" i="2" s="1"/>
  <c r="M115" i="2"/>
  <c r="W115" i="2" s="1"/>
  <c r="Q115" i="2"/>
  <c r="M107" i="2"/>
  <c r="W107" i="2" s="1"/>
  <c r="Q107" i="2"/>
  <c r="X110" i="4" s="1"/>
  <c r="M89" i="2"/>
  <c r="W89" i="2" s="1"/>
  <c r="Q89" i="2"/>
  <c r="L46" i="2"/>
  <c r="V46" i="2" s="1"/>
  <c r="P46" i="2"/>
  <c r="W49" i="4" s="1"/>
  <c r="M103" i="2"/>
  <c r="W103" i="2" s="1"/>
  <c r="Q103" i="2"/>
  <c r="Q42" i="2"/>
  <c r="M42" i="2"/>
  <c r="W42" i="2" s="1"/>
  <c r="Q131" i="2"/>
  <c r="M131" i="2"/>
  <c r="W131" i="2" s="1"/>
  <c r="L72" i="2"/>
  <c r="V72" i="2" s="1"/>
  <c r="P72" i="2"/>
  <c r="W75" i="4" s="1"/>
  <c r="P42" i="2"/>
  <c r="L42" i="2"/>
  <c r="V42" i="2" s="1"/>
  <c r="P91" i="2"/>
  <c r="L91" i="2"/>
  <c r="V91" i="2" s="1"/>
  <c r="P51" i="2"/>
  <c r="L51" i="2"/>
  <c r="V51" i="2" s="1"/>
  <c r="M125" i="2"/>
  <c r="W125" i="2" s="1"/>
  <c r="Q125" i="2"/>
  <c r="X128" i="4" s="1"/>
  <c r="L65" i="2"/>
  <c r="V65" i="2" s="1"/>
  <c r="P65" i="2"/>
  <c r="W68" i="4" s="1"/>
  <c r="L58" i="2"/>
  <c r="V58" i="2" s="1"/>
  <c r="P58" i="2"/>
  <c r="Q127" i="2"/>
  <c r="M127" i="2"/>
  <c r="W127" i="2" s="1"/>
  <c r="T124" i="2"/>
  <c r="T84" i="2"/>
  <c r="T68" i="2"/>
  <c r="M40" i="2"/>
  <c r="W40" i="2" s="1"/>
  <c r="Q40" i="2"/>
  <c r="L39" i="2"/>
  <c r="V39" i="2" s="1"/>
  <c r="P39" i="2"/>
  <c r="M39" i="2"/>
  <c r="W39" i="2" s="1"/>
  <c r="Q39" i="2"/>
  <c r="Q35" i="2"/>
  <c r="M35" i="2"/>
  <c r="W35" i="2" s="1"/>
  <c r="Q37" i="2"/>
  <c r="M37" i="2"/>
  <c r="W37" i="2" s="1"/>
  <c r="L40" i="2"/>
  <c r="V40" i="2" s="1"/>
  <c r="P40" i="2"/>
  <c r="Q36" i="2"/>
  <c r="M36" i="2"/>
  <c r="W36" i="2" s="1"/>
  <c r="P34" i="2"/>
  <c r="L34" i="2"/>
  <c r="V34" i="2" s="1"/>
  <c r="L36" i="2"/>
  <c r="V36" i="2" s="1"/>
  <c r="P36" i="2"/>
  <c r="P38" i="2"/>
  <c r="L38" i="2"/>
  <c r="V38" i="2" s="1"/>
  <c r="M38" i="2"/>
  <c r="W38" i="2" s="1"/>
  <c r="Q38" i="2"/>
  <c r="L35" i="2"/>
  <c r="V35" i="2" s="1"/>
  <c r="P35" i="2"/>
  <c r="W38" i="4" s="1"/>
  <c r="M34" i="2"/>
  <c r="W34" i="2" s="1"/>
  <c r="Q34" i="2"/>
  <c r="K131" i="1"/>
  <c r="K122" i="1"/>
  <c r="K135" i="1"/>
  <c r="K129" i="1"/>
  <c r="K123" i="1"/>
  <c r="K136" i="1"/>
  <c r="K132" i="1"/>
  <c r="K84" i="1"/>
  <c r="K76" i="1"/>
  <c r="K88" i="1"/>
  <c r="K77" i="1"/>
  <c r="K65" i="1"/>
  <c r="K27" i="1" l="1"/>
  <c r="K117" i="1"/>
  <c r="K70" i="1"/>
  <c r="K118" i="1"/>
  <c r="K120" i="1"/>
  <c r="T104" i="2"/>
  <c r="W128" i="4"/>
  <c r="K26" i="1"/>
  <c r="N26" i="1" s="1"/>
  <c r="K66" i="1"/>
  <c r="K43" i="1"/>
  <c r="J43" i="1"/>
  <c r="K36" i="1"/>
  <c r="J36" i="1"/>
  <c r="K54" i="1"/>
  <c r="N54" i="1" s="1"/>
  <c r="J54" i="1"/>
  <c r="K24" i="1"/>
  <c r="L24" i="1" s="1"/>
  <c r="J24" i="1"/>
  <c r="K52" i="1"/>
  <c r="J52" i="1"/>
  <c r="K35" i="1"/>
  <c r="J35" i="1"/>
  <c r="K46" i="1"/>
  <c r="L46" i="1" s="1"/>
  <c r="J46" i="1"/>
  <c r="K47" i="1"/>
  <c r="L47" i="1" s="1"/>
  <c r="J47" i="1"/>
  <c r="K40" i="1"/>
  <c r="J40" i="1"/>
  <c r="K58" i="1"/>
  <c r="J58" i="1"/>
  <c r="K25" i="1"/>
  <c r="N25" i="1" s="1"/>
  <c r="J25" i="1"/>
  <c r="K56" i="1"/>
  <c r="M56" i="1" s="1"/>
  <c r="J56" i="1"/>
  <c r="K64" i="1"/>
  <c r="J64" i="1"/>
  <c r="K39" i="1"/>
  <c r="J39" i="1"/>
  <c r="K50" i="1"/>
  <c r="N50" i="1" s="1"/>
  <c r="J50" i="1"/>
  <c r="K101" i="1"/>
  <c r="M101" i="1" s="1"/>
  <c r="K51" i="1"/>
  <c r="L51" i="1" s="1"/>
  <c r="J51" i="1"/>
  <c r="K44" i="1"/>
  <c r="J44" i="1"/>
  <c r="K30" i="1"/>
  <c r="L30" i="1" s="1"/>
  <c r="J30" i="1"/>
  <c r="K62" i="1"/>
  <c r="L62" i="1" s="1"/>
  <c r="J62" i="1"/>
  <c r="K45" i="1"/>
  <c r="M45" i="1" s="1"/>
  <c r="J45" i="1"/>
  <c r="K41" i="1"/>
  <c r="J41" i="1"/>
  <c r="K37" i="1"/>
  <c r="M37" i="1" s="1"/>
  <c r="J37" i="1"/>
  <c r="K28" i="1"/>
  <c r="L28" i="1" s="1"/>
  <c r="J28" i="1"/>
  <c r="K32" i="1"/>
  <c r="L32" i="1" s="1"/>
  <c r="J32" i="1"/>
  <c r="K55" i="1"/>
  <c r="J55" i="1"/>
  <c r="K48" i="1"/>
  <c r="L48" i="1" s="1"/>
  <c r="J48" i="1"/>
  <c r="K34" i="1"/>
  <c r="N34" i="1" s="1"/>
  <c r="J34" i="1"/>
  <c r="K57" i="1"/>
  <c r="M57" i="1" s="1"/>
  <c r="J57" i="1"/>
  <c r="K53" i="1"/>
  <c r="J53" i="1"/>
  <c r="K60" i="1"/>
  <c r="L60" i="1" s="1"/>
  <c r="J60" i="1"/>
  <c r="K49" i="1"/>
  <c r="L49" i="1" s="1"/>
  <c r="J49" i="1"/>
  <c r="K59" i="1"/>
  <c r="L59" i="1" s="1"/>
  <c r="J59" i="1"/>
  <c r="K29" i="1"/>
  <c r="J29" i="1"/>
  <c r="K38" i="1"/>
  <c r="N38" i="1" s="1"/>
  <c r="J38" i="1"/>
  <c r="K22" i="1"/>
  <c r="N22" i="1" s="1"/>
  <c r="J22" i="1"/>
  <c r="K61" i="1"/>
  <c r="L61" i="1" s="1"/>
  <c r="J61" i="1"/>
  <c r="K31" i="1"/>
  <c r="J31" i="1"/>
  <c r="K63" i="1"/>
  <c r="M63" i="1" s="1"/>
  <c r="J63" i="1"/>
  <c r="K23" i="1"/>
  <c r="L23" i="1" s="1"/>
  <c r="J23" i="1"/>
  <c r="K33" i="1"/>
  <c r="M33" i="1" s="1"/>
  <c r="J33" i="1"/>
  <c r="K42" i="1"/>
  <c r="J42" i="1"/>
  <c r="K110" i="1"/>
  <c r="M110" i="1" s="1"/>
  <c r="J110" i="1"/>
  <c r="K112" i="1"/>
  <c r="L112" i="1" s="1"/>
  <c r="J112" i="1"/>
  <c r="K71" i="1"/>
  <c r="M71" i="1" s="1"/>
  <c r="J71" i="1"/>
  <c r="K103" i="1"/>
  <c r="J103" i="1"/>
  <c r="K82" i="1"/>
  <c r="L82" i="1" s="1"/>
  <c r="J82" i="1"/>
  <c r="K114" i="1"/>
  <c r="N114" i="1" s="1"/>
  <c r="J114" i="1"/>
  <c r="K105" i="1"/>
  <c r="L105" i="1" s="1"/>
  <c r="J105" i="1"/>
  <c r="K125" i="1"/>
  <c r="J125" i="1"/>
  <c r="K108" i="1"/>
  <c r="M108" i="1" s="1"/>
  <c r="J108" i="1"/>
  <c r="K97" i="1"/>
  <c r="M97" i="1" s="1"/>
  <c r="J97" i="1"/>
  <c r="K104" i="1"/>
  <c r="L104" i="1" s="1"/>
  <c r="J104" i="1"/>
  <c r="K124" i="1"/>
  <c r="J124" i="1"/>
  <c r="K96" i="1"/>
  <c r="L96" i="1" s="1"/>
  <c r="J96" i="1"/>
  <c r="K75" i="1"/>
  <c r="L75" i="1" s="1"/>
  <c r="J75" i="1"/>
  <c r="K107" i="1"/>
  <c r="L107" i="1" s="1"/>
  <c r="J107" i="1"/>
  <c r="K138" i="1"/>
  <c r="J138" i="1"/>
  <c r="K86" i="1"/>
  <c r="L86" i="1" s="1"/>
  <c r="J86" i="1"/>
  <c r="K109" i="1"/>
  <c r="M109" i="1" s="1"/>
  <c r="J109" i="1"/>
  <c r="K99" i="1"/>
  <c r="L99" i="1" s="1"/>
  <c r="J99" i="1"/>
  <c r="K89" i="1"/>
  <c r="J89" i="1"/>
  <c r="K119" i="1"/>
  <c r="M119" i="1" s="1"/>
  <c r="J119" i="1"/>
  <c r="K79" i="1"/>
  <c r="L79" i="1" s="1"/>
  <c r="J79" i="1"/>
  <c r="K111" i="1"/>
  <c r="M111" i="1" s="1"/>
  <c r="J111" i="1"/>
  <c r="K137" i="1"/>
  <c r="J137" i="1"/>
  <c r="K90" i="1"/>
  <c r="N90" i="1" s="1"/>
  <c r="J90" i="1"/>
  <c r="K121" i="1"/>
  <c r="M121" i="1" s="1"/>
  <c r="J121" i="1"/>
  <c r="K92" i="1"/>
  <c r="L92" i="1" s="1"/>
  <c r="J92" i="1"/>
  <c r="K127" i="1"/>
  <c r="J127" i="1"/>
  <c r="K83" i="1"/>
  <c r="L83" i="1" s="1"/>
  <c r="J83" i="1"/>
  <c r="K115" i="1"/>
  <c r="L115" i="1" s="1"/>
  <c r="J115" i="1"/>
  <c r="K94" i="1"/>
  <c r="L94" i="1" s="1"/>
  <c r="J94" i="1"/>
  <c r="K126" i="1"/>
  <c r="J126" i="1"/>
  <c r="K133" i="1"/>
  <c r="L133" i="1" s="1"/>
  <c r="J133" i="1"/>
  <c r="K68" i="1"/>
  <c r="L68" i="1" s="1"/>
  <c r="J68" i="1"/>
  <c r="K78" i="1"/>
  <c r="L78" i="1" s="1"/>
  <c r="J78" i="1"/>
  <c r="K93" i="1"/>
  <c r="J93" i="1"/>
  <c r="K87" i="1"/>
  <c r="N87" i="1" s="1"/>
  <c r="J87" i="1"/>
  <c r="K98" i="1"/>
  <c r="N98" i="1" s="1"/>
  <c r="J98" i="1"/>
  <c r="K134" i="1"/>
  <c r="N134" i="1" s="1"/>
  <c r="J134" i="1"/>
  <c r="K80" i="1"/>
  <c r="J80" i="1"/>
  <c r="K130" i="1"/>
  <c r="N130" i="1" s="1"/>
  <c r="J130" i="1"/>
  <c r="K113" i="1"/>
  <c r="N113" i="1" s="1"/>
  <c r="J113" i="1"/>
  <c r="K91" i="1"/>
  <c r="L91" i="1" s="1"/>
  <c r="J91" i="1"/>
  <c r="K102" i="1"/>
  <c r="J102" i="1"/>
  <c r="K69" i="1"/>
  <c r="M69" i="1" s="1"/>
  <c r="J69" i="1"/>
  <c r="K72" i="1"/>
  <c r="J72" i="1"/>
  <c r="K116" i="1"/>
  <c r="L116" i="1" s="1"/>
  <c r="J116" i="1"/>
  <c r="K67" i="1"/>
  <c r="J67" i="1"/>
  <c r="K85" i="1"/>
  <c r="M85" i="1" s="1"/>
  <c r="J85" i="1"/>
  <c r="K95" i="1"/>
  <c r="N95" i="1" s="1"/>
  <c r="J95" i="1"/>
  <c r="K74" i="1"/>
  <c r="N74" i="1" s="1"/>
  <c r="J74" i="1"/>
  <c r="K106" i="1"/>
  <c r="J106" i="1"/>
  <c r="K81" i="1"/>
  <c r="M81" i="1" s="1"/>
  <c r="J81" i="1"/>
  <c r="K73" i="1"/>
  <c r="M73" i="1" s="1"/>
  <c r="J73" i="1"/>
  <c r="K100" i="1"/>
  <c r="L100" i="1" s="1"/>
  <c r="J100" i="1"/>
  <c r="K128" i="1"/>
  <c r="J128" i="1"/>
  <c r="M143" i="7"/>
  <c r="AD144" i="7" s="1"/>
  <c r="O143" i="7"/>
  <c r="AF144" i="7" s="1"/>
  <c r="N143" i="7"/>
  <c r="AE144" i="7" s="1"/>
  <c r="AA200" i="2"/>
  <c r="AD200" i="2" s="1"/>
  <c r="X203" i="4"/>
  <c r="AA192" i="2"/>
  <c r="AD192" i="2" s="1"/>
  <c r="X195" i="4"/>
  <c r="AA213" i="2"/>
  <c r="AD213" i="2" s="1"/>
  <c r="X216" i="4"/>
  <c r="AA189" i="2"/>
  <c r="AD189" i="2" s="1"/>
  <c r="X192" i="4"/>
  <c r="AA237" i="2"/>
  <c r="AD237" i="2" s="1"/>
  <c r="X240" i="4"/>
  <c r="AA195" i="2"/>
  <c r="AD195" i="2" s="1"/>
  <c r="X198" i="4"/>
  <c r="AA211" i="2"/>
  <c r="AD211" i="2" s="1"/>
  <c r="X214" i="4"/>
  <c r="AA180" i="2"/>
  <c r="AD180" i="2" s="1"/>
  <c r="X183" i="4"/>
  <c r="AA197" i="2"/>
  <c r="AD197" i="2" s="1"/>
  <c r="X200" i="4"/>
  <c r="AA207" i="2"/>
  <c r="AD207" i="2" s="1"/>
  <c r="X210" i="4"/>
  <c r="AA218" i="2"/>
  <c r="AD218" i="2" s="1"/>
  <c r="X221" i="4"/>
  <c r="AA205" i="2"/>
  <c r="AD205" i="2" s="1"/>
  <c r="X208" i="4"/>
  <c r="AA231" i="2"/>
  <c r="AD231" i="2" s="1"/>
  <c r="X234" i="4"/>
  <c r="AA216" i="2"/>
  <c r="AD216" i="2" s="1"/>
  <c r="X219" i="4"/>
  <c r="AA168" i="2"/>
  <c r="AD168" i="2" s="1"/>
  <c r="X171" i="4"/>
  <c r="AA204" i="2"/>
  <c r="AD204" i="2" s="1"/>
  <c r="X207" i="4"/>
  <c r="AA160" i="2"/>
  <c r="AD160" i="2" s="1"/>
  <c r="X163" i="4"/>
  <c r="AA153" i="2"/>
  <c r="AD153" i="2" s="1"/>
  <c r="X156" i="4"/>
  <c r="AA174" i="2"/>
  <c r="AD174" i="2" s="1"/>
  <c r="X177" i="4"/>
  <c r="W87" i="4"/>
  <c r="AA242" i="2"/>
  <c r="AD242" i="2" s="1"/>
  <c r="X245" i="4"/>
  <c r="AA178" i="2"/>
  <c r="AD178" i="2" s="1"/>
  <c r="X181" i="4"/>
  <c r="AA186" i="2"/>
  <c r="AD186" i="2" s="1"/>
  <c r="X189" i="4"/>
  <c r="AA232" i="2"/>
  <c r="AD232" i="2" s="1"/>
  <c r="X235" i="4"/>
  <c r="AA225" i="2"/>
  <c r="AD225" i="2" s="1"/>
  <c r="X228" i="4"/>
  <c r="AA203" i="2"/>
  <c r="AD203" i="2" s="1"/>
  <c r="X206" i="4"/>
  <c r="AA194" i="2"/>
  <c r="AD194" i="2" s="1"/>
  <c r="X197" i="4"/>
  <c r="AA151" i="2"/>
  <c r="AD151" i="2" s="1"/>
  <c r="X154" i="4"/>
  <c r="AA241" i="2"/>
  <c r="AD241" i="2" s="1"/>
  <c r="X244" i="4"/>
  <c r="AA239" i="2"/>
  <c r="AD239" i="2" s="1"/>
  <c r="X242" i="4"/>
  <c r="AA183" i="2"/>
  <c r="AD183" i="2" s="1"/>
  <c r="X186" i="4"/>
  <c r="AA201" i="2"/>
  <c r="AD201" i="2" s="1"/>
  <c r="X204" i="4"/>
  <c r="AA226" i="2"/>
  <c r="AD226" i="2" s="1"/>
  <c r="X229" i="4"/>
  <c r="AA154" i="2"/>
  <c r="AD154" i="2" s="1"/>
  <c r="X157" i="4"/>
  <c r="AA208" i="2"/>
  <c r="AD208" i="2" s="1"/>
  <c r="X211" i="4"/>
  <c r="AA165" i="2"/>
  <c r="AD165" i="2" s="1"/>
  <c r="X168" i="4"/>
  <c r="AA230" i="2"/>
  <c r="AD230" i="2" s="1"/>
  <c r="X233" i="4"/>
  <c r="AA170" i="2"/>
  <c r="AD170" i="2" s="1"/>
  <c r="X173" i="4"/>
  <c r="AA238" i="2"/>
  <c r="AD238" i="2" s="1"/>
  <c r="X241" i="4"/>
  <c r="AA190" i="2"/>
  <c r="AD190" i="2" s="1"/>
  <c r="X193" i="4"/>
  <c r="AA228" i="2"/>
  <c r="AD228" i="2" s="1"/>
  <c r="X231" i="4"/>
  <c r="AA236" i="2"/>
  <c r="AD236" i="2" s="1"/>
  <c r="X239" i="4"/>
  <c r="AA179" i="2"/>
  <c r="AD179" i="2" s="1"/>
  <c r="X182" i="4"/>
  <c r="AA193" i="2"/>
  <c r="AD193" i="2" s="1"/>
  <c r="X196" i="4"/>
  <c r="AA167" i="2"/>
  <c r="AD167" i="2" s="1"/>
  <c r="X170" i="4"/>
  <c r="AA187" i="2"/>
  <c r="AD187" i="2" s="1"/>
  <c r="X190" i="4"/>
  <c r="AA220" i="2"/>
  <c r="AD220" i="2" s="1"/>
  <c r="X223" i="4"/>
  <c r="AA161" i="2"/>
  <c r="AD161" i="2" s="1"/>
  <c r="X164" i="4"/>
  <c r="AA202" i="2"/>
  <c r="AD202" i="2" s="1"/>
  <c r="X205" i="4"/>
  <c r="AA240" i="2"/>
  <c r="AD240" i="2" s="1"/>
  <c r="X243" i="4"/>
  <c r="AA172" i="2"/>
  <c r="AD172" i="2" s="1"/>
  <c r="X175" i="4"/>
  <c r="AA181" i="2"/>
  <c r="AD181" i="2" s="1"/>
  <c r="X184" i="4"/>
  <c r="AA173" i="2"/>
  <c r="AD173" i="2" s="1"/>
  <c r="X176" i="4"/>
  <c r="AA227" i="2"/>
  <c r="AD227" i="2" s="1"/>
  <c r="X230" i="4"/>
  <c r="Z114" i="2"/>
  <c r="AC114" i="2" s="1"/>
  <c r="AA155" i="2"/>
  <c r="AD155" i="2" s="1"/>
  <c r="X158" i="4"/>
  <c r="AA156" i="2"/>
  <c r="AD156" i="2" s="1"/>
  <c r="X159" i="4"/>
  <c r="AA152" i="2"/>
  <c r="AD152" i="2" s="1"/>
  <c r="X155" i="4"/>
  <c r="AA159" i="2"/>
  <c r="AD159" i="2" s="1"/>
  <c r="X162" i="4"/>
  <c r="AA244" i="2"/>
  <c r="AD244" i="2" s="1"/>
  <c r="X247" i="4"/>
  <c r="AA163" i="2"/>
  <c r="AD163" i="2" s="1"/>
  <c r="X166" i="4"/>
  <c r="AA212" i="2"/>
  <c r="AD212" i="2" s="1"/>
  <c r="X215" i="4"/>
  <c r="AA206" i="2"/>
  <c r="AD206" i="2" s="1"/>
  <c r="X209" i="4"/>
  <c r="X79" i="4"/>
  <c r="AA215" i="2"/>
  <c r="AD215" i="2" s="1"/>
  <c r="X218" i="4"/>
  <c r="AA246" i="2"/>
  <c r="AD246" i="2" s="1"/>
  <c r="X249" i="4"/>
  <c r="AA169" i="2"/>
  <c r="AD169" i="2" s="1"/>
  <c r="X172" i="4"/>
  <c r="AA185" i="2"/>
  <c r="AD185" i="2" s="1"/>
  <c r="X188" i="4"/>
  <c r="AA196" i="2"/>
  <c r="AD196" i="2" s="1"/>
  <c r="X199" i="4"/>
  <c r="AA175" i="2"/>
  <c r="AD175" i="2" s="1"/>
  <c r="X178" i="4"/>
  <c r="AA166" i="2"/>
  <c r="AD166" i="2" s="1"/>
  <c r="X169" i="4"/>
  <c r="AA177" i="2"/>
  <c r="AD177" i="2" s="1"/>
  <c r="X180" i="4"/>
  <c r="AA223" i="2"/>
  <c r="AD223" i="2" s="1"/>
  <c r="X226" i="4"/>
  <c r="AA182" i="2"/>
  <c r="AD182" i="2" s="1"/>
  <c r="X185" i="4"/>
  <c r="AA188" i="2"/>
  <c r="AD188" i="2" s="1"/>
  <c r="X191" i="4"/>
  <c r="AA176" i="2"/>
  <c r="AD176" i="2" s="1"/>
  <c r="X179" i="4"/>
  <c r="AA171" i="2"/>
  <c r="AD171" i="2" s="1"/>
  <c r="X174" i="4"/>
  <c r="AA199" i="2"/>
  <c r="AD199" i="2" s="1"/>
  <c r="X202" i="4"/>
  <c r="AA191" i="2"/>
  <c r="AD191" i="2" s="1"/>
  <c r="X194" i="4"/>
  <c r="AA245" i="2"/>
  <c r="AD245" i="2" s="1"/>
  <c r="X248" i="4"/>
  <c r="AA198" i="2"/>
  <c r="AD198" i="2" s="1"/>
  <c r="X201" i="4"/>
  <c r="AA162" i="2"/>
  <c r="AD162" i="2" s="1"/>
  <c r="X165" i="4"/>
  <c r="AA224" i="2"/>
  <c r="AD224" i="2" s="1"/>
  <c r="X227" i="4"/>
  <c r="AA214" i="2"/>
  <c r="AD214" i="2" s="1"/>
  <c r="X217" i="4"/>
  <c r="AA221" i="2"/>
  <c r="AD221" i="2" s="1"/>
  <c r="X224" i="4"/>
  <c r="AA157" i="2"/>
  <c r="AD157" i="2" s="1"/>
  <c r="X160" i="4"/>
  <c r="AA243" i="2"/>
  <c r="AD243" i="2" s="1"/>
  <c r="X246" i="4"/>
  <c r="AA233" i="2"/>
  <c r="AD233" i="2" s="1"/>
  <c r="X236" i="4"/>
  <c r="AA219" i="2"/>
  <c r="AD219" i="2" s="1"/>
  <c r="X222" i="4"/>
  <c r="AA222" i="2"/>
  <c r="AD222" i="2" s="1"/>
  <c r="X225" i="4"/>
  <c r="AA229" i="2"/>
  <c r="AD229" i="2" s="1"/>
  <c r="X232" i="4"/>
  <c r="AA184" i="2"/>
  <c r="AD184" i="2" s="1"/>
  <c r="X187" i="4"/>
  <c r="AA158" i="2"/>
  <c r="AD158" i="2" s="1"/>
  <c r="X161" i="4"/>
  <c r="AA209" i="2"/>
  <c r="AD209" i="2" s="1"/>
  <c r="X212" i="4"/>
  <c r="AA164" i="2"/>
  <c r="AD164" i="2" s="1"/>
  <c r="X167" i="4"/>
  <c r="AA210" i="2"/>
  <c r="AD210" i="2" s="1"/>
  <c r="X213" i="4"/>
  <c r="AA217" i="2"/>
  <c r="AD217" i="2" s="1"/>
  <c r="X220" i="4"/>
  <c r="AA234" i="2"/>
  <c r="AD234" i="2" s="1"/>
  <c r="X237" i="4"/>
  <c r="AA235" i="2"/>
  <c r="AD235" i="2" s="1"/>
  <c r="AG235" i="2" s="1"/>
  <c r="X238" i="4"/>
  <c r="T56" i="2"/>
  <c r="T96" i="2"/>
  <c r="T44" i="2"/>
  <c r="AG106" i="2"/>
  <c r="Z146" i="2"/>
  <c r="AC146" i="2" s="1"/>
  <c r="T112" i="2"/>
  <c r="Z201" i="2"/>
  <c r="T201" i="2"/>
  <c r="Z177" i="2"/>
  <c r="AC177" i="2" s="1"/>
  <c r="AG177" i="2" s="1"/>
  <c r="T177" i="2"/>
  <c r="T174" i="2"/>
  <c r="Z174" i="2"/>
  <c r="Z202" i="2"/>
  <c r="T202" i="2"/>
  <c r="Z216" i="2"/>
  <c r="T216" i="2"/>
  <c r="Z227" i="2"/>
  <c r="T227" i="2"/>
  <c r="T232" i="2"/>
  <c r="Z232" i="2"/>
  <c r="Z193" i="2"/>
  <c r="T193" i="2"/>
  <c r="Z179" i="2"/>
  <c r="T179" i="2"/>
  <c r="T198" i="2"/>
  <c r="Z198" i="2"/>
  <c r="T230" i="2"/>
  <c r="Z230" i="2"/>
  <c r="T162" i="2"/>
  <c r="Z162" i="2"/>
  <c r="T194" i="2"/>
  <c r="Z194" i="2"/>
  <c r="Z224" i="2"/>
  <c r="T224" i="2"/>
  <c r="Z166" i="2"/>
  <c r="T166" i="2"/>
  <c r="Z217" i="2"/>
  <c r="T217" i="2"/>
  <c r="Z241" i="2"/>
  <c r="T241" i="2"/>
  <c r="Z237" i="2"/>
  <c r="T237" i="2"/>
  <c r="AG146" i="2"/>
  <c r="W99" i="4"/>
  <c r="Z219" i="2"/>
  <c r="T219" i="2"/>
  <c r="Z213" i="2"/>
  <c r="T213" i="2"/>
  <c r="T173" i="2"/>
  <c r="Z173" i="2"/>
  <c r="Z215" i="2"/>
  <c r="T215" i="2"/>
  <c r="Z235" i="2"/>
  <c r="AC235" i="2" s="1"/>
  <c r="T235" i="2"/>
  <c r="Z178" i="2"/>
  <c r="T178" i="2"/>
  <c r="Z229" i="2"/>
  <c r="T229" i="2"/>
  <c r="Z180" i="2"/>
  <c r="T180" i="2"/>
  <c r="T220" i="2"/>
  <c r="Z220" i="2"/>
  <c r="T199" i="2"/>
  <c r="Z199" i="2"/>
  <c r="Z171" i="2"/>
  <c r="T171" i="2"/>
  <c r="T209" i="2"/>
  <c r="Z209" i="2"/>
  <c r="T161" i="2"/>
  <c r="Z161" i="2"/>
  <c r="Z221" i="2"/>
  <c r="T221" i="2"/>
  <c r="Z186" i="2"/>
  <c r="T186" i="2"/>
  <c r="Z169" i="2"/>
  <c r="T169" i="2"/>
  <c r="Z233" i="2"/>
  <c r="T233" i="2"/>
  <c r="Z239" i="2"/>
  <c r="T239" i="2"/>
  <c r="Z158" i="2"/>
  <c r="T158" i="2"/>
  <c r="Z152" i="2"/>
  <c r="T152" i="2"/>
  <c r="Z191" i="2"/>
  <c r="T191" i="2"/>
  <c r="Z159" i="2"/>
  <c r="T159" i="2"/>
  <c r="Z187" i="2"/>
  <c r="T187" i="2"/>
  <c r="Z242" i="2"/>
  <c r="T242" i="2"/>
  <c r="Z156" i="2"/>
  <c r="T156" i="2"/>
  <c r="Z170" i="2"/>
  <c r="T170" i="2"/>
  <c r="AG68" i="2"/>
  <c r="T196" i="2"/>
  <c r="Z196" i="2"/>
  <c r="T205" i="2"/>
  <c r="Z205" i="2"/>
  <c r="Z172" i="2"/>
  <c r="T172" i="2"/>
  <c r="T181" i="2"/>
  <c r="Z181" i="2"/>
  <c r="T192" i="2"/>
  <c r="Z192" i="2"/>
  <c r="Z210" i="2"/>
  <c r="T210" i="2"/>
  <c r="Z197" i="2"/>
  <c r="T197" i="2"/>
  <c r="Z182" i="2"/>
  <c r="T182" i="2"/>
  <c r="T240" i="2"/>
  <c r="Z240" i="2"/>
  <c r="T190" i="2"/>
  <c r="Z190" i="2"/>
  <c r="Z238" i="2"/>
  <c r="T238" i="2"/>
  <c r="T188" i="2"/>
  <c r="Z188" i="2"/>
  <c r="Z154" i="2"/>
  <c r="T154" i="2"/>
  <c r="Z222" i="2"/>
  <c r="T222" i="2"/>
  <c r="T184" i="2"/>
  <c r="Z184" i="2"/>
  <c r="Z160" i="2"/>
  <c r="T160" i="2"/>
  <c r="Z96" i="2"/>
  <c r="AC96" i="2" s="1"/>
  <c r="Z208" i="2"/>
  <c r="T208" i="2"/>
  <c r="T244" i="2"/>
  <c r="Z244" i="2"/>
  <c r="AG110" i="2"/>
  <c r="Z243" i="2"/>
  <c r="AC243" i="2" s="1"/>
  <c r="AG243" i="2" s="1"/>
  <c r="T243" i="2"/>
  <c r="Z245" i="2"/>
  <c r="T245" i="2"/>
  <c r="Z234" i="2"/>
  <c r="AC234" i="2" s="1"/>
  <c r="AG234" i="2" s="1"/>
  <c r="T234" i="2"/>
  <c r="T175" i="2"/>
  <c r="Z175" i="2"/>
  <c r="Z223" i="2"/>
  <c r="T223" i="2"/>
  <c r="Z164" i="2"/>
  <c r="T164" i="2"/>
  <c r="T183" i="2"/>
  <c r="Z183" i="2"/>
  <c r="Z246" i="2"/>
  <c r="T246" i="2"/>
  <c r="T168" i="2"/>
  <c r="Z168" i="2"/>
  <c r="Z212" i="2"/>
  <c r="T212" i="2"/>
  <c r="Z163" i="2"/>
  <c r="T163" i="2"/>
  <c r="Z218" i="2"/>
  <c r="T218" i="2"/>
  <c r="T167" i="2"/>
  <c r="Z167" i="2"/>
  <c r="T153" i="2"/>
  <c r="Z153" i="2"/>
  <c r="Z185" i="2"/>
  <c r="T185" i="2"/>
  <c r="Z203" i="2"/>
  <c r="T203" i="2"/>
  <c r="T157" i="2"/>
  <c r="Z157" i="2"/>
  <c r="T206" i="2"/>
  <c r="Z206" i="2"/>
  <c r="Z228" i="2"/>
  <c r="T228" i="2"/>
  <c r="Z231" i="2"/>
  <c r="T231" i="2"/>
  <c r="T225" i="2"/>
  <c r="Z225" i="2"/>
  <c r="Z211" i="2"/>
  <c r="T211" i="2"/>
  <c r="Z207" i="2"/>
  <c r="T207" i="2"/>
  <c r="Z176" i="2"/>
  <c r="T176" i="2"/>
  <c r="T214" i="2"/>
  <c r="Z214" i="2"/>
  <c r="Z226" i="2"/>
  <c r="T226" i="2"/>
  <c r="T195" i="2"/>
  <c r="Z195" i="2"/>
  <c r="T151" i="2"/>
  <c r="Z151" i="2"/>
  <c r="T165" i="2"/>
  <c r="Z165" i="2"/>
  <c r="Z200" i="2"/>
  <c r="T200" i="2"/>
  <c r="T155" i="2"/>
  <c r="Z155" i="2"/>
  <c r="Z204" i="2"/>
  <c r="T204" i="2"/>
  <c r="T236" i="2"/>
  <c r="Z236" i="2"/>
  <c r="Z189" i="2"/>
  <c r="T189" i="2"/>
  <c r="Z83" i="2"/>
  <c r="AC83" i="2" s="1"/>
  <c r="W86" i="4"/>
  <c r="AA140" i="2"/>
  <c r="AD140" i="2" s="1"/>
  <c r="X143" i="4"/>
  <c r="AA137" i="2"/>
  <c r="AD137" i="2" s="1"/>
  <c r="X140" i="4"/>
  <c r="Z103" i="2"/>
  <c r="AC103" i="2" s="1"/>
  <c r="W106" i="4"/>
  <c r="Z59" i="2"/>
  <c r="W62" i="4"/>
  <c r="AA77" i="2"/>
  <c r="AD77" i="2" s="1"/>
  <c r="X80" i="4"/>
  <c r="AA133" i="2"/>
  <c r="AD133" i="2" s="1"/>
  <c r="X136" i="4"/>
  <c r="Z111" i="2"/>
  <c r="AC111" i="2" s="1"/>
  <c r="W114" i="4"/>
  <c r="Z136" i="2"/>
  <c r="W139" i="4"/>
  <c r="Z98" i="2"/>
  <c r="W101" i="4"/>
  <c r="Z94" i="2"/>
  <c r="AC94" i="2" s="1"/>
  <c r="W97" i="4"/>
  <c r="Z148" i="2"/>
  <c r="AC148" i="2" s="1"/>
  <c r="W151" i="4"/>
  <c r="AA129" i="2"/>
  <c r="AD129" i="2" s="1"/>
  <c r="X132" i="4"/>
  <c r="AA73" i="2"/>
  <c r="AD73" i="2" s="1"/>
  <c r="X76" i="4"/>
  <c r="Z89" i="2"/>
  <c r="AC89" i="2" s="1"/>
  <c r="W92" i="4"/>
  <c r="Z137" i="2"/>
  <c r="AC137" i="2" s="1"/>
  <c r="W140" i="4"/>
  <c r="Z109" i="2"/>
  <c r="AC109" i="2" s="1"/>
  <c r="W112" i="4"/>
  <c r="Z112" i="2"/>
  <c r="AC112" i="2" s="1"/>
  <c r="AG112" i="2" s="1"/>
  <c r="W115" i="4"/>
  <c r="AA51" i="2"/>
  <c r="AD51" i="2" s="1"/>
  <c r="X54" i="4"/>
  <c r="AG124" i="2"/>
  <c r="AA142" i="2"/>
  <c r="X145" i="4"/>
  <c r="Z44" i="2"/>
  <c r="AC44" i="2" s="1"/>
  <c r="W47" i="4"/>
  <c r="AA70" i="2"/>
  <c r="AD70" i="2" s="1"/>
  <c r="X73" i="4"/>
  <c r="Z70" i="2"/>
  <c r="AC70" i="2" s="1"/>
  <c r="W73" i="4"/>
  <c r="Z34" i="2"/>
  <c r="AC34" i="2" s="1"/>
  <c r="W37" i="4"/>
  <c r="AA35" i="2"/>
  <c r="AD35" i="2" s="1"/>
  <c r="X38" i="4"/>
  <c r="AA89" i="2"/>
  <c r="AD89" i="2" s="1"/>
  <c r="X92" i="4"/>
  <c r="AA71" i="2"/>
  <c r="AD71" i="2" s="1"/>
  <c r="X74" i="4"/>
  <c r="AA43" i="2"/>
  <c r="AD43" i="2" s="1"/>
  <c r="X46" i="4"/>
  <c r="Z53" i="2"/>
  <c r="AC53" i="2" s="1"/>
  <c r="W56" i="4"/>
  <c r="AA50" i="2"/>
  <c r="AD50" i="2" s="1"/>
  <c r="X53" i="4"/>
  <c r="Z128" i="2"/>
  <c r="AC128" i="2" s="1"/>
  <c r="W131" i="4"/>
  <c r="AA41" i="2"/>
  <c r="AD41" i="2" s="1"/>
  <c r="X44" i="4"/>
  <c r="AA119" i="2"/>
  <c r="AD119" i="2" s="1"/>
  <c r="X122" i="4"/>
  <c r="AA102" i="2"/>
  <c r="AD102" i="2" s="1"/>
  <c r="X105" i="4"/>
  <c r="Z140" i="2"/>
  <c r="AC140" i="2" s="1"/>
  <c r="W143" i="4"/>
  <c r="T116" i="2"/>
  <c r="W119" i="4"/>
  <c r="Z150" i="2"/>
  <c r="W153" i="4"/>
  <c r="Z64" i="2"/>
  <c r="W67" i="4"/>
  <c r="Z88" i="2"/>
  <c r="W91" i="4"/>
  <c r="AA45" i="2"/>
  <c r="AD45" i="2" s="1"/>
  <c r="X48" i="4"/>
  <c r="Z141" i="2"/>
  <c r="AC141" i="2" s="1"/>
  <c r="W144" i="4"/>
  <c r="AA131" i="2"/>
  <c r="X134" i="4"/>
  <c r="AA90" i="2"/>
  <c r="AD90" i="2" s="1"/>
  <c r="X93" i="4"/>
  <c r="AA65" i="2"/>
  <c r="AD65" i="2" s="1"/>
  <c r="X68" i="4"/>
  <c r="AA49" i="2"/>
  <c r="AD49" i="2" s="1"/>
  <c r="X52" i="4"/>
  <c r="AA54" i="2"/>
  <c r="X57" i="4"/>
  <c r="AA79" i="2"/>
  <c r="AD79" i="2" s="1"/>
  <c r="X82" i="4"/>
  <c r="AA63" i="2"/>
  <c r="AD63" i="2" s="1"/>
  <c r="X66" i="4"/>
  <c r="AA87" i="2"/>
  <c r="X90" i="4"/>
  <c r="AA105" i="2"/>
  <c r="AD105" i="2" s="1"/>
  <c r="X108" i="4"/>
  <c r="AA48" i="2"/>
  <c r="AD48" i="2" s="1"/>
  <c r="X51" i="4"/>
  <c r="Z50" i="2"/>
  <c r="AC50" i="2" s="1"/>
  <c r="W53" i="4"/>
  <c r="AA141" i="2"/>
  <c r="AD141" i="2" s="1"/>
  <c r="X144" i="4"/>
  <c r="Z86" i="2"/>
  <c r="W89" i="4"/>
  <c r="Z69" i="2"/>
  <c r="AC69" i="2" s="1"/>
  <c r="W72" i="4"/>
  <c r="AA83" i="2"/>
  <c r="X86" i="4"/>
  <c r="AA93" i="2"/>
  <c r="AD93" i="2" s="1"/>
  <c r="X96" i="4"/>
  <c r="AA61" i="2"/>
  <c r="AD61" i="2" s="1"/>
  <c r="X64" i="4"/>
  <c r="AA55" i="2"/>
  <c r="X58" i="4"/>
  <c r="Z104" i="2"/>
  <c r="AC104" i="2" s="1"/>
  <c r="W107" i="4"/>
  <c r="Z134" i="2"/>
  <c r="AC134" i="2" s="1"/>
  <c r="W137" i="4"/>
  <c r="AA117" i="2"/>
  <c r="AD117" i="2" s="1"/>
  <c r="X120" i="4"/>
  <c r="Z90" i="2"/>
  <c r="W93" i="4"/>
  <c r="AA39" i="2"/>
  <c r="AD39" i="2" s="1"/>
  <c r="X42" i="4"/>
  <c r="AA36" i="2"/>
  <c r="AD36" i="2" s="1"/>
  <c r="X39" i="4"/>
  <c r="Z58" i="2"/>
  <c r="W61" i="4"/>
  <c r="AA123" i="2"/>
  <c r="AD123" i="2" s="1"/>
  <c r="X126" i="4"/>
  <c r="Z62" i="2"/>
  <c r="AC62" i="2" s="1"/>
  <c r="W65" i="4"/>
  <c r="AA47" i="2"/>
  <c r="X50" i="4"/>
  <c r="AA109" i="2"/>
  <c r="X112" i="4"/>
  <c r="AA56" i="2"/>
  <c r="AD56" i="2" s="1"/>
  <c r="X59" i="4"/>
  <c r="AA149" i="2"/>
  <c r="AD149" i="2" s="1"/>
  <c r="X152" i="4"/>
  <c r="Z49" i="2"/>
  <c r="AC49" i="2" s="1"/>
  <c r="W52" i="4"/>
  <c r="AA57" i="2"/>
  <c r="AD57" i="2" s="1"/>
  <c r="X60" i="4"/>
  <c r="AA62" i="2"/>
  <c r="AD62" i="2" s="1"/>
  <c r="X65" i="4"/>
  <c r="Z149" i="2"/>
  <c r="AC149" i="2" s="1"/>
  <c r="W152" i="4"/>
  <c r="AA145" i="2"/>
  <c r="AD145" i="2" s="1"/>
  <c r="X148" i="4"/>
  <c r="AA52" i="2"/>
  <c r="AD52" i="2" s="1"/>
  <c r="X55" i="4"/>
  <c r="Z129" i="2"/>
  <c r="AC129" i="2" s="1"/>
  <c r="W132" i="4"/>
  <c r="Z138" i="2"/>
  <c r="W141" i="4"/>
  <c r="AA81" i="2"/>
  <c r="AD81" i="2" s="1"/>
  <c r="X84" i="4"/>
  <c r="AA82" i="2"/>
  <c r="AD82" i="2" s="1"/>
  <c r="X85" i="4"/>
  <c r="Z113" i="2"/>
  <c r="AC113" i="2" s="1"/>
  <c r="W116" i="4"/>
  <c r="AA97" i="2"/>
  <c r="AD97" i="2" s="1"/>
  <c r="X100" i="4"/>
  <c r="Z82" i="2"/>
  <c r="AC82" i="2" s="1"/>
  <c r="W85" i="4"/>
  <c r="Z71" i="2"/>
  <c r="W74" i="4"/>
  <c r="AA96" i="2"/>
  <c r="AD96" i="2" s="1"/>
  <c r="X99" i="4"/>
  <c r="T110" i="2"/>
  <c r="AA37" i="2"/>
  <c r="X40" i="4"/>
  <c r="AA127" i="2"/>
  <c r="X130" i="4"/>
  <c r="Z40" i="2"/>
  <c r="AC40" i="2" s="1"/>
  <c r="W43" i="4"/>
  <c r="T138" i="2"/>
  <c r="Z91" i="2"/>
  <c r="AC91" i="2" s="1"/>
  <c r="W94" i="4"/>
  <c r="AA42" i="2"/>
  <c r="AD42" i="2" s="1"/>
  <c r="X45" i="4"/>
  <c r="Z79" i="2"/>
  <c r="AC79" i="2" s="1"/>
  <c r="W82" i="4"/>
  <c r="Z43" i="2"/>
  <c r="W46" i="4"/>
  <c r="Z38" i="2"/>
  <c r="AC38" i="2" s="1"/>
  <c r="W41" i="4"/>
  <c r="AA103" i="2"/>
  <c r="AD103" i="2" s="1"/>
  <c r="X106" i="4"/>
  <c r="AA115" i="2"/>
  <c r="AD115" i="2" s="1"/>
  <c r="X118" i="4"/>
  <c r="AA53" i="2"/>
  <c r="AD53" i="2" s="1"/>
  <c r="X56" i="4"/>
  <c r="AA91" i="2"/>
  <c r="AD91" i="2" s="1"/>
  <c r="X94" i="4"/>
  <c r="Z66" i="2"/>
  <c r="W69" i="4"/>
  <c r="AA69" i="2"/>
  <c r="X72" i="4"/>
  <c r="Z81" i="2"/>
  <c r="W84" i="4"/>
  <c r="Z115" i="2"/>
  <c r="AC115" i="2" s="1"/>
  <c r="W118" i="4"/>
  <c r="AA144" i="2"/>
  <c r="AD144" i="2" s="1"/>
  <c r="X147" i="4"/>
  <c r="Z63" i="2"/>
  <c r="AC63" i="2" s="1"/>
  <c r="W66" i="4"/>
  <c r="AA74" i="2"/>
  <c r="AD74" i="2" s="1"/>
  <c r="X77" i="4"/>
  <c r="AA148" i="2"/>
  <c r="AD148" i="2" s="1"/>
  <c r="X151" i="4"/>
  <c r="AA44" i="2"/>
  <c r="X47" i="4"/>
  <c r="AG84" i="2"/>
  <c r="AA92" i="2"/>
  <c r="AD92" i="2" s="1"/>
  <c r="X95" i="4"/>
  <c r="AA108" i="2"/>
  <c r="X111" i="4"/>
  <c r="Z145" i="2"/>
  <c r="W148" i="4"/>
  <c r="AA38" i="2"/>
  <c r="AD38" i="2" s="1"/>
  <c r="X41" i="4"/>
  <c r="Z51" i="2"/>
  <c r="AC51" i="2" s="1"/>
  <c r="W54" i="4"/>
  <c r="Z39" i="2"/>
  <c r="W42" i="4"/>
  <c r="AA34" i="2"/>
  <c r="AD34" i="2" s="1"/>
  <c r="X37" i="4"/>
  <c r="Z36" i="2"/>
  <c r="W39" i="4"/>
  <c r="AA40" i="2"/>
  <c r="AD40" i="2" s="1"/>
  <c r="X43" i="4"/>
  <c r="Z42" i="2"/>
  <c r="AC42" i="2" s="1"/>
  <c r="W45" i="4"/>
  <c r="AA122" i="2"/>
  <c r="AD122" i="2" s="1"/>
  <c r="X125" i="4"/>
  <c r="Z77" i="2"/>
  <c r="AC77" i="2" s="1"/>
  <c r="W80" i="4"/>
  <c r="AA128" i="2"/>
  <c r="AD128" i="2" s="1"/>
  <c r="X131" i="4"/>
  <c r="AA132" i="2"/>
  <c r="AD132" i="2" s="1"/>
  <c r="X135" i="4"/>
  <c r="AA94" i="2"/>
  <c r="AD94" i="2" s="1"/>
  <c r="X97" i="4"/>
  <c r="AA111" i="2"/>
  <c r="AD111" i="2" s="1"/>
  <c r="X114" i="4"/>
  <c r="Z56" i="2"/>
  <c r="W59" i="4"/>
  <c r="Z118" i="2"/>
  <c r="W121" i="4"/>
  <c r="Z48" i="2"/>
  <c r="W51" i="4"/>
  <c r="Z92" i="2"/>
  <c r="AC92" i="2" s="1"/>
  <c r="W95" i="4"/>
  <c r="Z119" i="2"/>
  <c r="W122" i="4"/>
  <c r="Z95" i="2"/>
  <c r="AC95" i="2" s="1"/>
  <c r="W98" i="4"/>
  <c r="AA75" i="2"/>
  <c r="X78" i="4"/>
  <c r="Z105" i="2"/>
  <c r="W108" i="4"/>
  <c r="Z74" i="2"/>
  <c r="AC74" i="2" s="1"/>
  <c r="W77" i="4"/>
  <c r="AA99" i="2"/>
  <c r="X102" i="4"/>
  <c r="AA113" i="2"/>
  <c r="AD113" i="2" s="1"/>
  <c r="X116" i="4"/>
  <c r="AA95" i="2"/>
  <c r="AD95" i="2" s="1"/>
  <c r="X98" i="4"/>
  <c r="AA130" i="2"/>
  <c r="AD130" i="2" s="1"/>
  <c r="X133" i="4"/>
  <c r="AA126" i="2"/>
  <c r="AD126" i="2" s="1"/>
  <c r="X129" i="4"/>
  <c r="AA104" i="2"/>
  <c r="AD104" i="2" s="1"/>
  <c r="X107" i="4"/>
  <c r="M138" i="1"/>
  <c r="N138" i="1"/>
  <c r="L138" i="1"/>
  <c r="I149" i="4"/>
  <c r="L149" i="4" s="1"/>
  <c r="J149" i="4"/>
  <c r="M149" i="4" s="1"/>
  <c r="T66" i="2"/>
  <c r="Z116" i="2"/>
  <c r="T150" i="2"/>
  <c r="T55" i="2"/>
  <c r="T127" i="2"/>
  <c r="T147" i="2"/>
  <c r="AA147" i="2"/>
  <c r="T67" i="2"/>
  <c r="AA67" i="2"/>
  <c r="T143" i="2"/>
  <c r="AA143" i="2"/>
  <c r="T139" i="2"/>
  <c r="AA139" i="2"/>
  <c r="T125" i="2"/>
  <c r="AA125" i="2"/>
  <c r="T134" i="2"/>
  <c r="AA134" i="2"/>
  <c r="T131" i="2"/>
  <c r="T107" i="2"/>
  <c r="AA107" i="2"/>
  <c r="T121" i="2"/>
  <c r="AA121" i="2"/>
  <c r="T54" i="2"/>
  <c r="T114" i="2"/>
  <c r="AA114" i="2"/>
  <c r="T135" i="2"/>
  <c r="AA135" i="2"/>
  <c r="AG129" i="2"/>
  <c r="T102" i="2"/>
  <c r="Z102" i="2"/>
  <c r="AC102" i="2" s="1"/>
  <c r="T78" i="2"/>
  <c r="Z78" i="2"/>
  <c r="T122" i="2"/>
  <c r="Z122" i="2"/>
  <c r="AC122" i="2" s="1"/>
  <c r="T92" i="2"/>
  <c r="T120" i="2"/>
  <c r="Z120" i="2"/>
  <c r="T57" i="2"/>
  <c r="Z57" i="2"/>
  <c r="AC57" i="2" s="1"/>
  <c r="T132" i="2"/>
  <c r="Z132" i="2"/>
  <c r="AC132" i="2" s="1"/>
  <c r="T41" i="2"/>
  <c r="Z41" i="2"/>
  <c r="AC41" i="2" s="1"/>
  <c r="T73" i="2"/>
  <c r="Z73" i="2"/>
  <c r="T133" i="2"/>
  <c r="Z133" i="2"/>
  <c r="AC133" i="2" s="1"/>
  <c r="T100" i="2"/>
  <c r="Z100" i="2"/>
  <c r="T80" i="2"/>
  <c r="Z80" i="2"/>
  <c r="T52" i="2"/>
  <c r="Z52" i="2"/>
  <c r="AC52" i="2" s="1"/>
  <c r="T85" i="2"/>
  <c r="Z85" i="2"/>
  <c r="T93" i="2"/>
  <c r="Z93" i="2"/>
  <c r="AC93" i="2" s="1"/>
  <c r="T99" i="2"/>
  <c r="V99" i="2"/>
  <c r="T123" i="2"/>
  <c r="Z123" i="2"/>
  <c r="AC123" i="2" s="1"/>
  <c r="T101" i="2"/>
  <c r="Z101" i="2"/>
  <c r="T126" i="2"/>
  <c r="Z126" i="2"/>
  <c r="T60" i="2"/>
  <c r="Z60" i="2"/>
  <c r="T118" i="2"/>
  <c r="T97" i="2"/>
  <c r="Z97" i="2"/>
  <c r="AC97" i="2" s="1"/>
  <c r="T65" i="2"/>
  <c r="Z65" i="2"/>
  <c r="AC65" i="2" s="1"/>
  <c r="T61" i="2"/>
  <c r="Z61" i="2"/>
  <c r="AC61" i="2" s="1"/>
  <c r="T98" i="2"/>
  <c r="V98" i="2"/>
  <c r="T144" i="2"/>
  <c r="Z144" i="2"/>
  <c r="AC144" i="2" s="1"/>
  <c r="T117" i="2"/>
  <c r="Z117" i="2"/>
  <c r="AC117" i="2" s="1"/>
  <c r="T45" i="2"/>
  <c r="Z45" i="2"/>
  <c r="AC45" i="2" s="1"/>
  <c r="T35" i="2"/>
  <c r="Z35" i="2"/>
  <c r="AC35" i="2" s="1"/>
  <c r="T72" i="2"/>
  <c r="Z72" i="2"/>
  <c r="T46" i="2"/>
  <c r="Z46" i="2"/>
  <c r="T48" i="2"/>
  <c r="T47" i="2"/>
  <c r="V47" i="2"/>
  <c r="T130" i="2"/>
  <c r="Z130" i="2"/>
  <c r="T76" i="2"/>
  <c r="Z76" i="2"/>
  <c r="T62" i="2"/>
  <c r="T140" i="2"/>
  <c r="T49" i="2"/>
  <c r="T42" i="2"/>
  <c r="T79" i="2"/>
  <c r="T90" i="2"/>
  <c r="T111" i="2"/>
  <c r="T87" i="2"/>
  <c r="T113" i="2"/>
  <c r="T86" i="2"/>
  <c r="T71" i="2"/>
  <c r="T63" i="2"/>
  <c r="T53" i="2"/>
  <c r="T81" i="2"/>
  <c r="T115" i="2"/>
  <c r="T128" i="2"/>
  <c r="T83" i="2"/>
  <c r="T105" i="2"/>
  <c r="T74" i="2"/>
  <c r="T69" i="2"/>
  <c r="T103" i="2"/>
  <c r="T149" i="2"/>
  <c r="T51" i="2"/>
  <c r="T43" i="2"/>
  <c r="T119" i="2"/>
  <c r="T95" i="2"/>
  <c r="T129" i="2"/>
  <c r="T59" i="2"/>
  <c r="T58" i="2"/>
  <c r="T70" i="2"/>
  <c r="T145" i="2"/>
  <c r="T141" i="2"/>
  <c r="T109" i="2"/>
  <c r="T75" i="2"/>
  <c r="T91" i="2"/>
  <c r="T77" i="2"/>
  <c r="T82" i="2"/>
  <c r="T136" i="2"/>
  <c r="T50" i="2"/>
  <c r="T94" i="2"/>
  <c r="T148" i="2"/>
  <c r="T89" i="2"/>
  <c r="T137" i="2"/>
  <c r="T40" i="2"/>
  <c r="T38" i="2"/>
  <c r="T39" i="2"/>
  <c r="T34" i="2"/>
  <c r="T36" i="2"/>
  <c r="T37" i="2"/>
  <c r="N106" i="1"/>
  <c r="L106" i="1"/>
  <c r="M106" i="1"/>
  <c r="N86" i="1"/>
  <c r="M103" i="1"/>
  <c r="N103" i="1"/>
  <c r="L103" i="1"/>
  <c r="M41" i="1"/>
  <c r="L41" i="1"/>
  <c r="N41" i="1"/>
  <c r="M55" i="1"/>
  <c r="N55" i="1"/>
  <c r="L55" i="1"/>
  <c r="M89" i="1"/>
  <c r="L89" i="1"/>
  <c r="N89" i="1"/>
  <c r="L136" i="1"/>
  <c r="M136" i="1"/>
  <c r="N136" i="1"/>
  <c r="M95" i="1"/>
  <c r="L95" i="1"/>
  <c r="N58" i="1"/>
  <c r="L58" i="1"/>
  <c r="M58" i="1"/>
  <c r="N70" i="1"/>
  <c r="L70" i="1"/>
  <c r="M70" i="1"/>
  <c r="L132" i="1"/>
  <c r="N132" i="1"/>
  <c r="M132" i="1"/>
  <c r="L64" i="1"/>
  <c r="M64" i="1"/>
  <c r="N64" i="1"/>
  <c r="L67" i="1"/>
  <c r="M67" i="1"/>
  <c r="N67" i="1"/>
  <c r="M65" i="1"/>
  <c r="L65" i="1"/>
  <c r="N65" i="1"/>
  <c r="L88" i="1"/>
  <c r="M88" i="1"/>
  <c r="N88" i="1"/>
  <c r="L126" i="1"/>
  <c r="M126" i="1"/>
  <c r="N126" i="1"/>
  <c r="M135" i="1"/>
  <c r="N135" i="1"/>
  <c r="L135" i="1"/>
  <c r="M127" i="1"/>
  <c r="L127" i="1"/>
  <c r="N127" i="1"/>
  <c r="L52" i="1"/>
  <c r="N52" i="1"/>
  <c r="M52" i="1"/>
  <c r="N102" i="1"/>
  <c r="L102" i="1"/>
  <c r="M102" i="1"/>
  <c r="N61" i="1"/>
  <c r="L109" i="1"/>
  <c r="M79" i="1"/>
  <c r="N79" i="1"/>
  <c r="N30" i="1"/>
  <c r="L72" i="1"/>
  <c r="M72" i="1"/>
  <c r="N72" i="1"/>
  <c r="L35" i="1"/>
  <c r="M35" i="1"/>
  <c r="N35" i="1"/>
  <c r="M114" i="1"/>
  <c r="L137" i="1"/>
  <c r="M137" i="1"/>
  <c r="N137" i="1"/>
  <c r="N66" i="1"/>
  <c r="L66" i="1"/>
  <c r="M66" i="1"/>
  <c r="M125" i="1"/>
  <c r="N125" i="1"/>
  <c r="L125" i="1"/>
  <c r="L73" i="1"/>
  <c r="L36" i="1"/>
  <c r="N36" i="1"/>
  <c r="M36" i="1"/>
  <c r="L76" i="1"/>
  <c r="N76" i="1"/>
  <c r="M76" i="1"/>
  <c r="L120" i="1"/>
  <c r="M120" i="1"/>
  <c r="N120" i="1"/>
  <c r="L37" i="1"/>
  <c r="L123" i="1"/>
  <c r="M123" i="1"/>
  <c r="N123" i="1"/>
  <c r="N118" i="1"/>
  <c r="L118" i="1"/>
  <c r="M118" i="1"/>
  <c r="N75" i="1"/>
  <c r="M113" i="1"/>
  <c r="L113" i="1"/>
  <c r="N46" i="1"/>
  <c r="M46" i="1"/>
  <c r="L27" i="1"/>
  <c r="M27" i="1"/>
  <c r="N27" i="1"/>
  <c r="L111" i="1"/>
  <c r="M29" i="1"/>
  <c r="N29" i="1"/>
  <c r="L29" i="1"/>
  <c r="M77" i="1"/>
  <c r="N77" i="1"/>
  <c r="L77" i="1"/>
  <c r="N42" i="1"/>
  <c r="L42" i="1"/>
  <c r="M42" i="1"/>
  <c r="M53" i="1"/>
  <c r="N53" i="1"/>
  <c r="L53" i="1"/>
  <c r="L80" i="1"/>
  <c r="M80" i="1"/>
  <c r="N80" i="1"/>
  <c r="L124" i="1"/>
  <c r="N124" i="1"/>
  <c r="M124" i="1"/>
  <c r="L98" i="1"/>
  <c r="M98" i="1"/>
  <c r="N122" i="1"/>
  <c r="L122" i="1"/>
  <c r="M122" i="1"/>
  <c r="L40" i="1"/>
  <c r="M40" i="1"/>
  <c r="N40" i="1"/>
  <c r="N57" i="1"/>
  <c r="M50" i="1"/>
  <c r="M93" i="1"/>
  <c r="N93" i="1"/>
  <c r="L93" i="1"/>
  <c r="M129" i="1"/>
  <c r="L129" i="1"/>
  <c r="N129" i="1"/>
  <c r="M31" i="1"/>
  <c r="N31" i="1"/>
  <c r="L31" i="1"/>
  <c r="N51" i="1"/>
  <c r="L43" i="1"/>
  <c r="M43" i="1"/>
  <c r="N43" i="1"/>
  <c r="L84" i="1"/>
  <c r="N84" i="1"/>
  <c r="M84" i="1"/>
  <c r="L128" i="1"/>
  <c r="M128" i="1"/>
  <c r="N128" i="1"/>
  <c r="M39" i="1"/>
  <c r="N39" i="1"/>
  <c r="L39" i="1"/>
  <c r="L44" i="1"/>
  <c r="N44" i="1"/>
  <c r="M44" i="1"/>
  <c r="M117" i="1"/>
  <c r="N117" i="1"/>
  <c r="L117" i="1"/>
  <c r="L63" i="1"/>
  <c r="L131" i="1"/>
  <c r="M131" i="1"/>
  <c r="N131" i="1"/>
  <c r="L119" i="1"/>
  <c r="M75" i="1" l="1"/>
  <c r="L114" i="1"/>
  <c r="L101" i="1"/>
  <c r="N109" i="1"/>
  <c r="N97" i="1"/>
  <c r="N115" i="1"/>
  <c r="N47" i="1"/>
  <c r="M26" i="1"/>
  <c r="N101" i="1"/>
  <c r="L97" i="1"/>
  <c r="M115" i="1"/>
  <c r="L26" i="1"/>
  <c r="N112" i="1"/>
  <c r="N73" i="1"/>
  <c r="M112" i="1"/>
  <c r="L56" i="1"/>
  <c r="N121" i="1"/>
  <c r="L121" i="1"/>
  <c r="AG38" i="2"/>
  <c r="AG149" i="2"/>
  <c r="M23" i="1"/>
  <c r="N133" i="1"/>
  <c r="N110" i="1"/>
  <c r="M87" i="1"/>
  <c r="M38" i="1"/>
  <c r="M30" i="1"/>
  <c r="N108" i="1"/>
  <c r="N82" i="1"/>
  <c r="M86" i="1"/>
  <c r="N119" i="1"/>
  <c r="M133" i="1"/>
  <c r="L110" i="1"/>
  <c r="L38" i="1"/>
  <c r="L108" i="1"/>
  <c r="N48" i="1"/>
  <c r="N37" i="1"/>
  <c r="N63" i="1"/>
  <c r="L81" i="1"/>
  <c r="M48" i="1"/>
  <c r="L85" i="1"/>
  <c r="N81" i="1"/>
  <c r="N83" i="1"/>
  <c r="N96" i="1"/>
  <c r="L69" i="1"/>
  <c r="M90" i="1"/>
  <c r="N85" i="1"/>
  <c r="M130" i="1"/>
  <c r="M60" i="1"/>
  <c r="M83" i="1"/>
  <c r="M96" i="1"/>
  <c r="N69" i="1"/>
  <c r="L90" i="1"/>
  <c r="L130" i="1"/>
  <c r="M82" i="1"/>
  <c r="N60" i="1"/>
  <c r="L87" i="1"/>
  <c r="L25" i="1"/>
  <c r="M25" i="1"/>
  <c r="L50" i="1"/>
  <c r="N62" i="1"/>
  <c r="M54" i="1"/>
  <c r="M62" i="1"/>
  <c r="L54" i="1"/>
  <c r="L22" i="1"/>
  <c r="O22" i="1" s="1"/>
  <c r="O23" i="1" s="1"/>
  <c r="M68" i="1"/>
  <c r="N23" i="1"/>
  <c r="N24" i="1"/>
  <c r="M24" i="1"/>
  <c r="M34" i="1"/>
  <c r="N68" i="1"/>
  <c r="L34" i="1"/>
  <c r="N49" i="1"/>
  <c r="M28" i="1"/>
  <c r="M47" i="1"/>
  <c r="M49" i="1"/>
  <c r="N28" i="1"/>
  <c r="M22" i="1"/>
  <c r="P22" i="1" s="1"/>
  <c r="N56" i="1"/>
  <c r="M51" i="1"/>
  <c r="N33" i="1"/>
  <c r="L57" i="1"/>
  <c r="N111" i="1"/>
  <c r="N99" i="1"/>
  <c r="M116" i="1"/>
  <c r="N91" i="1"/>
  <c r="M61" i="1"/>
  <c r="L33" i="1"/>
  <c r="M74" i="1"/>
  <c r="M99" i="1"/>
  <c r="N116" i="1"/>
  <c r="M91" i="1"/>
  <c r="N59" i="1"/>
  <c r="N105" i="1"/>
  <c r="L45" i="1"/>
  <c r="L74" i="1"/>
  <c r="N32" i="1"/>
  <c r="M59" i="1"/>
  <c r="M105" i="1"/>
  <c r="N45" i="1"/>
  <c r="M32" i="1"/>
  <c r="N94" i="1"/>
  <c r="M78" i="1"/>
  <c r="N104" i="1"/>
  <c r="M100" i="1"/>
  <c r="N78" i="1"/>
  <c r="M104" i="1"/>
  <c r="L71" i="1"/>
  <c r="N100" i="1"/>
  <c r="M92" i="1"/>
  <c r="N107" i="1"/>
  <c r="M134" i="1"/>
  <c r="M94" i="1"/>
  <c r="L134" i="1"/>
  <c r="N71" i="1"/>
  <c r="N92" i="1"/>
  <c r="M107" i="1"/>
  <c r="N144" i="7"/>
  <c r="AE145" i="7" s="1"/>
  <c r="O144" i="7"/>
  <c r="AF145" i="7" s="1"/>
  <c r="M144" i="7"/>
  <c r="AD145" i="7" s="1"/>
  <c r="AC80" i="2"/>
  <c r="AG80" i="2" s="1"/>
  <c r="AC167" i="2"/>
  <c r="AG167" i="2" s="1"/>
  <c r="AD142" i="2"/>
  <c r="AG142" i="2" s="1"/>
  <c r="AC46" i="2"/>
  <c r="AG46" i="2" s="1"/>
  <c r="AD47" i="2"/>
  <c r="AG47" i="2" s="1"/>
  <c r="AC90" i="2"/>
  <c r="AG90" i="2" s="1"/>
  <c r="AC88" i="2"/>
  <c r="AG88" i="2" s="1"/>
  <c r="AC226" i="2"/>
  <c r="AG226" i="2" s="1"/>
  <c r="AC231" i="2"/>
  <c r="AG231" i="2" s="1"/>
  <c r="AG246" i="2"/>
  <c r="AC246" i="2"/>
  <c r="AC184" i="2"/>
  <c r="AG184" i="2" s="1"/>
  <c r="AC229" i="2"/>
  <c r="AG229" i="2" s="1"/>
  <c r="AC219" i="2"/>
  <c r="AG219" i="2" s="1"/>
  <c r="AC224" i="2"/>
  <c r="AG224" i="2" s="1"/>
  <c r="AC193" i="2"/>
  <c r="AG193" i="2" s="1"/>
  <c r="AC136" i="2"/>
  <c r="AG136" i="2" s="1"/>
  <c r="AC245" i="2"/>
  <c r="AG245" i="2" s="1"/>
  <c r="AC232" i="2"/>
  <c r="AG232" i="2" s="1"/>
  <c r="AC72" i="2"/>
  <c r="AG72" i="2" s="1"/>
  <c r="AD83" i="2"/>
  <c r="AG83" i="2" s="1"/>
  <c r="AC178" i="2"/>
  <c r="AG178" i="2" s="1"/>
  <c r="AD135" i="2"/>
  <c r="AG135" i="2" s="1"/>
  <c r="AC194" i="2"/>
  <c r="AG194" i="2" s="1"/>
  <c r="AC228" i="2"/>
  <c r="AG228" i="2" s="1"/>
  <c r="AC100" i="2"/>
  <c r="AG100" i="2" s="1"/>
  <c r="AC120" i="2"/>
  <c r="AG120" i="2" s="1"/>
  <c r="AD125" i="2"/>
  <c r="AG125" i="2" s="1"/>
  <c r="AC105" i="2"/>
  <c r="AG105" i="2" s="1"/>
  <c r="AC118" i="2"/>
  <c r="AG118" i="2" s="1"/>
  <c r="AC39" i="2"/>
  <c r="AG39" i="2" s="1"/>
  <c r="AC206" i="2"/>
  <c r="AG206" i="2" s="1"/>
  <c r="AC222" i="2"/>
  <c r="AG222" i="2" s="1"/>
  <c r="AC205" i="2"/>
  <c r="AG205" i="2" s="1"/>
  <c r="AC187" i="2"/>
  <c r="AG187" i="2" s="1"/>
  <c r="AC233" i="2"/>
  <c r="AG233" i="2" s="1"/>
  <c r="AC162" i="2"/>
  <c r="AG162" i="2" s="1"/>
  <c r="AC239" i="2"/>
  <c r="AG239" i="2" s="1"/>
  <c r="AC138" i="2"/>
  <c r="AG138" i="2" s="1"/>
  <c r="AD114" i="2"/>
  <c r="AG114" i="2" s="1"/>
  <c r="AG116" i="2"/>
  <c r="AC116" i="2"/>
  <c r="AD44" i="2"/>
  <c r="AG44" i="2" s="1"/>
  <c r="AC81" i="2"/>
  <c r="AG81" i="2" s="1"/>
  <c r="AD87" i="2"/>
  <c r="AG87" i="2" s="1"/>
  <c r="AC150" i="2"/>
  <c r="AG150" i="2" s="1"/>
  <c r="AC200" i="2"/>
  <c r="AG200" i="2" s="1"/>
  <c r="AC176" i="2"/>
  <c r="AG176" i="2" s="1"/>
  <c r="AC218" i="2"/>
  <c r="AG218" i="2" s="1"/>
  <c r="AC164" i="2"/>
  <c r="AG164" i="2" s="1"/>
  <c r="AC182" i="2"/>
  <c r="AG182" i="2" s="1"/>
  <c r="AC171" i="2"/>
  <c r="AG171" i="2" s="1"/>
  <c r="AC237" i="2"/>
  <c r="AG237" i="2" s="1"/>
  <c r="AC227" i="2"/>
  <c r="AG227" i="2" s="1"/>
  <c r="AC155" i="2"/>
  <c r="AG155" i="2" s="1"/>
  <c r="AC209" i="2"/>
  <c r="AG209" i="2" s="1"/>
  <c r="AC76" i="2"/>
  <c r="AG76" i="2" s="1"/>
  <c r="AD139" i="2"/>
  <c r="AG139" i="2" s="1"/>
  <c r="AD75" i="2"/>
  <c r="AG75" i="2" s="1"/>
  <c r="AG56" i="2"/>
  <c r="AC56" i="2"/>
  <c r="AC165" i="2"/>
  <c r="AG165" i="2" s="1"/>
  <c r="AC157" i="2"/>
  <c r="AG157" i="2" s="1"/>
  <c r="AC244" i="2"/>
  <c r="AG244" i="2" s="1"/>
  <c r="AC154" i="2"/>
  <c r="AG154" i="2" s="1"/>
  <c r="AC196" i="2"/>
  <c r="AG196" i="2" s="1"/>
  <c r="AC159" i="2"/>
  <c r="AG159" i="2" s="1"/>
  <c r="AC169" i="2"/>
  <c r="AG169" i="2" s="1"/>
  <c r="AC199" i="2"/>
  <c r="AG199" i="2" s="1"/>
  <c r="AC230" i="2"/>
  <c r="AG230" i="2" s="1"/>
  <c r="AC71" i="2"/>
  <c r="AG71" i="2" s="1"/>
  <c r="AD69" i="2"/>
  <c r="AG69" i="2" s="1"/>
  <c r="AC58" i="2"/>
  <c r="AG58" i="2" s="1"/>
  <c r="AC86" i="2"/>
  <c r="AG86" i="2" s="1"/>
  <c r="AD131" i="2"/>
  <c r="AG131" i="2" s="1"/>
  <c r="AC207" i="2"/>
  <c r="AG207" i="2" s="1"/>
  <c r="AC163" i="2"/>
  <c r="AG163" i="2" s="1"/>
  <c r="AC188" i="2"/>
  <c r="AG188" i="2" s="1"/>
  <c r="AC197" i="2"/>
  <c r="AG197" i="2" s="1"/>
  <c r="AC215" i="2"/>
  <c r="AG215" i="2" s="1"/>
  <c r="AC241" i="2"/>
  <c r="AG241" i="2" s="1"/>
  <c r="AC216" i="2"/>
  <c r="AG216" i="2" s="1"/>
  <c r="AD134" i="2"/>
  <c r="AG134" i="2" s="1"/>
  <c r="AC183" i="2"/>
  <c r="AG183" i="2" s="1"/>
  <c r="AC130" i="2"/>
  <c r="AG130" i="2" s="1"/>
  <c r="AC73" i="2"/>
  <c r="AG73" i="2" s="1"/>
  <c r="AD121" i="2"/>
  <c r="AG121" i="2" s="1"/>
  <c r="AD143" i="2"/>
  <c r="AG143" i="2" s="1"/>
  <c r="AD127" i="2"/>
  <c r="AG127" i="2" s="1"/>
  <c r="AC189" i="2"/>
  <c r="AG189" i="2" s="1"/>
  <c r="AG151" i="2"/>
  <c r="AC151" i="2"/>
  <c r="AC223" i="2"/>
  <c r="AG223" i="2" s="1"/>
  <c r="AC191" i="2"/>
  <c r="AG191" i="2" s="1"/>
  <c r="AC186" i="2"/>
  <c r="AG186" i="2" s="1"/>
  <c r="AC220" i="2"/>
  <c r="AG220" i="2" s="1"/>
  <c r="AC173" i="2"/>
  <c r="AG173" i="2" s="1"/>
  <c r="AG198" i="2"/>
  <c r="AC198" i="2"/>
  <c r="AC201" i="2"/>
  <c r="AG201" i="2" s="1"/>
  <c r="AC78" i="2"/>
  <c r="AG78" i="2" s="1"/>
  <c r="AC66" i="2"/>
  <c r="AG66" i="2" s="1"/>
  <c r="AC43" i="2"/>
  <c r="AG43" i="2" s="1"/>
  <c r="AD55" i="2"/>
  <c r="AG55" i="2" s="1"/>
  <c r="AC236" i="2"/>
  <c r="AG236" i="2" s="1"/>
  <c r="AC211" i="2"/>
  <c r="AG211" i="2" s="1"/>
  <c r="AC203" i="2"/>
  <c r="AG203" i="2" s="1"/>
  <c r="AC212" i="2"/>
  <c r="AG212" i="2" s="1"/>
  <c r="AC175" i="2"/>
  <c r="AG175" i="2" s="1"/>
  <c r="AC208" i="2"/>
  <c r="AG208" i="2" s="1"/>
  <c r="AG210" i="2"/>
  <c r="AC210" i="2"/>
  <c r="AC217" i="2"/>
  <c r="AG217" i="2" s="1"/>
  <c r="AC202" i="2"/>
  <c r="AG202" i="2" s="1"/>
  <c r="AC101" i="2"/>
  <c r="AG101" i="2" s="1"/>
  <c r="AC214" i="2"/>
  <c r="AG214" i="2" s="1"/>
  <c r="AC242" i="2"/>
  <c r="AG242" i="2" s="1"/>
  <c r="AC60" i="2"/>
  <c r="AG60" i="2" s="1"/>
  <c r="AC85" i="2"/>
  <c r="AG85" i="2" s="1"/>
  <c r="AD107" i="2"/>
  <c r="AG107" i="2" s="1"/>
  <c r="AD67" i="2"/>
  <c r="AG67" i="2" s="1"/>
  <c r="AC119" i="2"/>
  <c r="AG119" i="2" s="1"/>
  <c r="AC145" i="2"/>
  <c r="AG145" i="2" s="1"/>
  <c r="AD37" i="2"/>
  <c r="AG37" i="2" s="1"/>
  <c r="AC59" i="2"/>
  <c r="AG59" i="2" s="1"/>
  <c r="AC195" i="2"/>
  <c r="AG195" i="2" s="1"/>
  <c r="AC225" i="2"/>
  <c r="AG225" i="2" s="1"/>
  <c r="AC168" i="2"/>
  <c r="AG168" i="2" s="1"/>
  <c r="AC238" i="2"/>
  <c r="AG238" i="2" s="1"/>
  <c r="AC192" i="2"/>
  <c r="AG192" i="2" s="1"/>
  <c r="AC170" i="2"/>
  <c r="AG170" i="2" s="1"/>
  <c r="AC152" i="2"/>
  <c r="AG152" i="2" s="1"/>
  <c r="AC221" i="2"/>
  <c r="AG221" i="2" s="1"/>
  <c r="AC174" i="2"/>
  <c r="AG174" i="2" s="1"/>
  <c r="AC48" i="2"/>
  <c r="AG48" i="2" s="1"/>
  <c r="AC64" i="2"/>
  <c r="AG64" i="2" s="1"/>
  <c r="AC172" i="2"/>
  <c r="AG172" i="2" s="1"/>
  <c r="AD109" i="2"/>
  <c r="AG109" i="2" s="1"/>
  <c r="AD54" i="2"/>
  <c r="AG54" i="2" s="1"/>
  <c r="AC185" i="2"/>
  <c r="AG185" i="2" s="1"/>
  <c r="AC161" i="2"/>
  <c r="AG161" i="2" s="1"/>
  <c r="AG180" i="2"/>
  <c r="AC180" i="2"/>
  <c r="AC213" i="2"/>
  <c r="AG213" i="2" s="1"/>
  <c r="AC166" i="2"/>
  <c r="AG166" i="2" s="1"/>
  <c r="AC179" i="2"/>
  <c r="AG179" i="2" s="1"/>
  <c r="AC240" i="2"/>
  <c r="AG240" i="2" s="1"/>
  <c r="AC126" i="2"/>
  <c r="AG126" i="2" s="1"/>
  <c r="AG147" i="2"/>
  <c r="AD147" i="2"/>
  <c r="AD99" i="2"/>
  <c r="AG99" i="2" s="1"/>
  <c r="AC36" i="2"/>
  <c r="AG36" i="2" s="1"/>
  <c r="AD108" i="2"/>
  <c r="AG108" i="2" s="1"/>
  <c r="AC98" i="2"/>
  <c r="AG98" i="2" s="1"/>
  <c r="AC204" i="2"/>
  <c r="AG204" i="2" s="1"/>
  <c r="AC153" i="2"/>
  <c r="AG153" i="2" s="1"/>
  <c r="AC160" i="2"/>
  <c r="AG160" i="2" s="1"/>
  <c r="AC190" i="2"/>
  <c r="AG190" i="2" s="1"/>
  <c r="AC181" i="2"/>
  <c r="AG181" i="2" s="1"/>
  <c r="AC156" i="2"/>
  <c r="AG156" i="2" s="1"/>
  <c r="AC158" i="2"/>
  <c r="AG158" i="2" s="1"/>
  <c r="AG82" i="2"/>
  <c r="AG70" i="2"/>
  <c r="AG92" i="2"/>
  <c r="AG42" i="2"/>
  <c r="AG140" i="2"/>
  <c r="AG97" i="2"/>
  <c r="AG102" i="2"/>
  <c r="AG115" i="2"/>
  <c r="AG45" i="2"/>
  <c r="AG63" i="2"/>
  <c r="AG79" i="2"/>
  <c r="AG49" i="2"/>
  <c r="AG74" i="2"/>
  <c r="AG89" i="2"/>
  <c r="AG94" i="2"/>
  <c r="AG137" i="2"/>
  <c r="AG144" i="2"/>
  <c r="AG77" i="2"/>
  <c r="AG35" i="2"/>
  <c r="AG61" i="2"/>
  <c r="AG122" i="2"/>
  <c r="AG93" i="2"/>
  <c r="AG132" i="2"/>
  <c r="AG51" i="2"/>
  <c r="AG53" i="2"/>
  <c r="AG104" i="2"/>
  <c r="AG50" i="2"/>
  <c r="AG34" i="2"/>
  <c r="AG91" i="2"/>
  <c r="AG141" i="2"/>
  <c r="AG117" i="2"/>
  <c r="AG40" i="2"/>
  <c r="AG96" i="2"/>
  <c r="AG113" i="2"/>
  <c r="AG148" i="2"/>
  <c r="AG111" i="2"/>
  <c r="AG103" i="2"/>
  <c r="AG52" i="2"/>
  <c r="AG133" i="2"/>
  <c r="AG57" i="2"/>
  <c r="AG95" i="2"/>
  <c r="AG128" i="2"/>
  <c r="X35" i="4"/>
  <c r="AG65" i="2"/>
  <c r="AG123" i="2"/>
  <c r="AG41" i="2"/>
  <c r="AG62" i="2"/>
  <c r="W35" i="4"/>
  <c r="I150" i="4"/>
  <c r="L150" i="4" s="1"/>
  <c r="J150" i="4"/>
  <c r="M150" i="4" s="1"/>
  <c r="Q22" i="1"/>
  <c r="S22" i="1" l="1"/>
  <c r="O145" i="7"/>
  <c r="AF146" i="7" s="1"/>
  <c r="M145" i="7"/>
  <c r="AD146" i="7" s="1"/>
  <c r="N145" i="7"/>
  <c r="AE146" i="7" s="1"/>
  <c r="AG32" i="2"/>
  <c r="I151" i="4"/>
  <c r="L151" i="4" s="1"/>
  <c r="J151" i="4"/>
  <c r="M151" i="4" s="1"/>
  <c r="P23" i="1"/>
  <c r="T22" i="1"/>
  <c r="Q23" i="1"/>
  <c r="U22" i="1"/>
  <c r="O24" i="1"/>
  <c r="O25" i="1" s="1"/>
  <c r="S23" i="1"/>
  <c r="N146" i="7" l="1"/>
  <c r="AE147" i="7" s="1"/>
  <c r="M146" i="7"/>
  <c r="AD147" i="7" s="1"/>
  <c r="O146" i="7"/>
  <c r="AF147" i="7" s="1"/>
  <c r="I152" i="4"/>
  <c r="L152" i="4" s="1"/>
  <c r="J152" i="4"/>
  <c r="M152" i="4" s="1"/>
  <c r="V22" i="1"/>
  <c r="W22" i="1" s="1"/>
  <c r="Q24" i="1"/>
  <c r="U23" i="1"/>
  <c r="S24" i="1"/>
  <c r="P24" i="1"/>
  <c r="T23" i="1"/>
  <c r="O147" i="7" l="1"/>
  <c r="AF148" i="7" s="1"/>
  <c r="M147" i="7"/>
  <c r="AD148" i="7" s="1"/>
  <c r="N147" i="7"/>
  <c r="AE148" i="7" s="1"/>
  <c r="I153" i="4"/>
  <c r="L153" i="4" s="1"/>
  <c r="J153" i="4"/>
  <c r="M153" i="4" s="1"/>
  <c r="V23" i="1"/>
  <c r="O26" i="1"/>
  <c r="S25" i="1"/>
  <c r="P25" i="1"/>
  <c r="T24" i="1"/>
  <c r="Q25" i="1"/>
  <c r="U24" i="1"/>
  <c r="M148" i="7" l="1"/>
  <c r="AD149" i="7" s="1"/>
  <c r="N148" i="7"/>
  <c r="AE149" i="7" s="1"/>
  <c r="O148" i="7"/>
  <c r="AF149" i="7" s="1"/>
  <c r="I154" i="4"/>
  <c r="L154" i="4" s="1"/>
  <c r="J154" i="4"/>
  <c r="M154" i="4" s="1"/>
  <c r="X22" i="1"/>
  <c r="Y22" i="1"/>
  <c r="Z22" i="1" s="1"/>
  <c r="O27" i="1"/>
  <c r="S26" i="1"/>
  <c r="Q26" i="1"/>
  <c r="U25" i="1"/>
  <c r="V24" i="1"/>
  <c r="P26" i="1"/>
  <c r="T25" i="1"/>
  <c r="O149" i="7" l="1"/>
  <c r="AF150" i="7" s="1"/>
  <c r="N149" i="7"/>
  <c r="AE150" i="7" s="1"/>
  <c r="M149" i="7"/>
  <c r="AD150" i="7" s="1"/>
  <c r="AA22" i="1"/>
  <c r="AB22" i="1"/>
  <c r="I155" i="4"/>
  <c r="L155" i="4" s="1"/>
  <c r="J155" i="4"/>
  <c r="M155" i="4" s="1"/>
  <c r="AD22" i="1"/>
  <c r="AH22" i="1" s="1"/>
  <c r="V25" i="1"/>
  <c r="Q27" i="1"/>
  <c r="U26" i="1"/>
  <c r="O28" i="1"/>
  <c r="S27" i="1"/>
  <c r="P27" i="1"/>
  <c r="T26" i="1"/>
  <c r="M150" i="7" l="1"/>
  <c r="AD151" i="7" s="1"/>
  <c r="N150" i="7"/>
  <c r="AE151" i="7" s="1"/>
  <c r="O150" i="7"/>
  <c r="AF151" i="7" s="1"/>
  <c r="I156" i="4"/>
  <c r="L156" i="4" s="1"/>
  <c r="J156" i="4"/>
  <c r="M156" i="4" s="1"/>
  <c r="AE22" i="1"/>
  <c r="AI22" i="1" s="1"/>
  <c r="O29" i="1"/>
  <c r="S28" i="1"/>
  <c r="P28" i="1"/>
  <c r="T27" i="1"/>
  <c r="Q28" i="1"/>
  <c r="U27" i="1"/>
  <c r="V26" i="1"/>
  <c r="O151" i="7" l="1"/>
  <c r="AF152" i="7" s="1"/>
  <c r="N151" i="7"/>
  <c r="AE152" i="7" s="1"/>
  <c r="M151" i="7"/>
  <c r="AD152" i="7" s="1"/>
  <c r="I157" i="4"/>
  <c r="L157" i="4" s="1"/>
  <c r="J157" i="4"/>
  <c r="M157" i="4" s="1"/>
  <c r="AC22" i="1"/>
  <c r="V27" i="1"/>
  <c r="Q29" i="1"/>
  <c r="U28" i="1"/>
  <c r="P29" i="1"/>
  <c r="T28" i="1"/>
  <c r="O30" i="1"/>
  <c r="S29" i="1"/>
  <c r="W23" i="1" l="1"/>
  <c r="M152" i="7"/>
  <c r="AD153" i="7" s="1"/>
  <c r="N152" i="7"/>
  <c r="AE153" i="7" s="1"/>
  <c r="O152" i="7"/>
  <c r="AF153" i="7" s="1"/>
  <c r="I158" i="4"/>
  <c r="L158" i="4" s="1"/>
  <c r="J158" i="4"/>
  <c r="M158" i="4" s="1"/>
  <c r="AF22" i="1"/>
  <c r="AJ22" i="1" s="1"/>
  <c r="V28" i="1"/>
  <c r="P30" i="1"/>
  <c r="T29" i="1"/>
  <c r="O31" i="1"/>
  <c r="S30" i="1"/>
  <c r="Q30" i="1"/>
  <c r="U29" i="1"/>
  <c r="Y23" i="1" l="1"/>
  <c r="AD23" i="1" s="1"/>
  <c r="AH23" i="1" s="1"/>
  <c r="X23" i="1"/>
  <c r="M153" i="7"/>
  <c r="AD154" i="7" s="1"/>
  <c r="O153" i="7"/>
  <c r="AF154" i="7" s="1"/>
  <c r="N153" i="7"/>
  <c r="AE154" i="7" s="1"/>
  <c r="I159" i="4"/>
  <c r="L159" i="4" s="1"/>
  <c r="J159" i="4"/>
  <c r="M159" i="4" s="1"/>
  <c r="V29" i="1"/>
  <c r="Q31" i="1"/>
  <c r="U30" i="1"/>
  <c r="O32" i="1"/>
  <c r="S31" i="1"/>
  <c r="P31" i="1"/>
  <c r="T30" i="1"/>
  <c r="Z23" i="1" l="1"/>
  <c r="N154" i="7"/>
  <c r="AE155" i="7" s="1"/>
  <c r="O154" i="7"/>
  <c r="AF155" i="7" s="1"/>
  <c r="M154" i="7"/>
  <c r="AD155" i="7" s="1"/>
  <c r="I160" i="4"/>
  <c r="L160" i="4" s="1"/>
  <c r="J160" i="4"/>
  <c r="M160" i="4" s="1"/>
  <c r="V30" i="1"/>
  <c r="P32" i="1"/>
  <c r="T31" i="1"/>
  <c r="O33" i="1"/>
  <c r="S32" i="1"/>
  <c r="Q32" i="1"/>
  <c r="U31" i="1"/>
  <c r="AA23" i="1" l="1"/>
  <c r="AB23" i="1"/>
  <c r="AE23" i="1"/>
  <c r="AI23" i="1" s="1"/>
  <c r="N155" i="7"/>
  <c r="AE156" i="7" s="1"/>
  <c r="M155" i="7"/>
  <c r="AD156" i="7" s="1"/>
  <c r="O155" i="7"/>
  <c r="AF156" i="7" s="1"/>
  <c r="I161" i="4"/>
  <c r="L161" i="4" s="1"/>
  <c r="J161" i="4"/>
  <c r="M161" i="4" s="1"/>
  <c r="Q33" i="1"/>
  <c r="U32" i="1"/>
  <c r="O34" i="1"/>
  <c r="S33" i="1"/>
  <c r="V31" i="1"/>
  <c r="P33" i="1"/>
  <c r="T32" i="1"/>
  <c r="AC23" i="1" l="1"/>
  <c r="W24" i="1" s="1"/>
  <c r="O156" i="7"/>
  <c r="AF157" i="7" s="1"/>
  <c r="M156" i="7"/>
  <c r="AD157" i="7" s="1"/>
  <c r="N156" i="7"/>
  <c r="AE157" i="7" s="1"/>
  <c r="I162" i="4"/>
  <c r="L162" i="4" s="1"/>
  <c r="J162" i="4"/>
  <c r="M162" i="4" s="1"/>
  <c r="V32" i="1"/>
  <c r="O35" i="1"/>
  <c r="S34" i="1"/>
  <c r="Q34" i="1"/>
  <c r="U33" i="1"/>
  <c r="P34" i="1"/>
  <c r="T33" i="1"/>
  <c r="AF23" i="1" l="1"/>
  <c r="AJ23" i="1" s="1"/>
  <c r="Y24" i="1"/>
  <c r="AD24" i="1" s="1"/>
  <c r="AH24" i="1" s="1"/>
  <c r="X24" i="1"/>
  <c r="N157" i="7"/>
  <c r="AE158" i="7" s="1"/>
  <c r="O157" i="7"/>
  <c r="AF158" i="7" s="1"/>
  <c r="M157" i="7"/>
  <c r="AD158" i="7" s="1"/>
  <c r="I163" i="4"/>
  <c r="L163" i="4" s="1"/>
  <c r="J163" i="4"/>
  <c r="M163" i="4" s="1"/>
  <c r="V33" i="1"/>
  <c r="P35" i="1"/>
  <c r="T34" i="1"/>
  <c r="Q35" i="1"/>
  <c r="U34" i="1"/>
  <c r="O36" i="1"/>
  <c r="S35" i="1"/>
  <c r="Z24" i="1" l="1"/>
  <c r="O158" i="7"/>
  <c r="AF159" i="7" s="1"/>
  <c r="M158" i="7"/>
  <c r="AD159" i="7" s="1"/>
  <c r="N158" i="7"/>
  <c r="AE159" i="7" s="1"/>
  <c r="I164" i="4"/>
  <c r="L164" i="4" s="1"/>
  <c r="J164" i="4"/>
  <c r="M164" i="4" s="1"/>
  <c r="V34" i="1"/>
  <c r="O37" i="1"/>
  <c r="S36" i="1"/>
  <c r="Q36" i="1"/>
  <c r="U35" i="1"/>
  <c r="P36" i="1"/>
  <c r="T35" i="1"/>
  <c r="AA24" i="1" l="1"/>
  <c r="AB24" i="1"/>
  <c r="AE24" i="1"/>
  <c r="AI24" i="1" s="1"/>
  <c r="O159" i="7"/>
  <c r="AF160" i="7" s="1"/>
  <c r="N159" i="7"/>
  <c r="AE160" i="7" s="1"/>
  <c r="M159" i="7"/>
  <c r="AD160" i="7" s="1"/>
  <c r="I165" i="4"/>
  <c r="L165" i="4" s="1"/>
  <c r="J165" i="4"/>
  <c r="M165" i="4" s="1"/>
  <c r="V35" i="1"/>
  <c r="P37" i="1"/>
  <c r="T36" i="1"/>
  <c r="Q37" i="1"/>
  <c r="U36" i="1"/>
  <c r="O38" i="1"/>
  <c r="S37" i="1"/>
  <c r="AC24" i="1" l="1"/>
  <c r="W25" i="1" s="1"/>
  <c r="N160" i="7"/>
  <c r="AE161" i="7" s="1"/>
  <c r="O160" i="7"/>
  <c r="AF161" i="7" s="1"/>
  <c r="M160" i="7"/>
  <c r="AD161" i="7" s="1"/>
  <c r="I166" i="4"/>
  <c r="L166" i="4" s="1"/>
  <c r="J166" i="4"/>
  <c r="M166" i="4" s="1"/>
  <c r="V36" i="1"/>
  <c r="O39" i="1"/>
  <c r="S38" i="1"/>
  <c r="Q38" i="1"/>
  <c r="U37" i="1"/>
  <c r="P38" i="1"/>
  <c r="T37" i="1"/>
  <c r="AF24" i="1" l="1"/>
  <c r="AJ24" i="1" s="1"/>
  <c r="Y25" i="1"/>
  <c r="AD25" i="1" s="1"/>
  <c r="X25" i="1"/>
  <c r="N161" i="7"/>
  <c r="AE162" i="7" s="1"/>
  <c r="M161" i="7"/>
  <c r="AD162" i="7" s="1"/>
  <c r="O161" i="7"/>
  <c r="AF162" i="7" s="1"/>
  <c r="I167" i="4"/>
  <c r="L167" i="4" s="1"/>
  <c r="J167" i="4"/>
  <c r="M167" i="4" s="1"/>
  <c r="V37" i="1"/>
  <c r="P39" i="1"/>
  <c r="T38" i="1"/>
  <c r="Q39" i="1"/>
  <c r="U38" i="1"/>
  <c r="O40" i="1"/>
  <c r="S39" i="1"/>
  <c r="Z25" i="1" l="1"/>
  <c r="AH25" i="1"/>
  <c r="O162" i="7"/>
  <c r="AF163" i="7" s="1"/>
  <c r="N162" i="7"/>
  <c r="AE163" i="7" s="1"/>
  <c r="M162" i="7"/>
  <c r="AD163" i="7" s="1"/>
  <c r="I168" i="4"/>
  <c r="L168" i="4" s="1"/>
  <c r="J168" i="4"/>
  <c r="M168" i="4" s="1"/>
  <c r="V38" i="1"/>
  <c r="O41" i="1"/>
  <c r="S40" i="1"/>
  <c r="Q40" i="1"/>
  <c r="U39" i="1"/>
  <c r="P40" i="1"/>
  <c r="T39" i="1"/>
  <c r="AA25" i="1" l="1"/>
  <c r="AB25" i="1"/>
  <c r="AE25" i="1"/>
  <c r="AI25" i="1" s="1"/>
  <c r="O163" i="7"/>
  <c r="AF164" i="7" s="1"/>
  <c r="N163" i="7"/>
  <c r="AE164" i="7" s="1"/>
  <c r="M163" i="7"/>
  <c r="AD164" i="7" s="1"/>
  <c r="I169" i="4"/>
  <c r="L169" i="4" s="1"/>
  <c r="J169" i="4"/>
  <c r="M169" i="4" s="1"/>
  <c r="P41" i="1"/>
  <c r="T40" i="1"/>
  <c r="Q41" i="1"/>
  <c r="U40" i="1"/>
  <c r="O42" i="1"/>
  <c r="S41" i="1"/>
  <c r="V39" i="1"/>
  <c r="AC25" i="1" l="1"/>
  <c r="W26" i="1" s="1"/>
  <c r="M164" i="7"/>
  <c r="AD165" i="7" s="1"/>
  <c r="N164" i="7"/>
  <c r="AE165" i="7" s="1"/>
  <c r="O164" i="7"/>
  <c r="AF165" i="7" s="1"/>
  <c r="I170" i="4"/>
  <c r="L170" i="4" s="1"/>
  <c r="J170" i="4"/>
  <c r="M170" i="4" s="1"/>
  <c r="V40" i="1"/>
  <c r="O43" i="1"/>
  <c r="S42" i="1"/>
  <c r="Q42" i="1"/>
  <c r="U41" i="1"/>
  <c r="P42" i="1"/>
  <c r="T41" i="1"/>
  <c r="AF25" i="1" l="1"/>
  <c r="AJ25" i="1" s="1"/>
  <c r="Y26" i="1"/>
  <c r="AD26" i="1" s="1"/>
  <c r="X26" i="1"/>
  <c r="O165" i="7"/>
  <c r="AF166" i="7" s="1"/>
  <c r="N165" i="7"/>
  <c r="AE166" i="7" s="1"/>
  <c r="M165" i="7"/>
  <c r="AD166" i="7" s="1"/>
  <c r="I171" i="4"/>
  <c r="L171" i="4" s="1"/>
  <c r="J171" i="4"/>
  <c r="M171" i="4" s="1"/>
  <c r="V41" i="1"/>
  <c r="P43" i="1"/>
  <c r="T42" i="1"/>
  <c r="Q43" i="1"/>
  <c r="U42" i="1"/>
  <c r="O44" i="1"/>
  <c r="S43" i="1"/>
  <c r="Z26" i="1" l="1"/>
  <c r="AA26" i="1" s="1"/>
  <c r="AH26" i="1"/>
  <c r="N166" i="7"/>
  <c r="AE167" i="7" s="1"/>
  <c r="O166" i="7"/>
  <c r="AF167" i="7" s="1"/>
  <c r="M166" i="7"/>
  <c r="AD167" i="7" s="1"/>
  <c r="I172" i="4"/>
  <c r="L172" i="4" s="1"/>
  <c r="J172" i="4"/>
  <c r="M172" i="4" s="1"/>
  <c r="V42" i="1"/>
  <c r="Q44" i="1"/>
  <c r="U43" i="1"/>
  <c r="P44" i="1"/>
  <c r="T43" i="1"/>
  <c r="O45" i="1"/>
  <c r="S44" i="1"/>
  <c r="AB26" i="1" l="1"/>
  <c r="AC26" i="1" s="1"/>
  <c r="AE26" i="1"/>
  <c r="AI26" i="1" s="1"/>
  <c r="M167" i="7"/>
  <c r="AD168" i="7" s="1"/>
  <c r="O167" i="7"/>
  <c r="AF168" i="7" s="1"/>
  <c r="N167" i="7"/>
  <c r="AE168" i="7" s="1"/>
  <c r="I173" i="4"/>
  <c r="L173" i="4" s="1"/>
  <c r="J173" i="4"/>
  <c r="M173" i="4" s="1"/>
  <c r="V43" i="1"/>
  <c r="P45" i="1"/>
  <c r="T44" i="1"/>
  <c r="Q45" i="1"/>
  <c r="U44" i="1"/>
  <c r="O46" i="1"/>
  <c r="S45" i="1"/>
  <c r="W27" i="1" l="1"/>
  <c r="Y27" i="1" s="1"/>
  <c r="AD27" i="1" s="1"/>
  <c r="AF26" i="1"/>
  <c r="AJ26" i="1" s="1"/>
  <c r="N168" i="7"/>
  <c r="AE169" i="7" s="1"/>
  <c r="O168" i="7"/>
  <c r="AF169" i="7" s="1"/>
  <c r="M168" i="7"/>
  <c r="AD169" i="7" s="1"/>
  <c r="I174" i="4"/>
  <c r="L174" i="4" s="1"/>
  <c r="J174" i="4"/>
  <c r="M174" i="4" s="1"/>
  <c r="V44" i="1"/>
  <c r="O47" i="1"/>
  <c r="S46" i="1"/>
  <c r="Q46" i="1"/>
  <c r="U45" i="1"/>
  <c r="P46" i="1"/>
  <c r="T45" i="1"/>
  <c r="X27" i="1" l="1"/>
  <c r="Z27" i="1" s="1"/>
  <c r="AH27" i="1"/>
  <c r="O169" i="7"/>
  <c r="AF170" i="7" s="1"/>
  <c r="N169" i="7"/>
  <c r="AE170" i="7" s="1"/>
  <c r="M169" i="7"/>
  <c r="AD170" i="7" s="1"/>
  <c r="I175" i="4"/>
  <c r="L175" i="4" s="1"/>
  <c r="J175" i="4"/>
  <c r="M175" i="4" s="1"/>
  <c r="V45" i="1"/>
  <c r="P47" i="1"/>
  <c r="T46" i="1"/>
  <c r="Q47" i="1"/>
  <c r="U46" i="1"/>
  <c r="O48" i="1"/>
  <c r="S47" i="1"/>
  <c r="AB27" i="1" l="1"/>
  <c r="AE27" i="1"/>
  <c r="AI27" i="1" s="1"/>
  <c r="AA27" i="1"/>
  <c r="M170" i="7"/>
  <c r="AD171" i="7" s="1"/>
  <c r="O170" i="7"/>
  <c r="AF171" i="7" s="1"/>
  <c r="N170" i="7"/>
  <c r="AE171" i="7" s="1"/>
  <c r="J176" i="4"/>
  <c r="M176" i="4" s="1"/>
  <c r="I176" i="4"/>
  <c r="L176" i="4" s="1"/>
  <c r="V46" i="1"/>
  <c r="O49" i="1"/>
  <c r="S48" i="1"/>
  <c r="Q48" i="1"/>
  <c r="U47" i="1"/>
  <c r="P48" i="1"/>
  <c r="T47" i="1"/>
  <c r="AC27" i="1" l="1"/>
  <c r="W28" i="1" s="1"/>
  <c r="Y28" i="1" s="1"/>
  <c r="AD28" i="1" s="1"/>
  <c r="O171" i="7"/>
  <c r="AF172" i="7" s="1"/>
  <c r="N171" i="7"/>
  <c r="AE172" i="7" s="1"/>
  <c r="M171" i="7"/>
  <c r="AD172" i="7" s="1"/>
  <c r="I177" i="4"/>
  <c r="L177" i="4" s="1"/>
  <c r="J177" i="4"/>
  <c r="M177" i="4" s="1"/>
  <c r="V47" i="1"/>
  <c r="Q49" i="1"/>
  <c r="U48" i="1"/>
  <c r="P49" i="1"/>
  <c r="T48" i="1"/>
  <c r="O50" i="1"/>
  <c r="S49" i="1"/>
  <c r="X28" i="1" l="1"/>
  <c r="AF27" i="1"/>
  <c r="AJ27" i="1" s="1"/>
  <c r="Z28" i="1"/>
  <c r="AH28" i="1"/>
  <c r="N172" i="7"/>
  <c r="AE173" i="7" s="1"/>
  <c r="M172" i="7"/>
  <c r="AD173" i="7" s="1"/>
  <c r="O172" i="7"/>
  <c r="AF173" i="7" s="1"/>
  <c r="J178" i="4"/>
  <c r="M178" i="4" s="1"/>
  <c r="I178" i="4"/>
  <c r="L178" i="4" s="1"/>
  <c r="V48" i="1"/>
  <c r="P50" i="1"/>
  <c r="T49" i="1"/>
  <c r="Q50" i="1"/>
  <c r="U49" i="1"/>
  <c r="O51" i="1"/>
  <c r="S50" i="1"/>
  <c r="AA28" i="1" l="1"/>
  <c r="AB28" i="1"/>
  <c r="AE28" i="1"/>
  <c r="AI28" i="1" s="1"/>
  <c r="O173" i="7"/>
  <c r="AF174" i="7" s="1"/>
  <c r="M173" i="7"/>
  <c r="AD174" i="7" s="1"/>
  <c r="N173" i="7"/>
  <c r="AE174" i="7" s="1"/>
  <c r="I179" i="4"/>
  <c r="L179" i="4" s="1"/>
  <c r="J179" i="4"/>
  <c r="M179" i="4" s="1"/>
  <c r="V49" i="1"/>
  <c r="O52" i="1"/>
  <c r="S51" i="1"/>
  <c r="Q51" i="1"/>
  <c r="U50" i="1"/>
  <c r="P51" i="1"/>
  <c r="T50" i="1"/>
  <c r="AC28" i="1" l="1"/>
  <c r="W29" i="1"/>
  <c r="AF28" i="1"/>
  <c r="AJ28" i="1" s="1"/>
  <c r="N174" i="7"/>
  <c r="AE175" i="7" s="1"/>
  <c r="M174" i="7"/>
  <c r="AD175" i="7" s="1"/>
  <c r="O174" i="7"/>
  <c r="AF175" i="7" s="1"/>
  <c r="I180" i="4"/>
  <c r="L180" i="4" s="1"/>
  <c r="J180" i="4"/>
  <c r="M180" i="4" s="1"/>
  <c r="V50" i="1"/>
  <c r="Q52" i="1"/>
  <c r="U51" i="1"/>
  <c r="P52" i="1"/>
  <c r="T51" i="1"/>
  <c r="O53" i="1"/>
  <c r="S52" i="1"/>
  <c r="Y29" i="1" l="1"/>
  <c r="AD29" i="1" s="1"/>
  <c r="X29" i="1"/>
  <c r="O175" i="7"/>
  <c r="AF176" i="7" s="1"/>
  <c r="M175" i="7"/>
  <c r="AD176" i="7" s="1"/>
  <c r="N175" i="7"/>
  <c r="AE176" i="7" s="1"/>
  <c r="I181" i="4"/>
  <c r="L181" i="4" s="1"/>
  <c r="J181" i="4"/>
  <c r="M181" i="4" s="1"/>
  <c r="V51" i="1"/>
  <c r="O54" i="1"/>
  <c r="S53" i="1"/>
  <c r="P53" i="1"/>
  <c r="T52" i="1"/>
  <c r="Q53" i="1"/>
  <c r="U52" i="1"/>
  <c r="Z29" i="1" l="1"/>
  <c r="AA29" i="1" s="1"/>
  <c r="AH29" i="1"/>
  <c r="M176" i="7"/>
  <c r="AD177" i="7" s="1"/>
  <c r="O176" i="7"/>
  <c r="AF177" i="7" s="1"/>
  <c r="N176" i="7"/>
  <c r="AE177" i="7" s="1"/>
  <c r="I182" i="4"/>
  <c r="L182" i="4" s="1"/>
  <c r="J182" i="4"/>
  <c r="M182" i="4" s="1"/>
  <c r="V52" i="1"/>
  <c r="Q54" i="1"/>
  <c r="U53" i="1"/>
  <c r="P54" i="1"/>
  <c r="T53" i="1"/>
  <c r="O55" i="1"/>
  <c r="S54" i="1"/>
  <c r="AE29" i="1" l="1"/>
  <c r="AI29" i="1" s="1"/>
  <c r="AB29" i="1"/>
  <c r="AC29" i="1" s="1"/>
  <c r="N177" i="7"/>
  <c r="AE178" i="7" s="1"/>
  <c r="O177" i="7"/>
  <c r="AF178" i="7" s="1"/>
  <c r="M177" i="7"/>
  <c r="AD178" i="7" s="1"/>
  <c r="I183" i="4"/>
  <c r="L183" i="4" s="1"/>
  <c r="J183" i="4"/>
  <c r="M183" i="4" s="1"/>
  <c r="V53" i="1"/>
  <c r="O56" i="1"/>
  <c r="S55" i="1"/>
  <c r="P55" i="1"/>
  <c r="T54" i="1"/>
  <c r="Q55" i="1"/>
  <c r="U54" i="1"/>
  <c r="AF29" i="1" l="1"/>
  <c r="AJ29" i="1" s="1"/>
  <c r="W30" i="1"/>
  <c r="X30" i="1" s="1"/>
  <c r="M178" i="7"/>
  <c r="AD179" i="7" s="1"/>
  <c r="N178" i="7"/>
  <c r="AE179" i="7" s="1"/>
  <c r="O178" i="7"/>
  <c r="AF179" i="7" s="1"/>
  <c r="J184" i="4"/>
  <c r="M184" i="4" s="1"/>
  <c r="I184" i="4"/>
  <c r="L184" i="4" s="1"/>
  <c r="V54" i="1"/>
  <c r="Q56" i="1"/>
  <c r="U55" i="1"/>
  <c r="P56" i="1"/>
  <c r="T55" i="1"/>
  <c r="O57" i="1"/>
  <c r="S56" i="1"/>
  <c r="Y30" i="1" l="1"/>
  <c r="AD30" i="1" s="1"/>
  <c r="AH30" i="1" s="1"/>
  <c r="O179" i="7"/>
  <c r="AF180" i="7" s="1"/>
  <c r="M179" i="7"/>
  <c r="AD180" i="7" s="1"/>
  <c r="N179" i="7"/>
  <c r="AE180" i="7" s="1"/>
  <c r="J185" i="4"/>
  <c r="M185" i="4" s="1"/>
  <c r="I185" i="4"/>
  <c r="L185" i="4" s="1"/>
  <c r="V55" i="1"/>
  <c r="O58" i="1"/>
  <c r="S57" i="1"/>
  <c r="P57" i="1"/>
  <c r="T56" i="1"/>
  <c r="Q57" i="1"/>
  <c r="U56" i="1"/>
  <c r="Z30" i="1" l="1"/>
  <c r="AA30" i="1" s="1"/>
  <c r="M180" i="7"/>
  <c r="AD181" i="7" s="1"/>
  <c r="O180" i="7"/>
  <c r="AF181" i="7" s="1"/>
  <c r="N180" i="7"/>
  <c r="AE181" i="7" s="1"/>
  <c r="J186" i="4"/>
  <c r="M186" i="4" s="1"/>
  <c r="I186" i="4"/>
  <c r="L186" i="4" s="1"/>
  <c r="Q58" i="1"/>
  <c r="U57" i="1"/>
  <c r="V56" i="1"/>
  <c r="P58" i="1"/>
  <c r="T57" i="1"/>
  <c r="O59" i="1"/>
  <c r="S58" i="1"/>
  <c r="AE30" i="1" l="1"/>
  <c r="AI30" i="1" s="1"/>
  <c r="AB30" i="1"/>
  <c r="AC30" i="1" s="1"/>
  <c r="W31" i="1" s="1"/>
  <c r="N181" i="7"/>
  <c r="AE182" i="7" s="1"/>
  <c r="O181" i="7"/>
  <c r="AF182" i="7" s="1"/>
  <c r="M181" i="7"/>
  <c r="AD182" i="7" s="1"/>
  <c r="I187" i="4"/>
  <c r="L187" i="4" s="1"/>
  <c r="J187" i="4"/>
  <c r="M187" i="4" s="1"/>
  <c r="V57" i="1"/>
  <c r="Q59" i="1"/>
  <c r="U58" i="1"/>
  <c r="P59" i="1"/>
  <c r="T58" i="1"/>
  <c r="O60" i="1"/>
  <c r="S59" i="1"/>
  <c r="AF30" i="1" l="1"/>
  <c r="AJ30" i="1" s="1"/>
  <c r="Y31" i="1"/>
  <c r="AD31" i="1" s="1"/>
  <c r="X31" i="1"/>
  <c r="O182" i="7"/>
  <c r="AF183" i="7" s="1"/>
  <c r="M182" i="7"/>
  <c r="AD183" i="7" s="1"/>
  <c r="N182" i="7"/>
  <c r="AE183" i="7" s="1"/>
  <c r="I188" i="4"/>
  <c r="L188" i="4" s="1"/>
  <c r="J188" i="4"/>
  <c r="M188" i="4" s="1"/>
  <c r="P60" i="1"/>
  <c r="T59" i="1"/>
  <c r="O61" i="1"/>
  <c r="S60" i="1"/>
  <c r="Q60" i="1"/>
  <c r="U59" i="1"/>
  <c r="V58" i="1"/>
  <c r="Z31" i="1" l="1"/>
  <c r="AA31" i="1" s="1"/>
  <c r="AH31" i="1"/>
  <c r="N183" i="7"/>
  <c r="AE184" i="7" s="1"/>
  <c r="M183" i="7"/>
  <c r="AD184" i="7" s="1"/>
  <c r="O183" i="7"/>
  <c r="AF184" i="7" s="1"/>
  <c r="I189" i="4"/>
  <c r="L189" i="4" s="1"/>
  <c r="J189" i="4"/>
  <c r="M189" i="4" s="1"/>
  <c r="V59" i="1"/>
  <c r="Q61" i="1"/>
  <c r="U60" i="1"/>
  <c r="O62" i="1"/>
  <c r="S61" i="1"/>
  <c r="P61" i="1"/>
  <c r="T60" i="1"/>
  <c r="AB31" i="1" l="1"/>
  <c r="AC31" i="1" s="1"/>
  <c r="AE31" i="1"/>
  <c r="AI31" i="1" s="1"/>
  <c r="O184" i="7"/>
  <c r="AF185" i="7" s="1"/>
  <c r="M184" i="7"/>
  <c r="AD185" i="7" s="1"/>
  <c r="N184" i="7"/>
  <c r="AE185" i="7" s="1"/>
  <c r="J190" i="4"/>
  <c r="M190" i="4" s="1"/>
  <c r="I190" i="4"/>
  <c r="L190" i="4" s="1"/>
  <c r="V60" i="1"/>
  <c r="P62" i="1"/>
  <c r="T61" i="1"/>
  <c r="O63" i="1"/>
  <c r="S62" i="1"/>
  <c r="Q62" i="1"/>
  <c r="U61" i="1"/>
  <c r="W32" i="1" l="1"/>
  <c r="Y32" i="1" s="1"/>
  <c r="AD32" i="1" s="1"/>
  <c r="AF31" i="1"/>
  <c r="AJ31" i="1" s="1"/>
  <c r="O185" i="7"/>
  <c r="AF186" i="7" s="1"/>
  <c r="N185" i="7"/>
  <c r="AE186" i="7" s="1"/>
  <c r="M185" i="7"/>
  <c r="AD186" i="7" s="1"/>
  <c r="I191" i="4"/>
  <c r="L191" i="4" s="1"/>
  <c r="J191" i="4"/>
  <c r="M191" i="4" s="1"/>
  <c r="V61" i="1"/>
  <c r="O64" i="1"/>
  <c r="S63" i="1"/>
  <c r="Q63" i="1"/>
  <c r="U62" i="1"/>
  <c r="P63" i="1"/>
  <c r="T62" i="1"/>
  <c r="X32" i="1" l="1"/>
  <c r="Z32" i="1" s="1"/>
  <c r="AA32" i="1" s="1"/>
  <c r="AH32" i="1"/>
  <c r="N186" i="7"/>
  <c r="AE187" i="7" s="1"/>
  <c r="O186" i="7"/>
  <c r="AF187" i="7" s="1"/>
  <c r="M186" i="7"/>
  <c r="AD187" i="7" s="1"/>
  <c r="I192" i="4"/>
  <c r="L192" i="4" s="1"/>
  <c r="J192" i="4"/>
  <c r="M192" i="4" s="1"/>
  <c r="V62" i="1"/>
  <c r="P64" i="1"/>
  <c r="T63" i="1"/>
  <c r="Q64" i="1"/>
  <c r="U63" i="1"/>
  <c r="O65" i="1"/>
  <c r="S64" i="1"/>
  <c r="AE32" i="1" l="1"/>
  <c r="AI32" i="1" s="1"/>
  <c r="AB32" i="1"/>
  <c r="AC32" i="1" s="1"/>
  <c r="N187" i="7"/>
  <c r="AE188" i="7" s="1"/>
  <c r="M187" i="7"/>
  <c r="AD188" i="7" s="1"/>
  <c r="O187" i="7"/>
  <c r="AF188" i="7" s="1"/>
  <c r="I193" i="4"/>
  <c r="L193" i="4" s="1"/>
  <c r="J193" i="4"/>
  <c r="M193" i="4" s="1"/>
  <c r="V63" i="1"/>
  <c r="Q65" i="1"/>
  <c r="U64" i="1"/>
  <c r="O66" i="1"/>
  <c r="S65" i="1"/>
  <c r="P65" i="1"/>
  <c r="T64" i="1"/>
  <c r="AF32" i="1" l="1"/>
  <c r="AJ32" i="1" s="1"/>
  <c r="W33" i="1"/>
  <c r="Y33" i="1" s="1"/>
  <c r="AD33" i="1" s="1"/>
  <c r="M188" i="7"/>
  <c r="AD189" i="7" s="1"/>
  <c r="N188" i="7"/>
  <c r="AE189" i="7" s="1"/>
  <c r="O188" i="7"/>
  <c r="AF189" i="7" s="1"/>
  <c r="J194" i="4"/>
  <c r="M194" i="4" s="1"/>
  <c r="I194" i="4"/>
  <c r="L194" i="4" s="1"/>
  <c r="P66" i="1"/>
  <c r="T65" i="1"/>
  <c r="V64" i="1"/>
  <c r="O67" i="1"/>
  <c r="S66" i="1"/>
  <c r="Q66" i="1"/>
  <c r="U65" i="1"/>
  <c r="X33" i="1" l="1"/>
  <c r="Z33" i="1" s="1"/>
  <c r="AA33" i="1" s="1"/>
  <c r="AH33" i="1"/>
  <c r="O189" i="7"/>
  <c r="AF190" i="7" s="1"/>
  <c r="N189" i="7"/>
  <c r="AE190" i="7" s="1"/>
  <c r="M189" i="7"/>
  <c r="AD190" i="7" s="1"/>
  <c r="I195" i="4"/>
  <c r="L195" i="4" s="1"/>
  <c r="J195" i="4"/>
  <c r="M195" i="4" s="1"/>
  <c r="V65" i="1"/>
  <c r="O68" i="1"/>
  <c r="S67" i="1"/>
  <c r="P67" i="1"/>
  <c r="T66" i="1"/>
  <c r="Q67" i="1"/>
  <c r="U66" i="1"/>
  <c r="AE33" i="1" l="1"/>
  <c r="AI33" i="1" s="1"/>
  <c r="AB33" i="1"/>
  <c r="AC33" i="1" s="1"/>
  <c r="N190" i="7"/>
  <c r="AE191" i="7" s="1"/>
  <c r="M190" i="7"/>
  <c r="AD191" i="7" s="1"/>
  <c r="O190" i="7"/>
  <c r="AF191" i="7" s="1"/>
  <c r="I196" i="4"/>
  <c r="L196" i="4" s="1"/>
  <c r="J196" i="4"/>
  <c r="M196" i="4" s="1"/>
  <c r="Q68" i="1"/>
  <c r="U67" i="1"/>
  <c r="P68" i="1"/>
  <c r="T67" i="1"/>
  <c r="O69" i="1"/>
  <c r="S68" i="1"/>
  <c r="V66" i="1"/>
  <c r="AF33" i="1" l="1"/>
  <c r="AJ33" i="1" s="1"/>
  <c r="W34" i="1"/>
  <c r="X34" i="1" s="1"/>
  <c r="M191" i="7"/>
  <c r="AD192" i="7" s="1"/>
  <c r="O191" i="7"/>
  <c r="AF192" i="7" s="1"/>
  <c r="N191" i="7"/>
  <c r="AE192" i="7" s="1"/>
  <c r="I197" i="4"/>
  <c r="L197" i="4" s="1"/>
  <c r="J197" i="4"/>
  <c r="M197" i="4" s="1"/>
  <c r="V67" i="1"/>
  <c r="P69" i="1"/>
  <c r="T68" i="1"/>
  <c r="Q69" i="1"/>
  <c r="U68" i="1"/>
  <c r="O70" i="1"/>
  <c r="S69" i="1"/>
  <c r="Y34" i="1" l="1"/>
  <c r="AD34" i="1" s="1"/>
  <c r="AH34" i="1" s="1"/>
  <c r="O192" i="7"/>
  <c r="AF193" i="7" s="1"/>
  <c r="M192" i="7"/>
  <c r="AD193" i="7" s="1"/>
  <c r="N192" i="7"/>
  <c r="AE193" i="7" s="1"/>
  <c r="J198" i="4"/>
  <c r="M198" i="4" s="1"/>
  <c r="I198" i="4"/>
  <c r="L198" i="4" s="1"/>
  <c r="V68" i="1"/>
  <c r="O71" i="1"/>
  <c r="S70" i="1"/>
  <c r="Q70" i="1"/>
  <c r="U69" i="1"/>
  <c r="P70" i="1"/>
  <c r="T69" i="1"/>
  <c r="Z34" i="1" l="1"/>
  <c r="N193" i="7"/>
  <c r="AE194" i="7" s="1"/>
  <c r="M193" i="7"/>
  <c r="AD194" i="7" s="1"/>
  <c r="O193" i="7"/>
  <c r="AF194" i="7" s="1"/>
  <c r="I199" i="4"/>
  <c r="L199" i="4" s="1"/>
  <c r="J199" i="4"/>
  <c r="M199" i="4" s="1"/>
  <c r="V69" i="1"/>
  <c r="P71" i="1"/>
  <c r="T70" i="1"/>
  <c r="Q71" i="1"/>
  <c r="U70" i="1"/>
  <c r="O72" i="1"/>
  <c r="S71" i="1"/>
  <c r="AB34" i="1" l="1"/>
  <c r="AA34" i="1"/>
  <c r="AE34" i="1"/>
  <c r="AI34" i="1" s="1"/>
  <c r="N194" i="7"/>
  <c r="AE195" i="7" s="1"/>
  <c r="O194" i="7"/>
  <c r="AF195" i="7" s="1"/>
  <c r="M194" i="7"/>
  <c r="AD195" i="7" s="1"/>
  <c r="I200" i="4"/>
  <c r="L200" i="4" s="1"/>
  <c r="J200" i="4"/>
  <c r="M200" i="4" s="1"/>
  <c r="V70" i="1"/>
  <c r="O73" i="1"/>
  <c r="S72" i="1"/>
  <c r="Q72" i="1"/>
  <c r="U71" i="1"/>
  <c r="P72" i="1"/>
  <c r="T71" i="1"/>
  <c r="AC34" i="1" l="1"/>
  <c r="AF34" i="1" s="1"/>
  <c r="AJ34" i="1" s="1"/>
  <c r="O195" i="7"/>
  <c r="AF196" i="7" s="1"/>
  <c r="M195" i="7"/>
  <c r="AD196" i="7" s="1"/>
  <c r="N195" i="7"/>
  <c r="AE196" i="7" s="1"/>
  <c r="I201" i="4"/>
  <c r="L201" i="4" s="1"/>
  <c r="J201" i="4"/>
  <c r="M201" i="4" s="1"/>
  <c r="V71" i="1"/>
  <c r="P73" i="1"/>
  <c r="T72" i="1"/>
  <c r="Q73" i="1"/>
  <c r="U72" i="1"/>
  <c r="O74" i="1"/>
  <c r="S73" i="1"/>
  <c r="W35" i="1" l="1"/>
  <c r="Y35" i="1" s="1"/>
  <c r="AD35" i="1" s="1"/>
  <c r="AH35" i="1" s="1"/>
  <c r="M196" i="7"/>
  <c r="AD197" i="7" s="1"/>
  <c r="N196" i="7"/>
  <c r="AE197" i="7" s="1"/>
  <c r="O196" i="7"/>
  <c r="AF197" i="7" s="1"/>
  <c r="J202" i="4"/>
  <c r="M202" i="4" s="1"/>
  <c r="I202" i="4"/>
  <c r="L202" i="4" s="1"/>
  <c r="V72" i="1"/>
  <c r="P74" i="1"/>
  <c r="T73" i="1"/>
  <c r="Q74" i="1"/>
  <c r="U73" i="1"/>
  <c r="O75" i="1"/>
  <c r="S74" i="1"/>
  <c r="X35" i="1" l="1"/>
  <c r="Z35" i="1" s="1"/>
  <c r="AE35" i="1" s="1"/>
  <c r="AI35" i="1" s="1"/>
  <c r="O197" i="7"/>
  <c r="AF198" i="7" s="1"/>
  <c r="N197" i="7"/>
  <c r="AE198" i="7" s="1"/>
  <c r="M197" i="7"/>
  <c r="AD198" i="7" s="1"/>
  <c r="I203" i="4"/>
  <c r="L203" i="4" s="1"/>
  <c r="J203" i="4"/>
  <c r="M203" i="4" s="1"/>
  <c r="Q75" i="1"/>
  <c r="U74" i="1"/>
  <c r="O76" i="1"/>
  <c r="S75" i="1"/>
  <c r="V73" i="1"/>
  <c r="P75" i="1"/>
  <c r="T74" i="1"/>
  <c r="AB35" i="1" l="1"/>
  <c r="AA35" i="1"/>
  <c r="M198" i="7"/>
  <c r="AD199" i="7" s="1"/>
  <c r="N198" i="7"/>
  <c r="AE199" i="7" s="1"/>
  <c r="O198" i="7"/>
  <c r="AF199" i="7" s="1"/>
  <c r="I204" i="4"/>
  <c r="L204" i="4" s="1"/>
  <c r="J204" i="4"/>
  <c r="M204" i="4" s="1"/>
  <c r="V74" i="1"/>
  <c r="O77" i="1"/>
  <c r="S76" i="1"/>
  <c r="Q76" i="1"/>
  <c r="U75" i="1"/>
  <c r="P76" i="1"/>
  <c r="T75" i="1"/>
  <c r="AC35" i="1" l="1"/>
  <c r="W36" i="1" s="1"/>
  <c r="X36" i="1" s="1"/>
  <c r="M199" i="7"/>
  <c r="AD200" i="7" s="1"/>
  <c r="O199" i="7"/>
  <c r="AF200" i="7" s="1"/>
  <c r="N199" i="7"/>
  <c r="AE200" i="7" s="1"/>
  <c r="I205" i="4"/>
  <c r="L205" i="4" s="1"/>
  <c r="J205" i="4"/>
  <c r="M205" i="4" s="1"/>
  <c r="V75" i="1"/>
  <c r="Q77" i="1"/>
  <c r="U76" i="1"/>
  <c r="P77" i="1"/>
  <c r="T76" i="1"/>
  <c r="O78" i="1"/>
  <c r="S77" i="1"/>
  <c r="Y36" i="1" l="1"/>
  <c r="AD36" i="1" s="1"/>
  <c r="AH36" i="1" s="1"/>
  <c r="AF35" i="1"/>
  <c r="AJ35" i="1" s="1"/>
  <c r="N200" i="7"/>
  <c r="AE201" i="7" s="1"/>
  <c r="M200" i="7"/>
  <c r="AD201" i="7" s="1"/>
  <c r="O200" i="7"/>
  <c r="AF201" i="7" s="1"/>
  <c r="J206" i="4"/>
  <c r="M206" i="4" s="1"/>
  <c r="I206" i="4"/>
  <c r="L206" i="4" s="1"/>
  <c r="V76" i="1"/>
  <c r="O79" i="1"/>
  <c r="S78" i="1"/>
  <c r="P78" i="1"/>
  <c r="T77" i="1"/>
  <c r="Q78" i="1"/>
  <c r="U77" i="1"/>
  <c r="Z36" i="1" l="1"/>
  <c r="AB36" i="1" s="1"/>
  <c r="O201" i="7"/>
  <c r="AF202" i="7" s="1"/>
  <c r="M201" i="7"/>
  <c r="AD202" i="7" s="1"/>
  <c r="N201" i="7"/>
  <c r="AE202" i="7" s="1"/>
  <c r="I207" i="4"/>
  <c r="L207" i="4" s="1"/>
  <c r="J207" i="4"/>
  <c r="M207" i="4" s="1"/>
  <c r="V77" i="1"/>
  <c r="Q79" i="1"/>
  <c r="U78" i="1"/>
  <c r="P79" i="1"/>
  <c r="T78" i="1"/>
  <c r="O80" i="1"/>
  <c r="S79" i="1"/>
  <c r="AE36" i="1" l="1"/>
  <c r="AI36" i="1" s="1"/>
  <c r="AA36" i="1"/>
  <c r="AC36" i="1" s="1"/>
  <c r="AF36" i="1" s="1"/>
  <c r="AJ36" i="1" s="1"/>
  <c r="N202" i="7"/>
  <c r="AE203" i="7" s="1"/>
  <c r="M202" i="7"/>
  <c r="AD203" i="7" s="1"/>
  <c r="O202" i="7"/>
  <c r="AF203" i="7" s="1"/>
  <c r="I208" i="4"/>
  <c r="L208" i="4" s="1"/>
  <c r="J208" i="4"/>
  <c r="M208" i="4" s="1"/>
  <c r="V78" i="1"/>
  <c r="O81" i="1"/>
  <c r="S80" i="1"/>
  <c r="P80" i="1"/>
  <c r="T79" i="1"/>
  <c r="Q80" i="1"/>
  <c r="U79" i="1"/>
  <c r="W37" i="1" l="1"/>
  <c r="X37" i="1" s="1"/>
  <c r="O203" i="7"/>
  <c r="AF204" i="7" s="1"/>
  <c r="M203" i="7"/>
  <c r="AD204" i="7" s="1"/>
  <c r="N203" i="7"/>
  <c r="AE204" i="7" s="1"/>
  <c r="I209" i="4"/>
  <c r="L209" i="4" s="1"/>
  <c r="J209" i="4"/>
  <c r="M209" i="4" s="1"/>
  <c r="P81" i="1"/>
  <c r="T80" i="1"/>
  <c r="V79" i="1"/>
  <c r="Q81" i="1"/>
  <c r="U80" i="1"/>
  <c r="O82" i="1"/>
  <c r="S81" i="1"/>
  <c r="Y37" i="1" l="1"/>
  <c r="AD37" i="1" s="1"/>
  <c r="AH37" i="1" s="1"/>
  <c r="N204" i="7"/>
  <c r="AE205" i="7" s="1"/>
  <c r="M204" i="7"/>
  <c r="AD205" i="7" s="1"/>
  <c r="O204" i="7"/>
  <c r="AF205" i="7" s="1"/>
  <c r="J210" i="4"/>
  <c r="M210" i="4" s="1"/>
  <c r="I210" i="4"/>
  <c r="L210" i="4" s="1"/>
  <c r="Q82" i="1"/>
  <c r="U81" i="1"/>
  <c r="V80" i="1"/>
  <c r="P82" i="1"/>
  <c r="T81" i="1"/>
  <c r="O83" i="1"/>
  <c r="S82" i="1"/>
  <c r="Z37" i="1" l="1"/>
  <c r="AA37" i="1" s="1"/>
  <c r="O205" i="7"/>
  <c r="AF206" i="7" s="1"/>
  <c r="M205" i="7"/>
  <c r="AD206" i="7" s="1"/>
  <c r="N205" i="7"/>
  <c r="AE206" i="7" s="1"/>
  <c r="I211" i="4"/>
  <c r="L211" i="4" s="1"/>
  <c r="J211" i="4"/>
  <c r="M211" i="4" s="1"/>
  <c r="V81" i="1"/>
  <c r="Q83" i="1"/>
  <c r="U82" i="1"/>
  <c r="P83" i="1"/>
  <c r="T82" i="1"/>
  <c r="O84" i="1"/>
  <c r="S83" i="1"/>
  <c r="AE37" i="1" l="1"/>
  <c r="AI37" i="1" s="1"/>
  <c r="AB37" i="1"/>
  <c r="AC37" i="1" s="1"/>
  <c r="AF37" i="1" s="1"/>
  <c r="AJ37" i="1" s="1"/>
  <c r="N206" i="7"/>
  <c r="AE207" i="7" s="1"/>
  <c r="M206" i="7"/>
  <c r="AD207" i="7" s="1"/>
  <c r="O206" i="7"/>
  <c r="AF207" i="7" s="1"/>
  <c r="I212" i="4"/>
  <c r="L212" i="4" s="1"/>
  <c r="J212" i="4"/>
  <c r="M212" i="4" s="1"/>
  <c r="Q84" i="1"/>
  <c r="U83" i="1"/>
  <c r="O85" i="1"/>
  <c r="S84" i="1"/>
  <c r="P84" i="1"/>
  <c r="T83" i="1"/>
  <c r="V82" i="1"/>
  <c r="W38" i="1" l="1"/>
  <c r="Y38" i="1" s="1"/>
  <c r="AD38" i="1" s="1"/>
  <c r="AH38" i="1" s="1"/>
  <c r="M207" i="7"/>
  <c r="AD208" i="7" s="1"/>
  <c r="N207" i="7"/>
  <c r="AE208" i="7" s="1"/>
  <c r="O207" i="7"/>
  <c r="AF208" i="7" s="1"/>
  <c r="I213" i="4"/>
  <c r="L213" i="4" s="1"/>
  <c r="J213" i="4"/>
  <c r="M213" i="4" s="1"/>
  <c r="V83" i="1"/>
  <c r="P85" i="1"/>
  <c r="T84" i="1"/>
  <c r="O86" i="1"/>
  <c r="S85" i="1"/>
  <c r="Q85" i="1"/>
  <c r="U84" i="1"/>
  <c r="X38" i="1" l="1"/>
  <c r="Z38" i="1" s="1"/>
  <c r="AE38" i="1" s="1"/>
  <c r="AI38" i="1" s="1"/>
  <c r="O208" i="7"/>
  <c r="AF209" i="7" s="1"/>
  <c r="N208" i="7"/>
  <c r="AE209" i="7" s="1"/>
  <c r="M208" i="7"/>
  <c r="AD209" i="7" s="1"/>
  <c r="J214" i="4"/>
  <c r="M214" i="4" s="1"/>
  <c r="I214" i="4"/>
  <c r="L214" i="4" s="1"/>
  <c r="V84" i="1"/>
  <c r="Q86" i="1"/>
  <c r="U85" i="1"/>
  <c r="P86" i="1"/>
  <c r="T85" i="1"/>
  <c r="O87" i="1"/>
  <c r="S86" i="1"/>
  <c r="AB38" i="1" l="1"/>
  <c r="AA38" i="1"/>
  <c r="M209" i="7"/>
  <c r="AD210" i="7" s="1"/>
  <c r="N209" i="7"/>
  <c r="AE210" i="7" s="1"/>
  <c r="O209" i="7"/>
  <c r="AF210" i="7" s="1"/>
  <c r="I215" i="4"/>
  <c r="L215" i="4" s="1"/>
  <c r="J215" i="4"/>
  <c r="M215" i="4" s="1"/>
  <c r="V85" i="1"/>
  <c r="P87" i="1"/>
  <c r="T86" i="1"/>
  <c r="O88" i="1"/>
  <c r="S87" i="1"/>
  <c r="Q87" i="1"/>
  <c r="U86" i="1"/>
  <c r="AC38" i="1" l="1"/>
  <c r="AF38" i="1" s="1"/>
  <c r="AJ38" i="1" s="1"/>
  <c r="W39" i="1"/>
  <c r="X39" i="1" s="1"/>
  <c r="N210" i="7"/>
  <c r="AE211" i="7" s="1"/>
  <c r="O210" i="7"/>
  <c r="AF211" i="7" s="1"/>
  <c r="M210" i="7"/>
  <c r="AD211" i="7" s="1"/>
  <c r="I216" i="4"/>
  <c r="L216" i="4" s="1"/>
  <c r="J216" i="4"/>
  <c r="M216" i="4" s="1"/>
  <c r="V86" i="1"/>
  <c r="Q88" i="1"/>
  <c r="U87" i="1"/>
  <c r="O89" i="1"/>
  <c r="S88" i="1"/>
  <c r="P88" i="1"/>
  <c r="T87" i="1"/>
  <c r="Y39" i="1" l="1"/>
  <c r="N211" i="7"/>
  <c r="AE212" i="7" s="1"/>
  <c r="M211" i="7"/>
  <c r="AD212" i="7" s="1"/>
  <c r="O211" i="7"/>
  <c r="AF212" i="7" s="1"/>
  <c r="I217" i="4"/>
  <c r="L217" i="4" s="1"/>
  <c r="J217" i="4"/>
  <c r="M217" i="4" s="1"/>
  <c r="P89" i="1"/>
  <c r="T88" i="1"/>
  <c r="O90" i="1"/>
  <c r="S89" i="1"/>
  <c r="Q89" i="1"/>
  <c r="U88" i="1"/>
  <c r="V87" i="1"/>
  <c r="AD39" i="1" l="1"/>
  <c r="AH39" i="1" s="1"/>
  <c r="Z39" i="1"/>
  <c r="N212" i="7"/>
  <c r="AE213" i="7" s="1"/>
  <c r="O212" i="7"/>
  <c r="AF213" i="7" s="1"/>
  <c r="M212" i="7"/>
  <c r="AD213" i="7" s="1"/>
  <c r="J218" i="4"/>
  <c r="M218" i="4" s="1"/>
  <c r="I218" i="4"/>
  <c r="L218" i="4" s="1"/>
  <c r="V88" i="1"/>
  <c r="Q90" i="1"/>
  <c r="U89" i="1"/>
  <c r="O91" i="1"/>
  <c r="S90" i="1"/>
  <c r="P90" i="1"/>
  <c r="T89" i="1"/>
  <c r="AA39" i="1" l="1"/>
  <c r="AB39" i="1"/>
  <c r="AE39" i="1"/>
  <c r="AI39" i="1" s="1"/>
  <c r="M213" i="7"/>
  <c r="AD214" i="7" s="1"/>
  <c r="O213" i="7"/>
  <c r="AF214" i="7" s="1"/>
  <c r="N213" i="7"/>
  <c r="AE214" i="7" s="1"/>
  <c r="J219" i="4"/>
  <c r="M219" i="4" s="1"/>
  <c r="I219" i="4"/>
  <c r="L219" i="4" s="1"/>
  <c r="V89" i="1"/>
  <c r="P91" i="1"/>
  <c r="T90" i="1"/>
  <c r="O92" i="1"/>
  <c r="S91" i="1"/>
  <c r="Q91" i="1"/>
  <c r="U90" i="1"/>
  <c r="AC39" i="1" l="1"/>
  <c r="AF39" i="1" s="1"/>
  <c r="AJ39" i="1" s="1"/>
  <c r="M214" i="7"/>
  <c r="AD215" i="7" s="1"/>
  <c r="N214" i="7"/>
  <c r="AE215" i="7" s="1"/>
  <c r="O214" i="7"/>
  <c r="AF215" i="7" s="1"/>
  <c r="I220" i="4"/>
  <c r="L220" i="4" s="1"/>
  <c r="J220" i="4"/>
  <c r="M220" i="4" s="1"/>
  <c r="V90" i="1"/>
  <c r="Q92" i="1"/>
  <c r="U91" i="1"/>
  <c r="O93" i="1"/>
  <c r="S92" i="1"/>
  <c r="P92" i="1"/>
  <c r="T91" i="1"/>
  <c r="W40" i="1" l="1"/>
  <c r="Y40" i="1" s="1"/>
  <c r="M215" i="7"/>
  <c r="AD216" i="7" s="1"/>
  <c r="O215" i="7"/>
  <c r="AF216" i="7" s="1"/>
  <c r="N215" i="7"/>
  <c r="AE216" i="7" s="1"/>
  <c r="I221" i="4"/>
  <c r="L221" i="4" s="1"/>
  <c r="J221" i="4"/>
  <c r="M221" i="4" s="1"/>
  <c r="V91" i="1"/>
  <c r="P93" i="1"/>
  <c r="T92" i="1"/>
  <c r="O94" i="1"/>
  <c r="S93" i="1"/>
  <c r="Q93" i="1"/>
  <c r="U92" i="1"/>
  <c r="X40" i="1" l="1"/>
  <c r="Z40" i="1" s="1"/>
  <c r="AD40" i="1"/>
  <c r="AH40" i="1" s="1"/>
  <c r="N216" i="7"/>
  <c r="AE217" i="7" s="1"/>
  <c r="O216" i="7"/>
  <c r="AF217" i="7" s="1"/>
  <c r="M216" i="7"/>
  <c r="AD217" i="7" s="1"/>
  <c r="I222" i="4"/>
  <c r="L222" i="4" s="1"/>
  <c r="J222" i="4"/>
  <c r="M222" i="4" s="1"/>
  <c r="V92" i="1"/>
  <c r="P94" i="1"/>
  <c r="T93" i="1"/>
  <c r="Q94" i="1"/>
  <c r="U93" i="1"/>
  <c r="O95" i="1"/>
  <c r="S94" i="1"/>
  <c r="AB40" i="1" l="1"/>
  <c r="AE40" i="1"/>
  <c r="AI40" i="1" s="1"/>
  <c r="AA40" i="1"/>
  <c r="AC40" i="1" s="1"/>
  <c r="M217" i="7"/>
  <c r="AD218" i="7" s="1"/>
  <c r="O217" i="7"/>
  <c r="AF218" i="7" s="1"/>
  <c r="N217" i="7"/>
  <c r="AE218" i="7" s="1"/>
  <c r="I223" i="4"/>
  <c r="L223" i="4" s="1"/>
  <c r="J223" i="4"/>
  <c r="M223" i="4" s="1"/>
  <c r="V93" i="1"/>
  <c r="O96" i="1"/>
  <c r="S95" i="1"/>
  <c r="Q95" i="1"/>
  <c r="U94" i="1"/>
  <c r="P95" i="1"/>
  <c r="T94" i="1"/>
  <c r="AF40" i="1" l="1"/>
  <c r="AJ40" i="1" s="1"/>
  <c r="W41" i="1"/>
  <c r="N218" i="7"/>
  <c r="AE219" i="7" s="1"/>
  <c r="O218" i="7"/>
  <c r="AF219" i="7" s="1"/>
  <c r="M218" i="7"/>
  <c r="AD219" i="7" s="1"/>
  <c r="I224" i="4"/>
  <c r="L224" i="4" s="1"/>
  <c r="J224" i="4"/>
  <c r="M224" i="4" s="1"/>
  <c r="V94" i="1"/>
  <c r="P96" i="1"/>
  <c r="T95" i="1"/>
  <c r="Q96" i="1"/>
  <c r="U95" i="1"/>
  <c r="O97" i="1"/>
  <c r="S96" i="1"/>
  <c r="Y41" i="1" l="1"/>
  <c r="X41" i="1"/>
  <c r="M219" i="7"/>
  <c r="AD220" i="7" s="1"/>
  <c r="O219" i="7"/>
  <c r="AF220" i="7" s="1"/>
  <c r="N219" i="7"/>
  <c r="AE220" i="7" s="1"/>
  <c r="J225" i="4"/>
  <c r="M225" i="4" s="1"/>
  <c r="I225" i="4"/>
  <c r="L225" i="4" s="1"/>
  <c r="V95" i="1"/>
  <c r="O98" i="1"/>
  <c r="S97" i="1"/>
  <c r="Q97" i="1"/>
  <c r="U96" i="1"/>
  <c r="P97" i="1"/>
  <c r="T96" i="1"/>
  <c r="AD41" i="1" l="1"/>
  <c r="AH41" i="1" s="1"/>
  <c r="Z41" i="1"/>
  <c r="N220" i="7"/>
  <c r="AE221" i="7" s="1"/>
  <c r="O220" i="7"/>
  <c r="AF221" i="7" s="1"/>
  <c r="M220" i="7"/>
  <c r="AD221" i="7" s="1"/>
  <c r="J226" i="4"/>
  <c r="M226" i="4" s="1"/>
  <c r="I226" i="4"/>
  <c r="L226" i="4" s="1"/>
  <c r="P98" i="1"/>
  <c r="T97" i="1"/>
  <c r="Q98" i="1"/>
  <c r="U97" i="1"/>
  <c r="V96" i="1"/>
  <c r="O99" i="1"/>
  <c r="S98" i="1"/>
  <c r="AA41" i="1" l="1"/>
  <c r="AB41" i="1"/>
  <c r="AC41" i="1" s="1"/>
  <c r="AE41" i="1"/>
  <c r="AI41" i="1" s="1"/>
  <c r="O221" i="7"/>
  <c r="AF222" i="7" s="1"/>
  <c r="M221" i="7"/>
  <c r="AD222" i="7" s="1"/>
  <c r="N221" i="7"/>
  <c r="AE222" i="7" s="1"/>
  <c r="I227" i="4"/>
  <c r="L227" i="4" s="1"/>
  <c r="J227" i="4"/>
  <c r="M227" i="4" s="1"/>
  <c r="V97" i="1"/>
  <c r="Q99" i="1"/>
  <c r="U98" i="1"/>
  <c r="P99" i="1"/>
  <c r="T98" i="1"/>
  <c r="O100" i="1"/>
  <c r="S99" i="1"/>
  <c r="AF41" i="1" l="1"/>
  <c r="AJ41" i="1" s="1"/>
  <c r="W42" i="1"/>
  <c r="N222" i="7"/>
  <c r="AE223" i="7" s="1"/>
  <c r="M222" i="7"/>
  <c r="AD223" i="7" s="1"/>
  <c r="O222" i="7"/>
  <c r="AF223" i="7" s="1"/>
  <c r="I228" i="4"/>
  <c r="L228" i="4" s="1"/>
  <c r="J228" i="4"/>
  <c r="M228" i="4" s="1"/>
  <c r="O101" i="1"/>
  <c r="S100" i="1"/>
  <c r="V98" i="1"/>
  <c r="P100" i="1"/>
  <c r="T99" i="1"/>
  <c r="Q100" i="1"/>
  <c r="U99" i="1"/>
  <c r="Y42" i="1" l="1"/>
  <c r="X42" i="1"/>
  <c r="O223" i="7"/>
  <c r="AF224" i="7" s="1"/>
  <c r="M223" i="7"/>
  <c r="AD224" i="7" s="1"/>
  <c r="N223" i="7"/>
  <c r="AE224" i="7" s="1"/>
  <c r="I229" i="4"/>
  <c r="L229" i="4" s="1"/>
  <c r="J229" i="4"/>
  <c r="M229" i="4" s="1"/>
  <c r="V99" i="1"/>
  <c r="P101" i="1"/>
  <c r="T100" i="1"/>
  <c r="O102" i="1"/>
  <c r="S101" i="1"/>
  <c r="Q101" i="1"/>
  <c r="U100" i="1"/>
  <c r="AD42" i="1" l="1"/>
  <c r="AH42" i="1" s="1"/>
  <c r="Z42" i="1"/>
  <c r="N224" i="7"/>
  <c r="AE225" i="7" s="1"/>
  <c r="M224" i="7"/>
  <c r="AD225" i="7" s="1"/>
  <c r="O224" i="7"/>
  <c r="AF225" i="7" s="1"/>
  <c r="I230" i="4"/>
  <c r="L230" i="4" s="1"/>
  <c r="J230" i="4"/>
  <c r="M230" i="4" s="1"/>
  <c r="V100" i="1"/>
  <c r="P102" i="1"/>
  <c r="T101" i="1"/>
  <c r="O103" i="1"/>
  <c r="S102" i="1"/>
  <c r="Q102" i="1"/>
  <c r="U101" i="1"/>
  <c r="AB42" i="1" l="1"/>
  <c r="AA42" i="1"/>
  <c r="AE42" i="1"/>
  <c r="AI42" i="1" s="1"/>
  <c r="O225" i="7"/>
  <c r="AF226" i="7" s="1"/>
  <c r="M225" i="7"/>
  <c r="AD226" i="7" s="1"/>
  <c r="N225" i="7"/>
  <c r="AE226" i="7" s="1"/>
  <c r="I231" i="4"/>
  <c r="L231" i="4" s="1"/>
  <c r="J231" i="4"/>
  <c r="M231" i="4" s="1"/>
  <c r="V101" i="1"/>
  <c r="Q103" i="1"/>
  <c r="U102" i="1"/>
  <c r="O104" i="1"/>
  <c r="S103" i="1"/>
  <c r="P103" i="1"/>
  <c r="T102" i="1"/>
  <c r="AC42" i="1" l="1"/>
  <c r="AF42" i="1" s="1"/>
  <c r="AJ42" i="1" s="1"/>
  <c r="O226" i="7"/>
  <c r="AF227" i="7" s="1"/>
  <c r="N226" i="7"/>
  <c r="AE227" i="7" s="1"/>
  <c r="M226" i="7"/>
  <c r="AD227" i="7" s="1"/>
  <c r="I232" i="4"/>
  <c r="L232" i="4" s="1"/>
  <c r="J232" i="4"/>
  <c r="M232" i="4" s="1"/>
  <c r="V102" i="1"/>
  <c r="P104" i="1"/>
  <c r="T103" i="1"/>
  <c r="O105" i="1"/>
  <c r="S104" i="1"/>
  <c r="Q104" i="1"/>
  <c r="U103" i="1"/>
  <c r="W43" i="1" l="1"/>
  <c r="X43" i="1" s="1"/>
  <c r="M227" i="7"/>
  <c r="AD228" i="7" s="1"/>
  <c r="N227" i="7"/>
  <c r="AE228" i="7" s="1"/>
  <c r="O227" i="7"/>
  <c r="AF228" i="7" s="1"/>
  <c r="I233" i="4"/>
  <c r="L233" i="4" s="1"/>
  <c r="J233" i="4"/>
  <c r="M233" i="4" s="1"/>
  <c r="V103" i="1"/>
  <c r="Q105" i="1"/>
  <c r="U104" i="1"/>
  <c r="O106" i="1"/>
  <c r="S105" i="1"/>
  <c r="P105" i="1"/>
  <c r="T104" i="1"/>
  <c r="Y43" i="1" l="1"/>
  <c r="AD43" i="1" s="1"/>
  <c r="AH43" i="1" s="1"/>
  <c r="N228" i="7"/>
  <c r="AE229" i="7" s="1"/>
  <c r="O228" i="7"/>
  <c r="AF229" i="7" s="1"/>
  <c r="M228" i="7"/>
  <c r="AD229" i="7" s="1"/>
  <c r="J234" i="4"/>
  <c r="M234" i="4" s="1"/>
  <c r="I234" i="4"/>
  <c r="L234" i="4" s="1"/>
  <c r="V104" i="1"/>
  <c r="O107" i="1"/>
  <c r="S106" i="1"/>
  <c r="Q106" i="1"/>
  <c r="U105" i="1"/>
  <c r="P106" i="1"/>
  <c r="T105" i="1"/>
  <c r="Z43" i="1" l="1"/>
  <c r="AE43" i="1" s="1"/>
  <c r="AI43" i="1" s="1"/>
  <c r="O229" i="7"/>
  <c r="M229" i="7"/>
  <c r="N229" i="7"/>
  <c r="J235" i="4"/>
  <c r="M235" i="4" s="1"/>
  <c r="I235" i="4"/>
  <c r="L235" i="4" s="1"/>
  <c r="P107" i="1"/>
  <c r="T106" i="1"/>
  <c r="V105" i="1"/>
  <c r="Q107" i="1"/>
  <c r="U106" i="1"/>
  <c r="O108" i="1"/>
  <c r="S107" i="1"/>
  <c r="AA43" i="1" l="1"/>
  <c r="AB43" i="1"/>
  <c r="N230" i="7"/>
  <c r="AE230" i="7"/>
  <c r="M230" i="7"/>
  <c r="AD230" i="7"/>
  <c r="O230" i="7"/>
  <c r="AF230" i="7"/>
  <c r="I236" i="4"/>
  <c r="L236" i="4" s="1"/>
  <c r="J236" i="4"/>
  <c r="M236" i="4" s="1"/>
  <c r="V106" i="1"/>
  <c r="P108" i="1"/>
  <c r="T107" i="1"/>
  <c r="Q108" i="1"/>
  <c r="U107" i="1"/>
  <c r="O109" i="1"/>
  <c r="S108" i="1"/>
  <c r="AC43" i="1" l="1"/>
  <c r="AF43" i="1" s="1"/>
  <c r="AJ43" i="1" s="1"/>
  <c r="W44" i="1"/>
  <c r="X44" i="1" s="1"/>
  <c r="O231" i="7"/>
  <c r="AF231" i="7"/>
  <c r="N231" i="7"/>
  <c r="AE231" i="7"/>
  <c r="M231" i="7"/>
  <c r="AD231" i="7"/>
  <c r="I237" i="4"/>
  <c r="L237" i="4" s="1"/>
  <c r="J237" i="4"/>
  <c r="M237" i="4" s="1"/>
  <c r="V107" i="1"/>
  <c r="Q109" i="1"/>
  <c r="U108" i="1"/>
  <c r="P109" i="1"/>
  <c r="T108" i="1"/>
  <c r="O110" i="1"/>
  <c r="S109" i="1"/>
  <c r="Y44" i="1" l="1"/>
  <c r="AD44" i="1" s="1"/>
  <c r="AH44" i="1" s="1"/>
  <c r="O232" i="7"/>
  <c r="AF232" i="7"/>
  <c r="M232" i="7"/>
  <c r="AD232" i="7"/>
  <c r="AE232" i="7"/>
  <c r="N232" i="7"/>
  <c r="I238" i="4"/>
  <c r="L238" i="4" s="1"/>
  <c r="J238" i="4"/>
  <c r="M238" i="4" s="1"/>
  <c r="V108" i="1"/>
  <c r="O111" i="1"/>
  <c r="S110" i="1"/>
  <c r="P110" i="1"/>
  <c r="T109" i="1"/>
  <c r="Q110" i="1"/>
  <c r="U109" i="1"/>
  <c r="Z44" i="1" l="1"/>
  <c r="AB44" i="1" s="1"/>
  <c r="N233" i="7"/>
  <c r="AE233" i="7"/>
  <c r="M233" i="7"/>
  <c r="AD233" i="7"/>
  <c r="O233" i="7"/>
  <c r="AF233" i="7"/>
  <c r="I239" i="4"/>
  <c r="L239" i="4" s="1"/>
  <c r="J239" i="4"/>
  <c r="M239" i="4" s="1"/>
  <c r="V109" i="1"/>
  <c r="Q111" i="1"/>
  <c r="U110" i="1"/>
  <c r="P111" i="1"/>
  <c r="T110" i="1"/>
  <c r="O112" i="1"/>
  <c r="S111" i="1"/>
  <c r="AA44" i="1" l="1"/>
  <c r="AC44" i="1" s="1"/>
  <c r="AE44" i="1"/>
  <c r="AI44" i="1" s="1"/>
  <c r="I240" i="4"/>
  <c r="L240" i="4" s="1"/>
  <c r="J240" i="4"/>
  <c r="M240" i="4" s="1"/>
  <c r="V110" i="1"/>
  <c r="O113" i="1"/>
  <c r="S112" i="1"/>
  <c r="P112" i="1"/>
  <c r="T111" i="1"/>
  <c r="Q112" i="1"/>
  <c r="U111" i="1"/>
  <c r="AF44" i="1" l="1"/>
  <c r="AJ44" i="1" s="1"/>
  <c r="W45" i="1"/>
  <c r="J241" i="4"/>
  <c r="M241" i="4" s="1"/>
  <c r="I241" i="4"/>
  <c r="L241" i="4" s="1"/>
  <c r="Q113" i="1"/>
  <c r="U112" i="1"/>
  <c r="V111" i="1"/>
  <c r="P113" i="1"/>
  <c r="T112" i="1"/>
  <c r="O114" i="1"/>
  <c r="S113" i="1"/>
  <c r="Y45" i="1" l="1"/>
  <c r="AD45" i="1" s="1"/>
  <c r="AH45" i="1" s="1"/>
  <c r="X45" i="1"/>
  <c r="J242" i="4"/>
  <c r="M242" i="4" s="1"/>
  <c r="I242" i="4"/>
  <c r="L242" i="4" s="1"/>
  <c r="V112" i="1"/>
  <c r="P114" i="1"/>
  <c r="T113" i="1"/>
  <c r="Q114" i="1"/>
  <c r="U113" i="1"/>
  <c r="O115" i="1"/>
  <c r="S114" i="1"/>
  <c r="Z45" i="1" l="1"/>
  <c r="AB45" i="1" s="1"/>
  <c r="I243" i="4"/>
  <c r="L243" i="4" s="1"/>
  <c r="J243" i="4"/>
  <c r="M243" i="4" s="1"/>
  <c r="O116" i="1"/>
  <c r="S115" i="1"/>
  <c r="V113" i="1"/>
  <c r="Q115" i="1"/>
  <c r="U114" i="1"/>
  <c r="P115" i="1"/>
  <c r="T114" i="1"/>
  <c r="AE45" i="1" l="1"/>
  <c r="AI45" i="1" s="1"/>
  <c r="AA45" i="1"/>
  <c r="AC45" i="1" s="1"/>
  <c r="AF45" i="1" s="1"/>
  <c r="AJ45" i="1" s="1"/>
  <c r="J244" i="4"/>
  <c r="M244" i="4" s="1"/>
  <c r="I244" i="4"/>
  <c r="L244" i="4" s="1"/>
  <c r="V114" i="1"/>
  <c r="Q116" i="1"/>
  <c r="U115" i="1"/>
  <c r="O117" i="1"/>
  <c r="S116" i="1"/>
  <c r="P116" i="1"/>
  <c r="T115" i="1"/>
  <c r="W46" i="1" l="1"/>
  <c r="X46" i="1" s="1"/>
  <c r="I245" i="4"/>
  <c r="L245" i="4" s="1"/>
  <c r="J245" i="4"/>
  <c r="M245" i="4" s="1"/>
  <c r="V115" i="1"/>
  <c r="P117" i="1"/>
  <c r="T116" i="1"/>
  <c r="O118" i="1"/>
  <c r="S117" i="1"/>
  <c r="Q117" i="1"/>
  <c r="U116" i="1"/>
  <c r="Y46" i="1" l="1"/>
  <c r="AD46" i="1" s="1"/>
  <c r="AH46" i="1" s="1"/>
  <c r="I246" i="4"/>
  <c r="L246" i="4" s="1"/>
  <c r="J246" i="4"/>
  <c r="M246" i="4" s="1"/>
  <c r="V116" i="1"/>
  <c r="O119" i="1"/>
  <c r="S118" i="1"/>
  <c r="Q118" i="1"/>
  <c r="U117" i="1"/>
  <c r="P118" i="1"/>
  <c r="T117" i="1"/>
  <c r="Z46" i="1" l="1"/>
  <c r="AA46" i="1" s="1"/>
  <c r="J247" i="4"/>
  <c r="M247" i="4" s="1"/>
  <c r="I247" i="4"/>
  <c r="L247" i="4" s="1"/>
  <c r="V117" i="1"/>
  <c r="P119" i="1"/>
  <c r="T118" i="1"/>
  <c r="Q119" i="1"/>
  <c r="U118" i="1"/>
  <c r="O120" i="1"/>
  <c r="S119" i="1"/>
  <c r="AB46" i="1" l="1"/>
  <c r="AC46" i="1" s="1"/>
  <c r="AE46" i="1"/>
  <c r="AI46" i="1" s="1"/>
  <c r="J248" i="4"/>
  <c r="M248" i="4" s="1"/>
  <c r="I248" i="4"/>
  <c r="L248" i="4" s="1"/>
  <c r="V118" i="1"/>
  <c r="O121" i="1"/>
  <c r="S120" i="1"/>
  <c r="Q120" i="1"/>
  <c r="U119" i="1"/>
  <c r="P120" i="1"/>
  <c r="T119" i="1"/>
  <c r="AF46" i="1" l="1"/>
  <c r="AJ46" i="1" s="1"/>
  <c r="W47" i="1"/>
  <c r="X47" i="1" s="1"/>
  <c r="I249" i="4"/>
  <c r="L249" i="4" s="1"/>
  <c r="J249" i="4"/>
  <c r="M249" i="4" s="1"/>
  <c r="V119" i="1"/>
  <c r="P121" i="1"/>
  <c r="T120" i="1"/>
  <c r="Q121" i="1"/>
  <c r="U120" i="1"/>
  <c r="O122" i="1"/>
  <c r="S121" i="1"/>
  <c r="Y47" i="1" l="1"/>
  <c r="Z47" i="1" s="1"/>
  <c r="V120" i="1"/>
  <c r="P122" i="1"/>
  <c r="T121" i="1"/>
  <c r="O123" i="1"/>
  <c r="S122" i="1"/>
  <c r="Q122" i="1"/>
  <c r="U121" i="1"/>
  <c r="AD47" i="1" l="1"/>
  <c r="AH47" i="1" s="1"/>
  <c r="AA47" i="1"/>
  <c r="AB47" i="1"/>
  <c r="AE47" i="1"/>
  <c r="AI47" i="1" s="1"/>
  <c r="V121" i="1"/>
  <c r="O124" i="1"/>
  <c r="S123" i="1"/>
  <c r="P123" i="1"/>
  <c r="T122" i="1"/>
  <c r="Q123" i="1"/>
  <c r="U122" i="1"/>
  <c r="AC47" i="1" l="1"/>
  <c r="AF47" i="1" s="1"/>
  <c r="AJ47" i="1" s="1"/>
  <c r="W48" i="1"/>
  <c r="V122" i="1"/>
  <c r="O125" i="1"/>
  <c r="S124" i="1"/>
  <c r="P124" i="1"/>
  <c r="T123" i="1"/>
  <c r="Q124" i="1"/>
  <c r="U123" i="1"/>
  <c r="Y48" i="1" l="1"/>
  <c r="X48" i="1"/>
  <c r="V123" i="1"/>
  <c r="Q125" i="1"/>
  <c r="U124" i="1"/>
  <c r="P125" i="1"/>
  <c r="T124" i="1"/>
  <c r="O126" i="1"/>
  <c r="S125" i="1"/>
  <c r="Z48" i="1" l="1"/>
  <c r="AD48" i="1"/>
  <c r="AH48" i="1" s="1"/>
  <c r="V124" i="1"/>
  <c r="P126" i="1"/>
  <c r="T125" i="1"/>
  <c r="Q126" i="1"/>
  <c r="U125" i="1"/>
  <c r="O127" i="1"/>
  <c r="S126" i="1"/>
  <c r="AB48" i="1" l="1"/>
  <c r="AA48" i="1"/>
  <c r="AE48" i="1"/>
  <c r="AI48" i="1" s="1"/>
  <c r="V125" i="1"/>
  <c r="O128" i="1"/>
  <c r="S127" i="1"/>
  <c r="Q127" i="1"/>
  <c r="U126" i="1"/>
  <c r="P127" i="1"/>
  <c r="T126" i="1"/>
  <c r="AC48" i="1" l="1"/>
  <c r="AF48" i="1" s="1"/>
  <c r="AJ48" i="1" s="1"/>
  <c r="W49" i="1"/>
  <c r="V126" i="1"/>
  <c r="P128" i="1"/>
  <c r="T127" i="1"/>
  <c r="Q128" i="1"/>
  <c r="U127" i="1"/>
  <c r="O129" i="1"/>
  <c r="S128" i="1"/>
  <c r="X49" i="1" l="1"/>
  <c r="Y49" i="1"/>
  <c r="V127" i="1"/>
  <c r="P129" i="1"/>
  <c r="T128" i="1"/>
  <c r="O130" i="1"/>
  <c r="S129" i="1"/>
  <c r="Q129" i="1"/>
  <c r="U128" i="1"/>
  <c r="AD49" i="1" l="1"/>
  <c r="AH49" i="1" s="1"/>
  <c r="Z49" i="1"/>
  <c r="P130" i="1"/>
  <c r="T129" i="1"/>
  <c r="Q130" i="1"/>
  <c r="U129" i="1"/>
  <c r="O131" i="1"/>
  <c r="S130" i="1"/>
  <c r="V128" i="1"/>
  <c r="AB49" i="1" l="1"/>
  <c r="AA49" i="1"/>
  <c r="AE49" i="1"/>
  <c r="AI49" i="1" s="1"/>
  <c r="V129" i="1"/>
  <c r="O132" i="1"/>
  <c r="S131" i="1"/>
  <c r="Q131" i="1"/>
  <c r="U130" i="1"/>
  <c r="P131" i="1"/>
  <c r="T130" i="1"/>
  <c r="AC49" i="1" l="1"/>
  <c r="AF49" i="1" s="1"/>
  <c r="AJ49" i="1" s="1"/>
  <c r="V130" i="1"/>
  <c r="P132" i="1"/>
  <c r="T131" i="1"/>
  <c r="Q132" i="1"/>
  <c r="U131" i="1"/>
  <c r="O133" i="1"/>
  <c r="S132" i="1"/>
  <c r="W50" i="1" l="1"/>
  <c r="Y50" i="1" s="1"/>
  <c r="V131" i="1"/>
  <c r="O134" i="1"/>
  <c r="S133" i="1"/>
  <c r="Q133" i="1"/>
  <c r="U132" i="1"/>
  <c r="P133" i="1"/>
  <c r="T132" i="1"/>
  <c r="X50" i="1" l="1"/>
  <c r="Z50" i="1" s="1"/>
  <c r="AD50" i="1"/>
  <c r="AH50" i="1" s="1"/>
  <c r="V132" i="1"/>
  <c r="P134" i="1"/>
  <c r="T133" i="1"/>
  <c r="Q134" i="1"/>
  <c r="U133" i="1"/>
  <c r="O135" i="1"/>
  <c r="S134" i="1"/>
  <c r="AA50" i="1" l="1"/>
  <c r="AE50" i="1"/>
  <c r="AI50" i="1" s="1"/>
  <c r="AB50" i="1"/>
  <c r="V133" i="1"/>
  <c r="Q135" i="1"/>
  <c r="U134" i="1"/>
  <c r="P135" i="1"/>
  <c r="T134" i="1"/>
  <c r="O136" i="1"/>
  <c r="S135" i="1"/>
  <c r="AC50" i="1" l="1"/>
  <c r="AF50" i="1" s="1"/>
  <c r="AJ50" i="1" s="1"/>
  <c r="W51" i="1"/>
  <c r="V134" i="1"/>
  <c r="O137" i="1"/>
  <c r="S136" i="1"/>
  <c r="P136" i="1"/>
  <c r="T135" i="1"/>
  <c r="Q136" i="1"/>
  <c r="U135" i="1"/>
  <c r="Y51" i="1" l="1"/>
  <c r="X51" i="1"/>
  <c r="S137" i="1"/>
  <c r="O138" i="1"/>
  <c r="V135" i="1"/>
  <c r="Q137" i="1"/>
  <c r="U136" i="1"/>
  <c r="P137" i="1"/>
  <c r="T136" i="1"/>
  <c r="Z51" i="1" l="1"/>
  <c r="AD51" i="1"/>
  <c r="AH51" i="1" s="1"/>
  <c r="U137" i="1"/>
  <c r="Q138" i="1"/>
  <c r="S138" i="1"/>
  <c r="O139" i="1"/>
  <c r="T137" i="1"/>
  <c r="P138" i="1"/>
  <c r="V136" i="1"/>
  <c r="AB51" i="1" l="1"/>
  <c r="AE51" i="1"/>
  <c r="AI51" i="1" s="1"/>
  <c r="AA51" i="1"/>
  <c r="V137" i="1"/>
  <c r="T138" i="1"/>
  <c r="P139" i="1"/>
  <c r="O140" i="1"/>
  <c r="S139" i="1"/>
  <c r="U138" i="1"/>
  <c r="Q139" i="1"/>
  <c r="AC51" i="1" l="1"/>
  <c r="AF51" i="1" s="1"/>
  <c r="AJ51" i="1" s="1"/>
  <c r="W52" i="1"/>
  <c r="V138" i="1"/>
  <c r="O141" i="1"/>
  <c r="S140" i="1"/>
  <c r="T139" i="1"/>
  <c r="P140" i="1"/>
  <c r="Q140" i="1"/>
  <c r="U139" i="1"/>
  <c r="Y52" i="1" l="1"/>
  <c r="AD52" i="1" s="1"/>
  <c r="AH52" i="1" s="1"/>
  <c r="X52" i="1"/>
  <c r="Z52" i="1" s="1"/>
  <c r="P141" i="1"/>
  <c r="T140" i="1"/>
  <c r="O142" i="1"/>
  <c r="S141" i="1"/>
  <c r="U140" i="1"/>
  <c r="Q141" i="1"/>
  <c r="V139" i="1"/>
  <c r="AA52" i="1" l="1"/>
  <c r="AB52" i="1"/>
  <c r="AE52" i="1"/>
  <c r="AI52" i="1" s="1"/>
  <c r="V140" i="1"/>
  <c r="S142" i="1"/>
  <c r="O143" i="1"/>
  <c r="Q142" i="1"/>
  <c r="U141" i="1"/>
  <c r="T141" i="1"/>
  <c r="P142" i="1"/>
  <c r="AC52" i="1" l="1"/>
  <c r="AF52" i="1" s="1"/>
  <c r="AJ52" i="1" s="1"/>
  <c r="T142" i="1"/>
  <c r="P143" i="1"/>
  <c r="V141" i="1"/>
  <c r="S143" i="1"/>
  <c r="O144" i="1"/>
  <c r="U142" i="1"/>
  <c r="Q143" i="1"/>
  <c r="W53" i="1" l="1"/>
  <c r="X53" i="1" s="1"/>
  <c r="Q144" i="1"/>
  <c r="U143" i="1"/>
  <c r="V142" i="1"/>
  <c r="S144" i="1"/>
  <c r="O145" i="1"/>
  <c r="T143" i="1"/>
  <c r="P144" i="1"/>
  <c r="Y53" i="1" l="1"/>
  <c r="AD53" i="1" s="1"/>
  <c r="AH53" i="1" s="1"/>
  <c r="U144" i="1"/>
  <c r="Q145" i="1"/>
  <c r="P145" i="1"/>
  <c r="T144" i="1"/>
  <c r="S145" i="1"/>
  <c r="O146" i="1"/>
  <c r="V143" i="1"/>
  <c r="Z53" i="1" l="1"/>
  <c r="AB53" i="1" s="1"/>
  <c r="V144" i="1"/>
  <c r="T145" i="1"/>
  <c r="P146" i="1"/>
  <c r="U145" i="1"/>
  <c r="Q146" i="1"/>
  <c r="O147" i="1"/>
  <c r="S146" i="1"/>
  <c r="AA53" i="1" l="1"/>
  <c r="AC53" i="1" s="1"/>
  <c r="W54" i="1" s="1"/>
  <c r="AE53" i="1"/>
  <c r="AI53" i="1" s="1"/>
  <c r="T146" i="1"/>
  <c r="P147" i="1"/>
  <c r="S147" i="1"/>
  <c r="O148" i="1"/>
  <c r="U146" i="1"/>
  <c r="Q147" i="1"/>
  <c r="V145" i="1"/>
  <c r="AF53" i="1" l="1"/>
  <c r="AJ53" i="1" s="1"/>
  <c r="Y54" i="1"/>
  <c r="X54" i="1"/>
  <c r="T147" i="1"/>
  <c r="P148" i="1"/>
  <c r="S148" i="1"/>
  <c r="O149" i="1"/>
  <c r="U147" i="1"/>
  <c r="Q148" i="1"/>
  <c r="V146" i="1"/>
  <c r="AD54" i="1" l="1"/>
  <c r="AH54" i="1" s="1"/>
  <c r="Z54" i="1"/>
  <c r="V147" i="1"/>
  <c r="U148" i="1"/>
  <c r="Q149" i="1"/>
  <c r="S149" i="1"/>
  <c r="O150" i="1"/>
  <c r="T148" i="1"/>
  <c r="P149" i="1"/>
  <c r="AA54" i="1" l="1"/>
  <c r="AB54" i="1"/>
  <c r="AE54" i="1"/>
  <c r="AI54" i="1" s="1"/>
  <c r="V148" i="1"/>
  <c r="S150" i="1"/>
  <c r="O151" i="1"/>
  <c r="Q150" i="1"/>
  <c r="U149" i="1"/>
  <c r="P150" i="1"/>
  <c r="T149" i="1"/>
  <c r="AC54" i="1" l="1"/>
  <c r="AF54" i="1" s="1"/>
  <c r="AJ54" i="1" s="1"/>
  <c r="V149" i="1"/>
  <c r="U150" i="1"/>
  <c r="Q151" i="1"/>
  <c r="T150" i="1"/>
  <c r="P151" i="1"/>
  <c r="S151" i="1"/>
  <c r="O152" i="1"/>
  <c r="W55" i="1" l="1"/>
  <c r="Y55" i="1" s="1"/>
  <c r="V150" i="1"/>
  <c r="P152" i="1"/>
  <c r="T151" i="1"/>
  <c r="U151" i="1"/>
  <c r="Q152" i="1"/>
  <c r="S152" i="1"/>
  <c r="O153" i="1"/>
  <c r="X55" i="1" l="1"/>
  <c r="AD55" i="1"/>
  <c r="AH55" i="1" s="1"/>
  <c r="Z55" i="1"/>
  <c r="V151" i="1"/>
  <c r="U152" i="1"/>
  <c r="Q153" i="1"/>
  <c r="S153" i="1"/>
  <c r="O154" i="1"/>
  <c r="P153" i="1"/>
  <c r="T152" i="1"/>
  <c r="AE55" i="1" l="1"/>
  <c r="AI55" i="1" s="1"/>
  <c r="AA55" i="1"/>
  <c r="AB55" i="1"/>
  <c r="T153" i="1"/>
  <c r="P154" i="1"/>
  <c r="S154" i="1"/>
  <c r="O155" i="1"/>
  <c r="U153" i="1"/>
  <c r="Q154" i="1"/>
  <c r="V152" i="1"/>
  <c r="AC55" i="1" l="1"/>
  <c r="AF55" i="1" s="1"/>
  <c r="AJ55" i="1" s="1"/>
  <c r="V153" i="1"/>
  <c r="S155" i="1"/>
  <c r="O156" i="1"/>
  <c r="P155" i="1"/>
  <c r="T154" i="1"/>
  <c r="U154" i="1"/>
  <c r="Q155" i="1"/>
  <c r="W56" i="1" l="1"/>
  <c r="X56" i="1" s="1"/>
  <c r="V154" i="1"/>
  <c r="U155" i="1"/>
  <c r="Q156" i="1"/>
  <c r="T155" i="1"/>
  <c r="P156" i="1"/>
  <c r="S156" i="1"/>
  <c r="O157" i="1"/>
  <c r="Y56" i="1" l="1"/>
  <c r="AD56" i="1" s="1"/>
  <c r="AH56" i="1" s="1"/>
  <c r="S157" i="1"/>
  <c r="O158" i="1"/>
  <c r="T156" i="1"/>
  <c r="P157" i="1"/>
  <c r="Q157" i="1"/>
  <c r="U156" i="1"/>
  <c r="V155" i="1"/>
  <c r="Z56" i="1" l="1"/>
  <c r="AE56" i="1" s="1"/>
  <c r="AI56" i="1" s="1"/>
  <c r="V156" i="1"/>
  <c r="Q158" i="1"/>
  <c r="U157" i="1"/>
  <c r="P158" i="1"/>
  <c r="T157" i="1"/>
  <c r="S158" i="1"/>
  <c r="O159" i="1"/>
  <c r="AB56" i="1" l="1"/>
  <c r="AC56" i="1" s="1"/>
  <c r="AA56" i="1"/>
  <c r="V157" i="1"/>
  <c r="S159" i="1"/>
  <c r="O160" i="1"/>
  <c r="P159" i="1"/>
  <c r="T158" i="1"/>
  <c r="U158" i="1"/>
  <c r="Q159" i="1"/>
  <c r="AF56" i="1" l="1"/>
  <c r="AJ56" i="1" s="1"/>
  <c r="W57" i="1"/>
  <c r="Y57" i="1" s="1"/>
  <c r="AD57" i="1" s="1"/>
  <c r="AH57" i="1" s="1"/>
  <c r="V158" i="1"/>
  <c r="P160" i="1"/>
  <c r="T159" i="1"/>
  <c r="U159" i="1"/>
  <c r="Q160" i="1"/>
  <c r="O161" i="1"/>
  <c r="S160" i="1"/>
  <c r="X57" i="1" l="1"/>
  <c r="Z57" i="1" s="1"/>
  <c r="AA57" i="1" s="1"/>
  <c r="S161" i="1"/>
  <c r="O162" i="1"/>
  <c r="Q161" i="1"/>
  <c r="U160" i="1"/>
  <c r="V159" i="1"/>
  <c r="P161" i="1"/>
  <c r="T160" i="1"/>
  <c r="AB57" i="1" l="1"/>
  <c r="AC57" i="1" s="1"/>
  <c r="AE57" i="1"/>
  <c r="AI57" i="1" s="1"/>
  <c r="V160" i="1"/>
  <c r="U161" i="1"/>
  <c r="Q162" i="1"/>
  <c r="S162" i="1"/>
  <c r="O163" i="1"/>
  <c r="T161" i="1"/>
  <c r="P162" i="1"/>
  <c r="AF57" i="1" l="1"/>
  <c r="AJ57" i="1" s="1"/>
  <c r="W58" i="1"/>
  <c r="V161" i="1"/>
  <c r="S163" i="1"/>
  <c r="O164" i="1"/>
  <c r="T162" i="1"/>
  <c r="P163" i="1"/>
  <c r="U162" i="1"/>
  <c r="Q163" i="1"/>
  <c r="Y58" i="1" l="1"/>
  <c r="X58" i="1"/>
  <c r="V162" i="1"/>
  <c r="T163" i="1"/>
  <c r="P164" i="1"/>
  <c r="O165" i="1"/>
  <c r="S164" i="1"/>
  <c r="Q164" i="1"/>
  <c r="U163" i="1"/>
  <c r="AD58" i="1" l="1"/>
  <c r="AH58" i="1" s="1"/>
  <c r="Z58" i="1"/>
  <c r="V163" i="1"/>
  <c r="Q165" i="1"/>
  <c r="U164" i="1"/>
  <c r="S165" i="1"/>
  <c r="O166" i="1"/>
  <c r="T164" i="1"/>
  <c r="P165" i="1"/>
  <c r="AE58" i="1" l="1"/>
  <c r="AI58" i="1" s="1"/>
  <c r="AA58" i="1"/>
  <c r="AB58" i="1"/>
  <c r="V164" i="1"/>
  <c r="S166" i="1"/>
  <c r="O167" i="1"/>
  <c r="P166" i="1"/>
  <c r="T165" i="1"/>
  <c r="Q166" i="1"/>
  <c r="U165" i="1"/>
  <c r="AC58" i="1" l="1"/>
  <c r="AF58" i="1" s="1"/>
  <c r="AJ58" i="1" s="1"/>
  <c r="W59" i="1"/>
  <c r="Q167" i="1"/>
  <c r="U166" i="1"/>
  <c r="T166" i="1"/>
  <c r="P167" i="1"/>
  <c r="V165" i="1"/>
  <c r="S167" i="1"/>
  <c r="O168" i="1"/>
  <c r="X59" i="1" l="1"/>
  <c r="Y59" i="1"/>
  <c r="T167" i="1"/>
  <c r="P168" i="1"/>
  <c r="S168" i="1"/>
  <c r="O169" i="1"/>
  <c r="V166" i="1"/>
  <c r="Q168" i="1"/>
  <c r="U167" i="1"/>
  <c r="AD59" i="1" l="1"/>
  <c r="Z59" i="1"/>
  <c r="V167" i="1"/>
  <c r="S169" i="1"/>
  <c r="O170" i="1"/>
  <c r="U168" i="1"/>
  <c r="Q169" i="1"/>
  <c r="T168" i="1"/>
  <c r="P169" i="1"/>
  <c r="AH59" i="1" l="1"/>
  <c r="AE59" i="1"/>
  <c r="AI59" i="1" s="1"/>
  <c r="AB59" i="1"/>
  <c r="AA59" i="1"/>
  <c r="P170" i="1"/>
  <c r="T169" i="1"/>
  <c r="V168" i="1"/>
  <c r="O171" i="1"/>
  <c r="S170" i="1"/>
  <c r="U169" i="1"/>
  <c r="Q170" i="1"/>
  <c r="AC59" i="1" l="1"/>
  <c r="AF59" i="1" s="1"/>
  <c r="AJ59" i="1" s="1"/>
  <c r="V169" i="1"/>
  <c r="O172" i="1"/>
  <c r="S171" i="1"/>
  <c r="T170" i="1"/>
  <c r="P171" i="1"/>
  <c r="Q171" i="1"/>
  <c r="U170" i="1"/>
  <c r="W60" i="1" l="1"/>
  <c r="Y60" i="1" s="1"/>
  <c r="T171" i="1"/>
  <c r="P172" i="1"/>
  <c r="O173" i="1"/>
  <c r="S172" i="1"/>
  <c r="V170" i="1"/>
  <c r="Q172" i="1"/>
  <c r="U171" i="1"/>
  <c r="X60" i="1" l="1"/>
  <c r="Z60" i="1"/>
  <c r="AD60" i="1"/>
  <c r="V171" i="1"/>
  <c r="Q173" i="1"/>
  <c r="U172" i="1"/>
  <c r="O174" i="1"/>
  <c r="S173" i="1"/>
  <c r="T172" i="1"/>
  <c r="P173" i="1"/>
  <c r="AH60" i="1" l="1"/>
  <c r="AA60" i="1"/>
  <c r="AE60" i="1"/>
  <c r="AI60" i="1" s="1"/>
  <c r="AB60" i="1"/>
  <c r="AC60" i="1" s="1"/>
  <c r="AF60" i="1" s="1"/>
  <c r="AJ60" i="1" s="1"/>
  <c r="S174" i="1"/>
  <c r="O175" i="1"/>
  <c r="U173" i="1"/>
  <c r="Q174" i="1"/>
  <c r="P174" i="1"/>
  <c r="T173" i="1"/>
  <c r="V172" i="1"/>
  <c r="W61" i="1" l="1"/>
  <c r="V173" i="1"/>
  <c r="Q175" i="1"/>
  <c r="U174" i="1"/>
  <c r="S175" i="1"/>
  <c r="O176" i="1"/>
  <c r="T174" i="1"/>
  <c r="P175" i="1"/>
  <c r="X61" i="1" l="1"/>
  <c r="Y61" i="1"/>
  <c r="V174" i="1"/>
  <c r="O177" i="1"/>
  <c r="S176" i="1"/>
  <c r="T175" i="1"/>
  <c r="P176" i="1"/>
  <c r="Q176" i="1"/>
  <c r="U175" i="1"/>
  <c r="Z61" i="1" l="1"/>
  <c r="AD61" i="1"/>
  <c r="AH61" i="1" s="1"/>
  <c r="V175" i="1"/>
  <c r="T176" i="1"/>
  <c r="P177" i="1"/>
  <c r="U176" i="1"/>
  <c r="Q177" i="1"/>
  <c r="S177" i="1"/>
  <c r="O178" i="1"/>
  <c r="AB61" i="1" l="1"/>
  <c r="AE61" i="1"/>
  <c r="AI61" i="1" s="1"/>
  <c r="AA61" i="1"/>
  <c r="V176" i="1"/>
  <c r="S178" i="1"/>
  <c r="O179" i="1"/>
  <c r="T177" i="1"/>
  <c r="P178" i="1"/>
  <c r="U177" i="1"/>
  <c r="Q178" i="1"/>
  <c r="AC61" i="1" l="1"/>
  <c r="AF61" i="1" s="1"/>
  <c r="AJ61" i="1" s="1"/>
  <c r="V177" i="1"/>
  <c r="P179" i="1"/>
  <c r="T178" i="1"/>
  <c r="U178" i="1"/>
  <c r="Q179" i="1"/>
  <c r="S179" i="1"/>
  <c r="O180" i="1"/>
  <c r="W62" i="1" l="1"/>
  <c r="X62" i="1" s="1"/>
  <c r="U179" i="1"/>
  <c r="Q180" i="1"/>
  <c r="S180" i="1"/>
  <c r="O181" i="1"/>
  <c r="T179" i="1"/>
  <c r="P180" i="1"/>
  <c r="V178" i="1"/>
  <c r="Y62" i="1" l="1"/>
  <c r="AD62" i="1" s="1"/>
  <c r="AH62" i="1" s="1"/>
  <c r="O182" i="1"/>
  <c r="S181" i="1"/>
  <c r="U180" i="1"/>
  <c r="Q181" i="1"/>
  <c r="P181" i="1"/>
  <c r="T180" i="1"/>
  <c r="V179" i="1"/>
  <c r="Z62" i="1" l="1"/>
  <c r="AE62" i="1" s="1"/>
  <c r="AI62" i="1" s="1"/>
  <c r="V180" i="1"/>
  <c r="Q182" i="1"/>
  <c r="U181" i="1"/>
  <c r="P182" i="1"/>
  <c r="T181" i="1"/>
  <c r="V181" i="1" s="1"/>
  <c r="O183" i="1"/>
  <c r="S182" i="1"/>
  <c r="AB62" i="1" l="1"/>
  <c r="AA62" i="1"/>
  <c r="T182" i="1"/>
  <c r="P183" i="1"/>
  <c r="S183" i="1"/>
  <c r="O184" i="1"/>
  <c r="Q183" i="1"/>
  <c r="U182" i="1"/>
  <c r="AC62" i="1" l="1"/>
  <c r="V182" i="1"/>
  <c r="S184" i="1"/>
  <c r="O185" i="1"/>
  <c r="T183" i="1"/>
  <c r="P184" i="1"/>
  <c r="Q184" i="1"/>
  <c r="U183" i="1"/>
  <c r="AF62" i="1" l="1"/>
  <c r="AJ62" i="1" s="1"/>
  <c r="W63" i="1"/>
  <c r="P185" i="1"/>
  <c r="T184" i="1"/>
  <c r="V183" i="1"/>
  <c r="O186" i="1"/>
  <c r="S185" i="1"/>
  <c r="Q185" i="1"/>
  <c r="U184" i="1"/>
  <c r="X63" i="1" l="1"/>
  <c r="Y63" i="1"/>
  <c r="V184" i="1"/>
  <c r="Q186" i="1"/>
  <c r="U185" i="1"/>
  <c r="S186" i="1"/>
  <c r="O187" i="1"/>
  <c r="T185" i="1"/>
  <c r="P186" i="1"/>
  <c r="AD63" i="1" l="1"/>
  <c r="AH63" i="1" s="1"/>
  <c r="Z63" i="1"/>
  <c r="V185" i="1"/>
  <c r="S187" i="1"/>
  <c r="O188" i="1"/>
  <c r="T186" i="1"/>
  <c r="P187" i="1"/>
  <c r="U186" i="1"/>
  <c r="Q187" i="1"/>
  <c r="AB63" i="1" l="1"/>
  <c r="AE63" i="1"/>
  <c r="AI63" i="1" s="1"/>
  <c r="AA63" i="1"/>
  <c r="AC63" i="1" s="1"/>
  <c r="T187" i="1"/>
  <c r="P188" i="1"/>
  <c r="V186" i="1"/>
  <c r="S188" i="1"/>
  <c r="O189" i="1"/>
  <c r="U187" i="1"/>
  <c r="Q188" i="1"/>
  <c r="AF63" i="1" l="1"/>
  <c r="AJ63" i="1" s="1"/>
  <c r="W64" i="1"/>
  <c r="Q189" i="1"/>
  <c r="U188" i="1"/>
  <c r="S189" i="1"/>
  <c r="O190" i="1"/>
  <c r="T188" i="1"/>
  <c r="P189" i="1"/>
  <c r="V187" i="1"/>
  <c r="Y64" i="1" l="1"/>
  <c r="AD64" i="1" s="1"/>
  <c r="AH64" i="1" s="1"/>
  <c r="X64" i="1"/>
  <c r="V188" i="1"/>
  <c r="T189" i="1"/>
  <c r="P190" i="1"/>
  <c r="S190" i="1"/>
  <c r="O191" i="1"/>
  <c r="Q190" i="1"/>
  <c r="U189" i="1"/>
  <c r="Z64" i="1" l="1"/>
  <c r="AB64" i="1" s="1"/>
  <c r="V189" i="1"/>
  <c r="S191" i="1"/>
  <c r="O192" i="1"/>
  <c r="P191" i="1"/>
  <c r="T190" i="1"/>
  <c r="U190" i="1"/>
  <c r="Q191" i="1"/>
  <c r="AE64" i="1" l="1"/>
  <c r="AI64" i="1" s="1"/>
  <c r="AA64" i="1"/>
  <c r="AC64" i="1" s="1"/>
  <c r="AF64" i="1" s="1"/>
  <c r="AJ64" i="1" s="1"/>
  <c r="P192" i="1"/>
  <c r="T191" i="1"/>
  <c r="O193" i="1"/>
  <c r="S192" i="1"/>
  <c r="V190" i="1"/>
  <c r="Q192" i="1"/>
  <c r="U191" i="1"/>
  <c r="W65" i="1" l="1"/>
  <c r="Y65" i="1" s="1"/>
  <c r="AD65" i="1" s="1"/>
  <c r="AH65" i="1" s="1"/>
  <c r="U192" i="1"/>
  <c r="Q193" i="1"/>
  <c r="S193" i="1"/>
  <c r="O194" i="1"/>
  <c r="V191" i="1"/>
  <c r="T192" i="1"/>
  <c r="P193" i="1"/>
  <c r="X65" i="1" l="1"/>
  <c r="Z65" i="1" s="1"/>
  <c r="AE65" i="1" s="1"/>
  <c r="AI65" i="1" s="1"/>
  <c r="S194" i="1"/>
  <c r="O195" i="1"/>
  <c r="U193" i="1"/>
  <c r="Q194" i="1"/>
  <c r="P194" i="1"/>
  <c r="T193" i="1"/>
  <c r="V192" i="1"/>
  <c r="AA65" i="1" l="1"/>
  <c r="AB65" i="1"/>
  <c r="U194" i="1"/>
  <c r="Q195" i="1"/>
  <c r="V193" i="1"/>
  <c r="S195" i="1"/>
  <c r="O196" i="1"/>
  <c r="P195" i="1"/>
  <c r="T194" i="1"/>
  <c r="AC65" i="1" l="1"/>
  <c r="AF65" i="1"/>
  <c r="AJ65" i="1" s="1"/>
  <c r="W66" i="1"/>
  <c r="X66" i="1" s="1"/>
  <c r="V194" i="1"/>
  <c r="T195" i="1"/>
  <c r="P196" i="1"/>
  <c r="S196" i="1"/>
  <c r="O197" i="1"/>
  <c r="U195" i="1"/>
  <c r="Q196" i="1"/>
  <c r="Y66" i="1" l="1"/>
  <c r="AD66" i="1" s="1"/>
  <c r="AH66" i="1" s="1"/>
  <c r="V195" i="1"/>
  <c r="P197" i="1"/>
  <c r="T196" i="1"/>
  <c r="S197" i="1"/>
  <c r="O198" i="1"/>
  <c r="U196" i="1"/>
  <c r="Q197" i="1"/>
  <c r="Z66" i="1" l="1"/>
  <c r="AE66" i="1" s="1"/>
  <c r="AI66" i="1" s="1"/>
  <c r="V196" i="1"/>
  <c r="S198" i="1"/>
  <c r="O199" i="1"/>
  <c r="Q198" i="1"/>
  <c r="U197" i="1"/>
  <c r="P198" i="1"/>
  <c r="T197" i="1"/>
  <c r="AA66" i="1" l="1"/>
  <c r="AB66" i="1"/>
  <c r="AC66" i="1" s="1"/>
  <c r="AF66" i="1" s="1"/>
  <c r="AJ66" i="1" s="1"/>
  <c r="U198" i="1"/>
  <c r="Q199" i="1"/>
  <c r="V197" i="1"/>
  <c r="O200" i="1"/>
  <c r="S199" i="1"/>
  <c r="T198" i="1"/>
  <c r="P199" i="1"/>
  <c r="W67" i="1" l="1"/>
  <c r="Y67" i="1" s="1"/>
  <c r="T199" i="1"/>
  <c r="P200" i="1"/>
  <c r="S200" i="1"/>
  <c r="O201" i="1"/>
  <c r="U199" i="1"/>
  <c r="Q200" i="1"/>
  <c r="V198" i="1"/>
  <c r="AD67" i="1" l="1"/>
  <c r="AH67" i="1" s="1"/>
  <c r="X67" i="1"/>
  <c r="Z67" i="1" s="1"/>
  <c r="V199" i="1"/>
  <c r="O202" i="1"/>
  <c r="S201" i="1"/>
  <c r="U200" i="1"/>
  <c r="Q201" i="1"/>
  <c r="P201" i="1"/>
  <c r="T200" i="1"/>
  <c r="AE67" i="1" l="1"/>
  <c r="AI67" i="1" s="1"/>
  <c r="AA67" i="1"/>
  <c r="AB67" i="1"/>
  <c r="V200" i="1"/>
  <c r="T201" i="1"/>
  <c r="P202" i="1"/>
  <c r="U201" i="1"/>
  <c r="Q202" i="1"/>
  <c r="S202" i="1"/>
  <c r="O203" i="1"/>
  <c r="AC67" i="1" l="1"/>
  <c r="AF67" i="1" s="1"/>
  <c r="AJ67" i="1" s="1"/>
  <c r="W68" i="1"/>
  <c r="X68" i="1" s="1"/>
  <c r="V201" i="1"/>
  <c r="T202" i="1"/>
  <c r="P203" i="1"/>
  <c r="U202" i="1"/>
  <c r="Q203" i="1"/>
  <c r="S203" i="1"/>
  <c r="O204" i="1"/>
  <c r="Y68" i="1" l="1"/>
  <c r="AD68" i="1" s="1"/>
  <c r="AH68" i="1" s="1"/>
  <c r="V202" i="1"/>
  <c r="S204" i="1"/>
  <c r="O205" i="1"/>
  <c r="U203" i="1"/>
  <c r="Q204" i="1"/>
  <c r="T203" i="1"/>
  <c r="P204" i="1"/>
  <c r="Z68" i="1" l="1"/>
  <c r="AA68" i="1" s="1"/>
  <c r="V203" i="1"/>
  <c r="U204" i="1"/>
  <c r="Q205" i="1"/>
  <c r="P205" i="1"/>
  <c r="T204" i="1"/>
  <c r="O206" i="1"/>
  <c r="S205" i="1"/>
  <c r="AB68" i="1" l="1"/>
  <c r="AC68" i="1" s="1"/>
  <c r="AF68" i="1" s="1"/>
  <c r="AJ68" i="1" s="1"/>
  <c r="AE68" i="1"/>
  <c r="AI68" i="1" s="1"/>
  <c r="S206" i="1"/>
  <c r="O207" i="1"/>
  <c r="T205" i="1"/>
  <c r="P206" i="1"/>
  <c r="U205" i="1"/>
  <c r="Q206" i="1"/>
  <c r="V204" i="1"/>
  <c r="W69" i="1" l="1"/>
  <c r="X69" i="1" s="1"/>
  <c r="P207" i="1"/>
  <c r="T206" i="1"/>
  <c r="S207" i="1"/>
  <c r="O208" i="1"/>
  <c r="U206" i="1"/>
  <c r="Q207" i="1"/>
  <c r="V205" i="1"/>
  <c r="Y69" i="1" l="1"/>
  <c r="AD69" i="1" s="1"/>
  <c r="AH69" i="1" s="1"/>
  <c r="V206" i="1"/>
  <c r="S208" i="1"/>
  <c r="O209" i="1"/>
  <c r="U207" i="1"/>
  <c r="Q208" i="1"/>
  <c r="P208" i="1"/>
  <c r="T207" i="1"/>
  <c r="Z69" i="1" l="1"/>
  <c r="AE69" i="1" s="1"/>
  <c r="AI69" i="1" s="1"/>
  <c r="U208" i="1"/>
  <c r="Q209" i="1"/>
  <c r="V207" i="1"/>
  <c r="S209" i="1"/>
  <c r="O210" i="1"/>
  <c r="T208" i="1"/>
  <c r="P209" i="1"/>
  <c r="AA69" i="1" l="1"/>
  <c r="AB69" i="1"/>
  <c r="AC69" i="1" s="1"/>
  <c r="AF69" i="1" s="1"/>
  <c r="AJ69" i="1" s="1"/>
  <c r="O211" i="1"/>
  <c r="S210" i="1"/>
  <c r="Q210" i="1"/>
  <c r="U209" i="1"/>
  <c r="V208" i="1"/>
  <c r="P210" i="1"/>
  <c r="T209" i="1"/>
  <c r="W70" i="1" l="1"/>
  <c r="Y70" i="1" s="1"/>
  <c r="AD70" i="1" s="1"/>
  <c r="AH70" i="1" s="1"/>
  <c r="U210" i="1"/>
  <c r="Q211" i="1"/>
  <c r="V209" i="1"/>
  <c r="T210" i="1"/>
  <c r="P211" i="1"/>
  <c r="S211" i="1"/>
  <c r="O212" i="1"/>
  <c r="X70" i="1" l="1"/>
  <c r="Z70" i="1" s="1"/>
  <c r="AA70" i="1" s="1"/>
  <c r="V210" i="1"/>
  <c r="O213" i="1"/>
  <c r="S212" i="1"/>
  <c r="T211" i="1"/>
  <c r="P212" i="1"/>
  <c r="Q212" i="1"/>
  <c r="U211" i="1"/>
  <c r="AE70" i="1" l="1"/>
  <c r="AI70" i="1" s="1"/>
  <c r="AB70" i="1"/>
  <c r="AC70" i="1" s="1"/>
  <c r="AF70" i="1" s="1"/>
  <c r="AJ70" i="1" s="1"/>
  <c r="V211" i="1"/>
  <c r="U212" i="1"/>
  <c r="Q213" i="1"/>
  <c r="P213" i="1"/>
  <c r="T212" i="1"/>
  <c r="O214" i="1"/>
  <c r="S213" i="1"/>
  <c r="W71" i="1" l="1"/>
  <c r="X71" i="1" s="1"/>
  <c r="V212" i="1"/>
  <c r="O215" i="1"/>
  <c r="S214" i="1"/>
  <c r="T213" i="1"/>
  <c r="P214" i="1"/>
  <c r="U213" i="1"/>
  <c r="Q214" i="1"/>
  <c r="Y71" i="1" l="1"/>
  <c r="AD71" i="1" s="1"/>
  <c r="AH71" i="1" s="1"/>
  <c r="P215" i="1"/>
  <c r="T214" i="1"/>
  <c r="V213" i="1"/>
  <c r="U214" i="1"/>
  <c r="Q215" i="1"/>
  <c r="O216" i="1"/>
  <c r="S215" i="1"/>
  <c r="Z71" i="1" l="1"/>
  <c r="AA71" i="1" s="1"/>
  <c r="V214" i="1"/>
  <c r="S216" i="1"/>
  <c r="O217" i="1"/>
  <c r="P216" i="1"/>
  <c r="T215" i="1"/>
  <c r="Q216" i="1"/>
  <c r="U215" i="1"/>
  <c r="AB71" i="1" l="1"/>
  <c r="AC71" i="1" s="1"/>
  <c r="AE71" i="1"/>
  <c r="AI71" i="1" s="1"/>
  <c r="V215" i="1"/>
  <c r="Q217" i="1"/>
  <c r="U216" i="1"/>
  <c r="S217" i="1"/>
  <c r="O218" i="1"/>
  <c r="P217" i="1"/>
  <c r="T216" i="1"/>
  <c r="AF71" i="1" l="1"/>
  <c r="AJ71" i="1" s="1"/>
  <c r="W72" i="1"/>
  <c r="Y72" i="1" s="1"/>
  <c r="AD72" i="1" s="1"/>
  <c r="AH72" i="1" s="1"/>
  <c r="V216" i="1"/>
  <c r="O219" i="1"/>
  <c r="S218" i="1"/>
  <c r="P218" i="1"/>
  <c r="T217" i="1"/>
  <c r="Q218" i="1"/>
  <c r="U217" i="1"/>
  <c r="X72" i="1" l="1"/>
  <c r="Z72" i="1" s="1"/>
  <c r="AA72" i="1" s="1"/>
  <c r="P219" i="1"/>
  <c r="T218" i="1"/>
  <c r="V217" i="1"/>
  <c r="U218" i="1"/>
  <c r="Q219" i="1"/>
  <c r="O220" i="1"/>
  <c r="S219" i="1"/>
  <c r="AB72" i="1" l="1"/>
  <c r="AC72" i="1" s="1"/>
  <c r="AE72" i="1"/>
  <c r="AI72" i="1" s="1"/>
  <c r="V218" i="1"/>
  <c r="T219" i="1"/>
  <c r="P220" i="1"/>
  <c r="U219" i="1"/>
  <c r="Q220" i="1"/>
  <c r="S220" i="1"/>
  <c r="O221" i="1"/>
  <c r="AF72" i="1" l="1"/>
  <c r="AJ72" i="1" s="1"/>
  <c r="W73" i="1"/>
  <c r="Y73" i="1" s="1"/>
  <c r="AD73" i="1" s="1"/>
  <c r="AH73" i="1" s="1"/>
  <c r="T220" i="1"/>
  <c r="P221" i="1"/>
  <c r="Q221" i="1"/>
  <c r="U220" i="1"/>
  <c r="S221" i="1"/>
  <c r="O222" i="1"/>
  <c r="V219" i="1"/>
  <c r="X73" i="1" l="1"/>
  <c r="Z73" i="1" s="1"/>
  <c r="AA73" i="1" s="1"/>
  <c r="O223" i="1"/>
  <c r="S222" i="1"/>
  <c r="U221" i="1"/>
  <c r="Q222" i="1"/>
  <c r="T221" i="1"/>
  <c r="P222" i="1"/>
  <c r="V220" i="1"/>
  <c r="AB73" i="1" l="1"/>
  <c r="AC73" i="1" s="1"/>
  <c r="AF73" i="1" s="1"/>
  <c r="AJ73" i="1" s="1"/>
  <c r="AE73" i="1"/>
  <c r="AI73" i="1" s="1"/>
  <c r="V221" i="1"/>
  <c r="Q223" i="1"/>
  <c r="U222" i="1"/>
  <c r="P223" i="1"/>
  <c r="T222" i="1"/>
  <c r="O224" i="1"/>
  <c r="S223" i="1"/>
  <c r="W74" i="1" l="1"/>
  <c r="Y74" i="1" s="1"/>
  <c r="AD74" i="1" s="1"/>
  <c r="AH74" i="1" s="1"/>
  <c r="V222" i="1"/>
  <c r="O225" i="1"/>
  <c r="S224" i="1"/>
  <c r="T223" i="1"/>
  <c r="P224" i="1"/>
  <c r="U223" i="1"/>
  <c r="Q224" i="1"/>
  <c r="X74" i="1" l="1"/>
  <c r="Z74" i="1" s="1"/>
  <c r="AE74" i="1" s="1"/>
  <c r="AI74" i="1" s="1"/>
  <c r="S225" i="1"/>
  <c r="O226" i="1"/>
  <c r="P225" i="1"/>
  <c r="T224" i="1"/>
  <c r="Q225" i="1"/>
  <c r="U224" i="1"/>
  <c r="V223" i="1"/>
  <c r="AA74" i="1" l="1"/>
  <c r="AB74" i="1"/>
  <c r="AC74" i="1" s="1"/>
  <c r="U225" i="1"/>
  <c r="Q226" i="1"/>
  <c r="V224" i="1"/>
  <c r="P226" i="1"/>
  <c r="T225" i="1"/>
  <c r="S226" i="1"/>
  <c r="O227" i="1"/>
  <c r="AF74" i="1" l="1"/>
  <c r="AJ74" i="1" s="1"/>
  <c r="W75" i="1"/>
  <c r="X75" i="1" s="1"/>
  <c r="V225" i="1"/>
  <c r="T226" i="1"/>
  <c r="P227" i="1"/>
  <c r="U226" i="1"/>
  <c r="Q227" i="1"/>
  <c r="S227" i="1"/>
  <c r="O228" i="1"/>
  <c r="Y75" i="1" l="1"/>
  <c r="Z75" i="1" s="1"/>
  <c r="AA75" i="1" s="1"/>
  <c r="S228" i="1"/>
  <c r="O229" i="1"/>
  <c r="U227" i="1"/>
  <c r="Q228" i="1"/>
  <c r="T227" i="1"/>
  <c r="P228" i="1"/>
  <c r="V226" i="1"/>
  <c r="AB75" i="1" l="1"/>
  <c r="AC75" i="1" s="1"/>
  <c r="AE75" i="1"/>
  <c r="AI75" i="1" s="1"/>
  <c r="AD75" i="1"/>
  <c r="AH75" i="1" s="1"/>
  <c r="V227" i="1"/>
  <c r="U228" i="1"/>
  <c r="Q229" i="1"/>
  <c r="S229" i="1"/>
  <c r="O230" i="1"/>
  <c r="P229" i="1"/>
  <c r="T228" i="1"/>
  <c r="AF75" i="1" l="1"/>
  <c r="AJ75" i="1" s="1"/>
  <c r="W76" i="1"/>
  <c r="Y76" i="1" s="1"/>
  <c r="S230" i="1"/>
  <c r="O231" i="1"/>
  <c r="T229" i="1"/>
  <c r="P230" i="1"/>
  <c r="U229" i="1"/>
  <c r="Q230" i="1"/>
  <c r="V228" i="1"/>
  <c r="X76" i="1" l="1"/>
  <c r="Z76" i="1" s="1"/>
  <c r="AD76" i="1"/>
  <c r="S231" i="1"/>
  <c r="O232" i="1"/>
  <c r="T230" i="1"/>
  <c r="P231" i="1"/>
  <c r="V229" i="1"/>
  <c r="U230" i="1"/>
  <c r="Q231" i="1"/>
  <c r="AB76" i="1" l="1"/>
  <c r="AA76" i="1"/>
  <c r="AE76" i="1"/>
  <c r="AI76" i="1" s="1"/>
  <c r="AH76" i="1"/>
  <c r="V230" i="1"/>
  <c r="T231" i="1"/>
  <c r="P232" i="1"/>
  <c r="U231" i="1"/>
  <c r="Q232" i="1"/>
  <c r="S232" i="1"/>
  <c r="O233" i="1"/>
  <c r="S233" i="1" s="1"/>
  <c r="AC76" i="1" l="1"/>
  <c r="AF76" i="1" s="1"/>
  <c r="AJ76" i="1" s="1"/>
  <c r="U232" i="1"/>
  <c r="Q233" i="1"/>
  <c r="U233" i="1" s="1"/>
  <c r="T232" i="1"/>
  <c r="P233" i="1"/>
  <c r="T233" i="1" s="1"/>
  <c r="V231" i="1"/>
  <c r="V232" i="1" l="1"/>
  <c r="W77" i="1"/>
  <c r="X77" i="1" s="1"/>
  <c r="V233" i="1"/>
  <c r="Y77" i="1" l="1"/>
  <c r="AD77" i="1" s="1"/>
  <c r="Z77" i="1" l="1"/>
  <c r="AB77" i="1" s="1"/>
  <c r="AH77" i="1"/>
  <c r="AA77" i="1" l="1"/>
  <c r="AC77" i="1" s="1"/>
  <c r="AE77" i="1"/>
  <c r="AI77" i="1" s="1"/>
  <c r="AF77" i="1" l="1"/>
  <c r="AJ77" i="1" s="1"/>
  <c r="W78" i="1"/>
  <c r="Y78" i="1" s="1"/>
  <c r="X78" i="1" l="1"/>
  <c r="Z78" i="1" s="1"/>
  <c r="AD78" i="1"/>
  <c r="AH78" i="1" s="1"/>
  <c r="AB78" i="1" l="1"/>
  <c r="AE78" i="1"/>
  <c r="AI78" i="1" s="1"/>
  <c r="AA78" i="1"/>
  <c r="AC78" i="1" l="1"/>
  <c r="AF78" i="1" s="1"/>
  <c r="AJ78" i="1" s="1"/>
  <c r="W79" i="1" l="1"/>
  <c r="Y79" i="1" s="1"/>
  <c r="AD79" i="1" s="1"/>
  <c r="AH79" i="1" s="1"/>
  <c r="X79" i="1" l="1"/>
  <c r="Z79" i="1" s="1"/>
  <c r="AA79" i="1" s="1"/>
  <c r="AB79" i="1" l="1"/>
  <c r="AC79" i="1" s="1"/>
  <c r="AF79" i="1" s="1"/>
  <c r="AJ79" i="1" s="1"/>
  <c r="AE79" i="1"/>
  <c r="AI79" i="1" s="1"/>
  <c r="W80" i="1" l="1"/>
  <c r="X80" i="1" s="1"/>
  <c r="Y80" i="1" l="1"/>
  <c r="AD80" i="1" s="1"/>
  <c r="AH80" i="1" s="1"/>
  <c r="Z80" i="1" l="1"/>
  <c r="AE80" i="1" l="1"/>
  <c r="AI80" i="1" s="1"/>
  <c r="AA80" i="1"/>
  <c r="AB80" i="1"/>
  <c r="AC80" i="1" l="1"/>
  <c r="AF80" i="1" s="1"/>
  <c r="AJ80" i="1" s="1"/>
  <c r="W81" i="1" l="1"/>
  <c r="X81" i="1" s="1"/>
  <c r="Y81" i="1" l="1"/>
  <c r="AD81" i="1" s="1"/>
  <c r="AH81" i="1" s="1"/>
  <c r="Z81" i="1" l="1"/>
  <c r="AB81" i="1" s="1"/>
  <c r="AE81" i="1" l="1"/>
  <c r="AI81" i="1" s="1"/>
  <c r="AA81" i="1"/>
  <c r="AC81" i="1" s="1"/>
  <c r="AF81" i="1" l="1"/>
  <c r="AJ81" i="1" s="1"/>
  <c r="W82" i="1"/>
  <c r="Y82" i="1" l="1"/>
  <c r="AD82" i="1" s="1"/>
  <c r="AH82" i="1" s="1"/>
  <c r="X82" i="1"/>
  <c r="Z82" i="1" l="1"/>
  <c r="AA82" i="1" s="1"/>
  <c r="AE82" i="1" l="1"/>
  <c r="AI82" i="1" s="1"/>
  <c r="AB82" i="1"/>
  <c r="AC82" i="1" s="1"/>
  <c r="AF82" i="1" s="1"/>
  <c r="AJ82" i="1" s="1"/>
  <c r="W83" i="1" l="1"/>
  <c r="Y83" i="1" s="1"/>
  <c r="AD83" i="1" s="1"/>
  <c r="AH83" i="1" s="1"/>
  <c r="X83" i="1" l="1"/>
  <c r="Z83" i="1" s="1"/>
  <c r="AA83" i="1" l="1"/>
  <c r="AE83" i="1"/>
  <c r="AI83" i="1" s="1"/>
  <c r="AB83" i="1"/>
  <c r="AC83" i="1" s="1"/>
  <c r="AF83" i="1" l="1"/>
  <c r="AJ83" i="1" s="1"/>
  <c r="W84" i="1"/>
  <c r="X84" i="1" l="1"/>
  <c r="Y84" i="1"/>
  <c r="Z84" i="1" l="1"/>
  <c r="AD84" i="1"/>
  <c r="AH84" i="1" s="1"/>
  <c r="AB84" i="1" l="1"/>
  <c r="AE84" i="1"/>
  <c r="AI84" i="1" s="1"/>
  <c r="AA84" i="1"/>
  <c r="AC84" i="1" l="1"/>
  <c r="AF84" i="1" s="1"/>
  <c r="AJ84" i="1" s="1"/>
  <c r="W85" i="1" l="1"/>
  <c r="Y85" i="1" s="1"/>
  <c r="X85" i="1" l="1"/>
  <c r="AD85" i="1"/>
  <c r="AH85" i="1" s="1"/>
  <c r="Z85" i="1"/>
  <c r="AB85" i="1" l="1"/>
  <c r="AE85" i="1"/>
  <c r="AI85" i="1" s="1"/>
  <c r="AA85" i="1"/>
  <c r="AC85" i="1" l="1"/>
  <c r="AF85" i="1" s="1"/>
  <c r="AJ85" i="1" s="1"/>
  <c r="W86" i="1" l="1"/>
  <c r="Y86" i="1" s="1"/>
  <c r="AD86" i="1" s="1"/>
  <c r="AH86" i="1" s="1"/>
  <c r="X86" i="1" l="1"/>
  <c r="Z86" i="1" s="1"/>
  <c r="AB86" i="1" s="1"/>
  <c r="AA86" i="1" l="1"/>
  <c r="AC86" i="1" s="1"/>
  <c r="W87" i="1" s="1"/>
  <c r="AE86" i="1"/>
  <c r="AI86" i="1" s="1"/>
  <c r="AF86" i="1" l="1"/>
  <c r="AJ86" i="1" s="1"/>
  <c r="X87" i="1"/>
  <c r="Y87" i="1"/>
  <c r="AD87" i="1" l="1"/>
  <c r="AH87" i="1" s="1"/>
  <c r="Z87" i="1"/>
  <c r="AB87" i="1" l="1"/>
  <c r="AE87" i="1"/>
  <c r="AI87" i="1" s="1"/>
  <c r="AA87" i="1"/>
  <c r="AC87" i="1" l="1"/>
  <c r="AF87" i="1" s="1"/>
  <c r="AJ87" i="1" s="1"/>
  <c r="W88" i="1" l="1"/>
  <c r="Y88" i="1" s="1"/>
  <c r="AD88" i="1" s="1"/>
  <c r="AH88" i="1" s="1"/>
  <c r="X88" i="1" l="1"/>
  <c r="Z88" i="1" s="1"/>
  <c r="AE88" i="1" s="1"/>
  <c r="AI88" i="1" s="1"/>
  <c r="AA88" i="1" l="1"/>
  <c r="AB88" i="1"/>
  <c r="AC88" i="1" l="1"/>
  <c r="AF88" i="1" s="1"/>
  <c r="AJ88" i="1" s="1"/>
  <c r="W89" i="1" l="1"/>
  <c r="X89" i="1" s="1"/>
  <c r="Y89" i="1" l="1"/>
  <c r="AD89" i="1" s="1"/>
  <c r="AH89" i="1" s="1"/>
  <c r="Z89" i="1"/>
  <c r="AB89" i="1" s="1"/>
  <c r="AA89" i="1" l="1"/>
  <c r="AC89" i="1" s="1"/>
  <c r="AE89" i="1"/>
  <c r="AI89" i="1" s="1"/>
  <c r="AF89" i="1" l="1"/>
  <c r="AJ89" i="1" s="1"/>
  <c r="W90" i="1"/>
  <c r="Y90" i="1" s="1"/>
  <c r="X90" i="1" l="1"/>
  <c r="Z90" i="1"/>
  <c r="AD90" i="1"/>
  <c r="AH90" i="1" s="1"/>
  <c r="AE90" i="1" l="1"/>
  <c r="AI90" i="1" s="1"/>
  <c r="AB90" i="1"/>
  <c r="AA90" i="1"/>
  <c r="AC90" i="1" l="1"/>
  <c r="AF90" i="1" s="1"/>
  <c r="AJ90" i="1" s="1"/>
  <c r="W91" i="1"/>
  <c r="Y91" i="1" s="1"/>
  <c r="AD91" i="1" s="1"/>
  <c r="AH91" i="1" s="1"/>
  <c r="X91" i="1" l="1"/>
  <c r="Z91" i="1" s="1"/>
  <c r="AA91" i="1" s="1"/>
  <c r="AB91" i="1" l="1"/>
  <c r="AC91" i="1" s="1"/>
  <c r="AF91" i="1" s="1"/>
  <c r="AJ91" i="1" s="1"/>
  <c r="AE91" i="1"/>
  <c r="AI91" i="1" s="1"/>
  <c r="W92" i="1" l="1"/>
  <c r="X92" i="1" s="1"/>
  <c r="Y92" i="1" l="1"/>
  <c r="AD92" i="1" s="1"/>
  <c r="AH92" i="1" s="1"/>
  <c r="Z92" i="1" l="1"/>
  <c r="AB92" i="1" s="1"/>
  <c r="AA92" i="1" l="1"/>
  <c r="AC92" i="1" s="1"/>
  <c r="AF92" i="1" s="1"/>
  <c r="AJ92" i="1" s="1"/>
  <c r="AE92" i="1"/>
  <c r="AI92" i="1" s="1"/>
  <c r="W93" i="1" l="1"/>
  <c r="X93" i="1" s="1"/>
  <c r="Y93" i="1" l="1"/>
  <c r="Z93" i="1" s="1"/>
  <c r="AD93" i="1" l="1"/>
  <c r="AH93" i="1" s="1"/>
  <c r="AA93" i="1"/>
  <c r="AE93" i="1"/>
  <c r="AI93" i="1" s="1"/>
  <c r="AB93" i="1"/>
  <c r="AC93" i="1" s="1"/>
  <c r="AF93" i="1" s="1"/>
  <c r="AJ93" i="1" s="1"/>
  <c r="W94" i="1" l="1"/>
  <c r="X94" i="1" l="1"/>
  <c r="Y94" i="1"/>
  <c r="AD94" i="1" l="1"/>
  <c r="AH94" i="1" s="1"/>
  <c r="Z94" i="1"/>
  <c r="AA94" i="1" l="1"/>
  <c r="AE94" i="1"/>
  <c r="AI94" i="1" s="1"/>
  <c r="AB94" i="1"/>
  <c r="AC94" i="1" l="1"/>
  <c r="AF94" i="1" s="1"/>
  <c r="AJ94" i="1" s="1"/>
  <c r="W95" i="1"/>
  <c r="Y95" i="1" l="1"/>
  <c r="X95" i="1"/>
  <c r="Z95" i="1" l="1"/>
  <c r="AD95" i="1"/>
  <c r="AH95" i="1" s="1"/>
  <c r="AA95" i="1" l="1"/>
  <c r="AE95" i="1"/>
  <c r="AI95" i="1" s="1"/>
  <c r="AB95" i="1"/>
  <c r="AC95" i="1" l="1"/>
  <c r="AF95" i="1" s="1"/>
  <c r="AJ95" i="1" s="1"/>
  <c r="W96" i="1" l="1"/>
  <c r="X96" i="1" s="1"/>
  <c r="Y96" i="1" l="1"/>
  <c r="AD96" i="1" s="1"/>
  <c r="AH96" i="1" s="1"/>
  <c r="Z96" i="1" l="1"/>
  <c r="AA96" i="1" s="1"/>
  <c r="AE96" i="1"/>
  <c r="AI96" i="1" s="1"/>
  <c r="AB96" i="1" l="1"/>
  <c r="AC96" i="1" s="1"/>
  <c r="AF96" i="1" s="1"/>
  <c r="AJ96" i="1" s="1"/>
  <c r="W97" i="1" l="1"/>
  <c r="Y97" i="1" s="1"/>
  <c r="X97" i="1" l="1"/>
  <c r="Z97" i="1" s="1"/>
  <c r="AD97" i="1"/>
  <c r="AH97" i="1" s="1"/>
  <c r="AB97" i="1" l="1"/>
  <c r="AE97" i="1"/>
  <c r="AI97" i="1" s="1"/>
  <c r="AA97" i="1"/>
  <c r="AC97" i="1" l="1"/>
  <c r="AF97" i="1" s="1"/>
  <c r="AJ97" i="1" s="1"/>
  <c r="W98" i="1" l="1"/>
  <c r="Y98" i="1" s="1"/>
  <c r="AD98" i="1" s="1"/>
  <c r="AH98" i="1" s="1"/>
  <c r="X98" i="1" l="1"/>
  <c r="Z98" i="1" s="1"/>
  <c r="AA98" i="1" s="1"/>
  <c r="AE98" i="1" l="1"/>
  <c r="AI98" i="1" s="1"/>
  <c r="AB98" i="1"/>
  <c r="AC98" i="1" s="1"/>
  <c r="AF98" i="1" s="1"/>
  <c r="AJ98" i="1" s="1"/>
  <c r="W99" i="1" l="1"/>
  <c r="X99" i="1" s="1"/>
  <c r="Y99" i="1" l="1"/>
  <c r="AD99" i="1" s="1"/>
  <c r="AH99" i="1" s="1"/>
  <c r="Z99" i="1" l="1"/>
  <c r="AA99" i="1" l="1"/>
  <c r="AE99" i="1"/>
  <c r="AI99" i="1" s="1"/>
  <c r="AB99" i="1"/>
  <c r="AC99" i="1" l="1"/>
  <c r="AF99" i="1" l="1"/>
  <c r="AJ99" i="1" s="1"/>
  <c r="W100" i="1"/>
  <c r="Y100" i="1" l="1"/>
  <c r="X100" i="1"/>
  <c r="AD100" i="1" l="1"/>
  <c r="AH100" i="1" s="1"/>
  <c r="Z100" i="1"/>
  <c r="AE100" i="1" l="1"/>
  <c r="AI100" i="1" s="1"/>
  <c r="AA100" i="1"/>
  <c r="AB100" i="1"/>
  <c r="AC100" i="1" l="1"/>
  <c r="AF100" i="1" s="1"/>
  <c r="AJ100" i="1" s="1"/>
  <c r="W101" i="1" l="1"/>
  <c r="X101" i="1" s="1"/>
  <c r="Y101" i="1" l="1"/>
  <c r="AD101" i="1" s="1"/>
  <c r="AH101" i="1" s="1"/>
  <c r="Z101" i="1" l="1"/>
  <c r="AE101" i="1" s="1"/>
  <c r="AI101" i="1" s="1"/>
  <c r="AB101" i="1" l="1"/>
  <c r="AA101" i="1"/>
  <c r="AC101" i="1" l="1"/>
  <c r="AF101" i="1" s="1"/>
  <c r="AJ101" i="1" s="1"/>
  <c r="W102" i="1"/>
  <c r="X102" i="1" s="1"/>
  <c r="Y102" i="1" l="1"/>
  <c r="AD102" i="1" s="1"/>
  <c r="AH102" i="1" s="1"/>
  <c r="Z102" i="1" l="1"/>
  <c r="AB102" i="1" s="1"/>
  <c r="AE102" i="1" l="1"/>
  <c r="AI102" i="1" s="1"/>
  <c r="AA102" i="1"/>
  <c r="AC102" i="1" s="1"/>
  <c r="AF102" i="1" s="1"/>
  <c r="AJ102" i="1" s="1"/>
  <c r="W103" i="1" l="1"/>
  <c r="Y103" i="1" s="1"/>
  <c r="AD103" i="1" s="1"/>
  <c r="AH103" i="1" s="1"/>
  <c r="X103" i="1" l="1"/>
  <c r="Z103" i="1" s="1"/>
  <c r="AE103" i="1" s="1"/>
  <c r="AI103" i="1" s="1"/>
  <c r="AB103" i="1" l="1"/>
  <c r="AA103" i="1"/>
  <c r="AC103" i="1" l="1"/>
  <c r="AF103" i="1" l="1"/>
  <c r="AJ103" i="1" s="1"/>
  <c r="W104" i="1"/>
  <c r="X104" i="1" l="1"/>
  <c r="Y104" i="1"/>
  <c r="Z104" i="1" l="1"/>
  <c r="AD104" i="1"/>
  <c r="AH104" i="1" s="1"/>
  <c r="AE104" i="1" l="1"/>
  <c r="AI104" i="1" s="1"/>
  <c r="AA104" i="1"/>
  <c r="AB104" i="1"/>
  <c r="AC104" i="1" l="1"/>
  <c r="AF104" i="1" s="1"/>
  <c r="AJ104" i="1" s="1"/>
  <c r="W105" i="1" l="1"/>
  <c r="Y105" i="1" s="1"/>
  <c r="X105" i="1" l="1"/>
  <c r="AD105" i="1"/>
  <c r="AH105" i="1" s="1"/>
  <c r="Z105" i="1"/>
  <c r="AA105" i="1" l="1"/>
  <c r="AE105" i="1"/>
  <c r="AI105" i="1" s="1"/>
  <c r="AB105" i="1"/>
  <c r="AC105" i="1" l="1"/>
  <c r="AF105" i="1" s="1"/>
  <c r="AJ105" i="1" s="1"/>
  <c r="W106" i="1" l="1"/>
  <c r="X106" i="1" s="1"/>
  <c r="Y106" i="1" l="1"/>
  <c r="AD106" i="1" s="1"/>
  <c r="AH106" i="1" s="1"/>
  <c r="Z106" i="1" l="1"/>
  <c r="AE106" i="1" s="1"/>
  <c r="AI106" i="1" s="1"/>
  <c r="AA106" i="1" l="1"/>
  <c r="AB106" i="1"/>
  <c r="AC106" i="1" s="1"/>
  <c r="AF106" i="1" l="1"/>
  <c r="AJ106" i="1" s="1"/>
  <c r="W107" i="1"/>
  <c r="Y107" i="1" s="1"/>
  <c r="AD107" i="1" s="1"/>
  <c r="AH107" i="1" s="1"/>
  <c r="X107" i="1"/>
  <c r="Z107" i="1" l="1"/>
  <c r="AE107" i="1" s="1"/>
  <c r="AI107" i="1" s="1"/>
  <c r="AA107" i="1" l="1"/>
  <c r="AB107" i="1"/>
  <c r="AC107" i="1" l="1"/>
  <c r="W108" i="1" l="1"/>
  <c r="AF107" i="1"/>
  <c r="AJ107" i="1" s="1"/>
  <c r="Y108" i="1" l="1"/>
  <c r="X108" i="1"/>
  <c r="AD108" i="1" l="1"/>
  <c r="AH108" i="1" s="1"/>
  <c r="Z108" i="1"/>
  <c r="AE108" i="1" l="1"/>
  <c r="AI108" i="1" s="1"/>
  <c r="AA108" i="1"/>
  <c r="AB108" i="1"/>
  <c r="AC108" i="1" l="1"/>
  <c r="AF108" i="1" s="1"/>
  <c r="AJ108" i="1" s="1"/>
  <c r="W109" i="1" l="1"/>
  <c r="X109" i="1" s="1"/>
  <c r="Y109" i="1" l="1"/>
  <c r="AD109" i="1"/>
  <c r="AH109" i="1" s="1"/>
  <c r="Z109" i="1"/>
  <c r="AB109" i="1" l="1"/>
  <c r="AE109" i="1"/>
  <c r="AI109" i="1" s="1"/>
  <c r="AA109" i="1"/>
  <c r="AC109" i="1" s="1"/>
  <c r="AF109" i="1" l="1"/>
  <c r="AJ109" i="1" s="1"/>
  <c r="W110" i="1"/>
  <c r="Y110" i="1" l="1"/>
  <c r="X110" i="1"/>
  <c r="AD110" i="1" l="1"/>
  <c r="AH110" i="1" s="1"/>
  <c r="Z110" i="1"/>
  <c r="AE110" i="1" l="1"/>
  <c r="AI110" i="1" s="1"/>
  <c r="AB110" i="1"/>
  <c r="AA110" i="1"/>
  <c r="AC110" i="1" l="1"/>
  <c r="AF110" i="1" s="1"/>
  <c r="AJ110" i="1" s="1"/>
  <c r="W111" i="1" l="1"/>
  <c r="Y111" i="1" s="1"/>
  <c r="X111" i="1" l="1"/>
  <c r="Z111" i="1" s="1"/>
  <c r="AD111" i="1"/>
  <c r="AH111" i="1" s="1"/>
  <c r="AB111" i="1" l="1"/>
  <c r="AA111" i="1"/>
  <c r="AE111" i="1"/>
  <c r="AI111" i="1" s="1"/>
  <c r="AC111" i="1" l="1"/>
  <c r="AF111" i="1" s="1"/>
  <c r="AJ111" i="1" s="1"/>
  <c r="W112" i="1" l="1"/>
  <c r="X112" i="1" s="1"/>
  <c r="Y112" i="1" l="1"/>
  <c r="Z112" i="1" s="1"/>
  <c r="AD112" i="1" l="1"/>
  <c r="AH112" i="1" s="1"/>
  <c r="AE112" i="1"/>
  <c r="AI112" i="1" s="1"/>
  <c r="AA112" i="1"/>
  <c r="AB112" i="1"/>
  <c r="AC112" i="1" l="1"/>
  <c r="AF112" i="1" s="1"/>
  <c r="AJ112" i="1" s="1"/>
  <c r="W113" i="1" l="1"/>
  <c r="Y113" i="1" s="1"/>
  <c r="AD113" i="1" s="1"/>
  <c r="AH113" i="1" s="1"/>
  <c r="X113" i="1" l="1"/>
  <c r="Z113" i="1" s="1"/>
  <c r="AA113" i="1" s="1"/>
  <c r="AE113" i="1" l="1"/>
  <c r="AI113" i="1" s="1"/>
  <c r="AB113" i="1"/>
  <c r="AC113" i="1" s="1"/>
  <c r="W114" i="1" l="1"/>
  <c r="Y114" i="1" s="1"/>
  <c r="AF113" i="1"/>
  <c r="AJ113" i="1" s="1"/>
  <c r="X114" i="1" l="1"/>
  <c r="AD114" i="1"/>
  <c r="AH114" i="1" s="1"/>
  <c r="Z114" i="1"/>
  <c r="AB114" i="1" l="1"/>
  <c r="AE114" i="1"/>
  <c r="AI114" i="1" s="1"/>
  <c r="AA114" i="1"/>
  <c r="AC114" i="1" l="1"/>
  <c r="AF114" i="1" s="1"/>
  <c r="AJ114" i="1" s="1"/>
  <c r="W115" i="1" l="1"/>
  <c r="Y115" i="1" s="1"/>
  <c r="AD115" i="1" s="1"/>
  <c r="AH115" i="1" s="1"/>
  <c r="X115" i="1" l="1"/>
  <c r="Z115" i="1" s="1"/>
  <c r="AE115" i="1" s="1"/>
  <c r="AI115" i="1" s="1"/>
  <c r="AB115" i="1" l="1"/>
  <c r="AA115" i="1"/>
  <c r="AC115" i="1" l="1"/>
  <c r="AF115" i="1" s="1"/>
  <c r="AJ115" i="1" s="1"/>
  <c r="W116" i="1"/>
  <c r="Y116" i="1" s="1"/>
  <c r="X116" i="1" l="1"/>
  <c r="Z116" i="1" s="1"/>
  <c r="AD116" i="1"/>
  <c r="AH116" i="1" s="1"/>
  <c r="AE116" i="1" l="1"/>
  <c r="AI116" i="1" s="1"/>
  <c r="AA116" i="1"/>
  <c r="AB116" i="1"/>
  <c r="AC116" i="1" l="1"/>
  <c r="AF116" i="1" s="1"/>
  <c r="AJ116" i="1" s="1"/>
  <c r="W117" i="1" l="1"/>
  <c r="Y117" i="1" s="1"/>
  <c r="AD117" i="1" s="1"/>
  <c r="AH117" i="1" s="1"/>
  <c r="X117" i="1" l="1"/>
  <c r="Z117" i="1" s="1"/>
  <c r="AB117" i="1" s="1"/>
  <c r="AE117" i="1"/>
  <c r="AI117" i="1" s="1"/>
  <c r="AA117" i="1" l="1"/>
  <c r="AC117" i="1"/>
  <c r="AF117" i="1" l="1"/>
  <c r="AJ117" i="1" s="1"/>
  <c r="W118" i="1"/>
  <c r="X118" i="1" l="1"/>
  <c r="Y118" i="1"/>
  <c r="Z118" i="1" l="1"/>
  <c r="AD118" i="1"/>
  <c r="AH118" i="1" s="1"/>
  <c r="AA118" i="1" l="1"/>
  <c r="AE118" i="1"/>
  <c r="AI118" i="1" s="1"/>
  <c r="AB118" i="1"/>
  <c r="AC118" i="1" s="1"/>
  <c r="AF118" i="1" s="1"/>
  <c r="AJ118" i="1" s="1"/>
  <c r="W119" i="1" l="1"/>
  <c r="Y119" i="1" l="1"/>
  <c r="X119" i="1"/>
  <c r="AD119" i="1" l="1"/>
  <c r="AH119" i="1" s="1"/>
  <c r="Z119" i="1"/>
  <c r="AE119" i="1" l="1"/>
  <c r="AI119" i="1" s="1"/>
  <c r="AA119" i="1"/>
  <c r="AB119" i="1"/>
  <c r="AC119" i="1" l="1"/>
  <c r="AF119" i="1"/>
  <c r="AJ119" i="1" s="1"/>
  <c r="W120" i="1"/>
  <c r="X120" i="1" l="1"/>
  <c r="Y120" i="1"/>
  <c r="AD120" i="1" l="1"/>
  <c r="AH120" i="1" s="1"/>
  <c r="Z120" i="1"/>
  <c r="AB120" i="1" l="1"/>
  <c r="AA120" i="1"/>
  <c r="AE120" i="1"/>
  <c r="AI120" i="1" s="1"/>
  <c r="AC120" i="1" l="1"/>
  <c r="AF120" i="1" s="1"/>
  <c r="AJ120" i="1" s="1"/>
  <c r="W121" i="1" l="1"/>
  <c r="X121" i="1" s="1"/>
  <c r="Y121" i="1" l="1"/>
  <c r="Z121" i="1" s="1"/>
  <c r="AD121" i="1" l="1"/>
  <c r="AH121" i="1" s="1"/>
  <c r="AA121" i="1"/>
  <c r="AE121" i="1"/>
  <c r="AI121" i="1" s="1"/>
  <c r="AB121" i="1"/>
  <c r="AC121" i="1" s="1"/>
  <c r="AF121" i="1" l="1"/>
  <c r="AJ121" i="1" s="1"/>
  <c r="W122" i="1"/>
  <c r="X122" i="1" l="1"/>
  <c r="Y122" i="1"/>
  <c r="AD122" i="1" l="1"/>
  <c r="AH122" i="1" s="1"/>
  <c r="Z122" i="1"/>
  <c r="AE122" i="1" l="1"/>
  <c r="AI122" i="1" s="1"/>
  <c r="AA122" i="1"/>
  <c r="AB122" i="1"/>
  <c r="AC122" i="1" l="1"/>
  <c r="W123" i="1"/>
  <c r="X123" i="1" s="1"/>
  <c r="AF122" i="1"/>
  <c r="AJ122" i="1" s="1"/>
  <c r="Y123" i="1" l="1"/>
  <c r="AD123" i="1" s="1"/>
  <c r="Z123" i="1" l="1"/>
  <c r="AB123" i="1" s="1"/>
  <c r="AH123" i="1"/>
  <c r="AA123" i="1" l="1"/>
  <c r="AC123" i="1" s="1"/>
  <c r="AF123" i="1" s="1"/>
  <c r="AJ123" i="1" s="1"/>
  <c r="AE123" i="1"/>
  <c r="AI123" i="1" s="1"/>
  <c r="W124" i="1" l="1"/>
  <c r="Y124" i="1" s="1"/>
  <c r="X124" i="1" l="1"/>
  <c r="Z124" i="1" s="1"/>
  <c r="AD124" i="1"/>
  <c r="AH124" i="1" l="1"/>
  <c r="AE124" i="1"/>
  <c r="AI124" i="1" s="1"/>
  <c r="AB124" i="1"/>
  <c r="AA124" i="1"/>
  <c r="AC124" i="1" l="1"/>
  <c r="AF124" i="1" s="1"/>
  <c r="AJ124" i="1" s="1"/>
  <c r="W125" i="1" l="1"/>
  <c r="X125" i="1" s="1"/>
  <c r="Y125" i="1" l="1"/>
  <c r="Z125" i="1" s="1"/>
  <c r="AD125" i="1" l="1"/>
  <c r="AH125" i="1" s="1"/>
  <c r="AA125" i="1"/>
  <c r="AB125" i="1"/>
  <c r="AE125" i="1"/>
  <c r="AI125" i="1" s="1"/>
  <c r="AC125" i="1" l="1"/>
  <c r="AF125" i="1" s="1"/>
  <c r="AJ125" i="1" s="1"/>
  <c r="W126" i="1" l="1"/>
  <c r="X126" i="1" s="1"/>
  <c r="Y126" i="1" l="1"/>
  <c r="Z126" i="1" s="1"/>
  <c r="AD126" i="1" l="1"/>
  <c r="AH126" i="1" s="1"/>
  <c r="AE126" i="1"/>
  <c r="AI126" i="1" s="1"/>
  <c r="AB126" i="1"/>
  <c r="AA126" i="1"/>
  <c r="AC126" i="1" l="1"/>
  <c r="AF126" i="1" s="1"/>
  <c r="AJ126" i="1" s="1"/>
  <c r="W127" i="1" l="1"/>
  <c r="Y127" i="1" s="1"/>
  <c r="AD127" i="1" s="1"/>
  <c r="AH127" i="1" s="1"/>
  <c r="X127" i="1" l="1"/>
  <c r="Z127" i="1" s="1"/>
  <c r="AE127" i="1" s="1"/>
  <c r="AI127" i="1" s="1"/>
  <c r="AB127" i="1" l="1"/>
  <c r="AA127" i="1"/>
  <c r="AC127" i="1" l="1"/>
  <c r="AF127" i="1" s="1"/>
  <c r="AJ127" i="1" s="1"/>
  <c r="W128" i="1" l="1"/>
  <c r="X128" i="1" s="1"/>
  <c r="Y128" i="1" l="1"/>
  <c r="AD128" i="1" s="1"/>
  <c r="AH128" i="1" s="1"/>
  <c r="Z128" i="1" l="1"/>
  <c r="AA128" i="1" s="1"/>
  <c r="AB128" i="1" l="1"/>
  <c r="AC128" i="1" s="1"/>
  <c r="AF128" i="1" s="1"/>
  <c r="AJ128" i="1" s="1"/>
  <c r="AE128" i="1"/>
  <c r="AI128" i="1" s="1"/>
  <c r="W129" i="1" l="1"/>
  <c r="Y129" i="1" s="1"/>
  <c r="AD129" i="1" s="1"/>
  <c r="AH129" i="1" s="1"/>
  <c r="X129" i="1" l="1"/>
  <c r="Z129" i="1" s="1"/>
  <c r="AE129" i="1" s="1"/>
  <c r="AI129" i="1" s="1"/>
  <c r="AB129" i="1" l="1"/>
  <c r="AA129" i="1"/>
  <c r="AC129" i="1" l="1"/>
  <c r="AF129" i="1" l="1"/>
  <c r="AJ129" i="1" s="1"/>
  <c r="W130" i="1"/>
  <c r="Y130" i="1" l="1"/>
  <c r="AD130" i="1" s="1"/>
  <c r="AH130" i="1" s="1"/>
  <c r="X130" i="1"/>
  <c r="Z130" i="1" l="1"/>
  <c r="AB130" i="1" s="1"/>
  <c r="AE130" i="1"/>
  <c r="AI130" i="1" s="1"/>
  <c r="AA130" i="1"/>
  <c r="AC130" i="1" l="1"/>
  <c r="AF130" i="1" s="1"/>
  <c r="AJ130" i="1" s="1"/>
  <c r="W131" i="1" l="1"/>
  <c r="X131" i="1" s="1"/>
  <c r="Y131" i="1" l="1"/>
  <c r="Z131" i="1" l="1"/>
  <c r="AD131" i="1"/>
  <c r="AH131" i="1" s="1"/>
  <c r="AA131" i="1" l="1"/>
  <c r="AE131" i="1"/>
  <c r="AI131" i="1" s="1"/>
  <c r="AB131" i="1"/>
  <c r="AC131" i="1" s="1"/>
  <c r="AF131" i="1" s="1"/>
  <c r="AJ131" i="1" s="1"/>
  <c r="W132" i="1" l="1"/>
  <c r="X132" i="1" s="1"/>
  <c r="Y132" i="1" l="1"/>
  <c r="Z132" i="1" s="1"/>
  <c r="AD132" i="1" l="1"/>
  <c r="AH132" i="1" s="1"/>
  <c r="AB132" i="1"/>
  <c r="AA132" i="1"/>
  <c r="AE132" i="1"/>
  <c r="AI132" i="1" s="1"/>
  <c r="AC132" i="1" l="1"/>
  <c r="W133" i="1" s="1"/>
  <c r="AF132" i="1" l="1"/>
  <c r="AJ132" i="1" s="1"/>
  <c r="Y133" i="1"/>
  <c r="AD133" i="1" s="1"/>
  <c r="AH133" i="1" s="1"/>
  <c r="X133" i="1"/>
  <c r="Z133" i="1" l="1"/>
  <c r="AA133" i="1" s="1"/>
  <c r="AB133" i="1" l="1"/>
  <c r="AC133" i="1" s="1"/>
  <c r="AF133" i="1" s="1"/>
  <c r="AJ133" i="1" s="1"/>
  <c r="AE133" i="1"/>
  <c r="AI133" i="1" s="1"/>
  <c r="W134" i="1" l="1"/>
  <c r="X134" i="1" s="1"/>
  <c r="Y134" i="1" l="1"/>
  <c r="AD134" i="1" s="1"/>
  <c r="AH134" i="1" s="1"/>
  <c r="Z134" i="1" l="1"/>
  <c r="AB134" i="1" s="1"/>
  <c r="AE134" i="1" l="1"/>
  <c r="AI134" i="1" s="1"/>
  <c r="AA134" i="1"/>
  <c r="AC134" i="1" s="1"/>
  <c r="W135" i="1" s="1"/>
  <c r="Y135" i="1" s="1"/>
  <c r="AF134" i="1" l="1"/>
  <c r="AJ134" i="1" s="1"/>
  <c r="X135" i="1"/>
  <c r="Z135" i="1" s="1"/>
  <c r="AD135" i="1"/>
  <c r="AH135" i="1" s="1"/>
  <c r="AB135" i="1" l="1"/>
  <c r="AA135" i="1"/>
  <c r="AE135" i="1"/>
  <c r="AI135" i="1" s="1"/>
  <c r="AC135" i="1" l="1"/>
  <c r="AF135" i="1" s="1"/>
  <c r="AJ135" i="1" s="1"/>
  <c r="W136" i="1" l="1"/>
  <c r="Y136" i="1" s="1"/>
  <c r="AD136" i="1" s="1"/>
  <c r="AH136" i="1" s="1"/>
  <c r="X136" i="1" l="1"/>
  <c r="Z136" i="1" s="1"/>
  <c r="AA136" i="1" s="1"/>
  <c r="AB136" i="1" l="1"/>
  <c r="AC136" i="1" s="1"/>
  <c r="W137" i="1" s="1"/>
  <c r="AE136" i="1"/>
  <c r="AI136" i="1" s="1"/>
  <c r="AF136" i="1" l="1"/>
  <c r="AJ136" i="1" s="1"/>
  <c r="Y137" i="1"/>
  <c r="X137" i="1"/>
  <c r="AD137" i="1" l="1"/>
  <c r="AH137" i="1" s="1"/>
  <c r="Z137" i="1"/>
  <c r="AA137" i="1" l="1"/>
  <c r="AB137" i="1"/>
  <c r="AE137" i="1"/>
  <c r="AI137" i="1" s="1"/>
  <c r="AC137" i="1" l="1"/>
  <c r="AF137" i="1" s="1"/>
  <c r="AJ137" i="1" s="1"/>
  <c r="W138" i="1" l="1"/>
  <c r="Y138" i="1" s="1"/>
  <c r="X138" i="1" l="1"/>
  <c r="Z138" i="1" s="1"/>
  <c r="AD138" i="1"/>
  <c r="AH138" i="1" s="1"/>
  <c r="AE138" i="1" l="1"/>
  <c r="AI138" i="1" s="1"/>
  <c r="AB138" i="1"/>
  <c r="AA138" i="1"/>
  <c r="AC138" i="1" l="1"/>
  <c r="AF138" i="1" s="1"/>
  <c r="AJ138" i="1" s="1"/>
  <c r="W139" i="1" l="1"/>
  <c r="X139" i="1" s="1"/>
  <c r="Y139" i="1" l="1"/>
  <c r="Z139" i="1" s="1"/>
  <c r="AD139" i="1" l="1"/>
  <c r="AH139" i="1" s="1"/>
  <c r="AE139" i="1"/>
  <c r="AI139" i="1" s="1"/>
  <c r="AB139" i="1"/>
  <c r="AA139" i="1"/>
  <c r="AC139" i="1" l="1"/>
  <c r="AF139" i="1" l="1"/>
  <c r="AJ139" i="1" s="1"/>
  <c r="W140" i="1"/>
  <c r="Y140" i="1" l="1"/>
  <c r="X140" i="1"/>
  <c r="Z140" i="1" l="1"/>
  <c r="AD140" i="1"/>
  <c r="AH140" i="1" s="1"/>
  <c r="AE140" i="1" l="1"/>
  <c r="AI140" i="1" s="1"/>
  <c r="AA140" i="1"/>
  <c r="AB140" i="1"/>
  <c r="AC140" i="1" l="1"/>
  <c r="AF140" i="1" s="1"/>
  <c r="AJ140" i="1" s="1"/>
  <c r="W141" i="1" l="1"/>
  <c r="Y141" i="1" s="1"/>
  <c r="X141" i="1" l="1"/>
  <c r="Z141" i="1" s="1"/>
  <c r="AD141" i="1"/>
  <c r="AH141" i="1" s="1"/>
  <c r="AE141" i="1" l="1"/>
  <c r="AI141" i="1" s="1"/>
  <c r="AB141" i="1"/>
  <c r="AA141" i="1"/>
  <c r="AC141" i="1" l="1"/>
  <c r="W142" i="1" s="1"/>
  <c r="AF141" i="1" l="1"/>
  <c r="AJ141" i="1" s="1"/>
  <c r="Y142" i="1"/>
  <c r="X142" i="1"/>
  <c r="AD142" i="1" l="1"/>
  <c r="AH142" i="1" s="1"/>
  <c r="Z142" i="1"/>
  <c r="AE142" i="1" l="1"/>
  <c r="AI142" i="1" s="1"/>
  <c r="AB142" i="1"/>
  <c r="AA142" i="1"/>
  <c r="AC142" i="1" l="1"/>
  <c r="AF142" i="1" l="1"/>
  <c r="AJ142" i="1" s="1"/>
  <c r="W143" i="1"/>
  <c r="X143" i="1" l="1"/>
  <c r="Y143" i="1"/>
  <c r="Z143" i="1" l="1"/>
  <c r="AD143" i="1"/>
  <c r="AH143" i="1" l="1"/>
  <c r="AE143" i="1"/>
  <c r="AI143" i="1" s="1"/>
  <c r="AB143" i="1"/>
  <c r="AA143" i="1"/>
  <c r="AC143" i="1" l="1"/>
  <c r="AF143" i="1" s="1"/>
  <c r="AJ143" i="1" s="1"/>
  <c r="W144" i="1" l="1"/>
  <c r="X144" i="1" s="1"/>
  <c r="Y144" i="1" l="1"/>
  <c r="Z144" i="1" s="1"/>
  <c r="AD144" i="1" l="1"/>
  <c r="AH144" i="1" s="1"/>
  <c r="AA144" i="1"/>
  <c r="AB144" i="1"/>
  <c r="AE144" i="1"/>
  <c r="AI144" i="1" s="1"/>
  <c r="AC144" i="1" l="1"/>
  <c r="AF144" i="1" s="1"/>
  <c r="AJ144" i="1" s="1"/>
  <c r="W145" i="1" l="1"/>
  <c r="X145" i="1" s="1"/>
  <c r="Y145" i="1" l="1"/>
  <c r="Z145" i="1" s="1"/>
  <c r="AD145" i="1" l="1"/>
  <c r="AH145" i="1"/>
  <c r="AA145" i="1"/>
  <c r="AB145" i="1"/>
  <c r="AE145" i="1"/>
  <c r="AI145" i="1" s="1"/>
  <c r="AC145" i="1" l="1"/>
  <c r="AF145" i="1" s="1"/>
  <c r="AJ145" i="1" s="1"/>
  <c r="W146" i="1" l="1"/>
  <c r="X146" i="1" s="1"/>
  <c r="Y146" i="1" l="1"/>
  <c r="Z146" i="1" s="1"/>
  <c r="AD146" i="1" l="1"/>
  <c r="AH146" i="1" s="1"/>
  <c r="AA146" i="1"/>
  <c r="AE146" i="1"/>
  <c r="AI146" i="1" s="1"/>
  <c r="AB146" i="1"/>
  <c r="AC146" i="1" l="1"/>
  <c r="AF146" i="1" s="1"/>
  <c r="AJ146" i="1" s="1"/>
  <c r="W147" i="1"/>
  <c r="X147" i="1" l="1"/>
  <c r="Y147" i="1"/>
  <c r="Z147" i="1" l="1"/>
  <c r="AD147" i="1"/>
  <c r="AH147" i="1" s="1"/>
  <c r="AA147" i="1" l="1"/>
  <c r="AE147" i="1"/>
  <c r="AI147" i="1" s="1"/>
  <c r="AB147" i="1"/>
  <c r="AC147" i="1" l="1"/>
  <c r="AF147" i="1"/>
  <c r="AJ147" i="1" s="1"/>
  <c r="W148" i="1"/>
  <c r="X148" i="1" l="1"/>
  <c r="Y148" i="1"/>
  <c r="Z148" i="1" l="1"/>
  <c r="AD148" i="1"/>
  <c r="AH148" i="1" s="1"/>
  <c r="AA148" i="1" l="1"/>
  <c r="AB148" i="1"/>
  <c r="AE148" i="1"/>
  <c r="AI148" i="1" s="1"/>
  <c r="AC148" i="1" l="1"/>
  <c r="AF148" i="1" s="1"/>
  <c r="AJ148" i="1" s="1"/>
  <c r="W149" i="1" l="1"/>
  <c r="X149" i="1" s="1"/>
  <c r="Y149" i="1" l="1"/>
  <c r="Z149" i="1"/>
  <c r="AD149" i="1"/>
  <c r="AH149" i="1" s="1"/>
  <c r="AE149" i="1" l="1"/>
  <c r="AI149" i="1" s="1"/>
  <c r="AA149" i="1"/>
  <c r="AB149" i="1"/>
  <c r="AC149" i="1" l="1"/>
  <c r="AF149" i="1" s="1"/>
  <c r="AJ149" i="1" s="1"/>
  <c r="W150" i="1" l="1"/>
  <c r="Y150" i="1" s="1"/>
  <c r="AD150" i="1" s="1"/>
  <c r="AH150" i="1" s="1"/>
  <c r="X150" i="1" l="1"/>
  <c r="Z150" i="1" s="1"/>
  <c r="AE150" i="1" s="1"/>
  <c r="AI150" i="1" s="1"/>
  <c r="AB150" i="1" l="1"/>
  <c r="AA150" i="1"/>
  <c r="AC150" i="1" s="1"/>
  <c r="AF150" i="1" s="1"/>
  <c r="AJ150" i="1" s="1"/>
  <c r="W151" i="1" l="1"/>
  <c r="Y151" i="1" s="1"/>
  <c r="X151" i="1" l="1"/>
  <c r="AD151" i="1"/>
  <c r="AH151" i="1" s="1"/>
  <c r="Z151" i="1"/>
  <c r="AB151" i="1" l="1"/>
  <c r="AE151" i="1"/>
  <c r="AI151" i="1" s="1"/>
  <c r="AA151" i="1"/>
  <c r="AC151" i="1" l="1"/>
  <c r="AF151" i="1" s="1"/>
  <c r="AJ151" i="1" s="1"/>
  <c r="W152" i="1" l="1"/>
  <c r="X152" i="1" s="1"/>
  <c r="Y152" i="1" l="1"/>
  <c r="Z152" i="1" s="1"/>
  <c r="AA152" i="1" s="1"/>
  <c r="AD152" i="1" l="1"/>
  <c r="AH152" i="1" s="1"/>
  <c r="AE152" i="1"/>
  <c r="AI152" i="1" s="1"/>
  <c r="AB152" i="1"/>
  <c r="AC152" i="1" s="1"/>
  <c r="AF152" i="1" s="1"/>
  <c r="AJ152" i="1" s="1"/>
  <c r="W153" i="1" l="1"/>
  <c r="Y153" i="1" s="1"/>
  <c r="X153" i="1" l="1"/>
  <c r="Z153" i="1" s="1"/>
  <c r="AD153" i="1"/>
  <c r="AH153" i="1" s="1"/>
  <c r="AB153" i="1" l="1"/>
  <c r="AA153" i="1"/>
  <c r="AE153" i="1"/>
  <c r="AI153" i="1" s="1"/>
  <c r="AC153" i="1" l="1"/>
  <c r="AF153" i="1" s="1"/>
  <c r="AJ153" i="1" s="1"/>
  <c r="W154" i="1"/>
  <c r="X154" i="1" l="1"/>
  <c r="Y154" i="1"/>
  <c r="AD154" i="1" l="1"/>
  <c r="AH154" i="1" s="1"/>
  <c r="Z154" i="1"/>
  <c r="AB154" i="1" l="1"/>
  <c r="AA154" i="1"/>
  <c r="AE154" i="1"/>
  <c r="AI154" i="1" s="1"/>
  <c r="AC154" i="1" l="1"/>
  <c r="AF154" i="1" s="1"/>
  <c r="AJ154" i="1" s="1"/>
  <c r="W155" i="1" l="1"/>
  <c r="X155" i="1" s="1"/>
  <c r="Y155" i="1" l="1"/>
  <c r="Z155" i="1" s="1"/>
  <c r="AD155" i="1" l="1"/>
  <c r="AH155" i="1" s="1"/>
  <c r="AB155" i="1"/>
  <c r="AA155" i="1"/>
  <c r="AE155" i="1"/>
  <c r="AI155" i="1" s="1"/>
  <c r="AC155" i="1" l="1"/>
  <c r="AF155" i="1" s="1"/>
  <c r="AJ155" i="1" s="1"/>
  <c r="W156" i="1" l="1"/>
  <c r="Y156" i="1" s="1"/>
  <c r="X156" i="1" l="1"/>
  <c r="Z156" i="1" s="1"/>
  <c r="AD156" i="1"/>
  <c r="AH156" i="1" s="1"/>
  <c r="AA156" i="1" l="1"/>
  <c r="AB156" i="1"/>
  <c r="AE156" i="1"/>
  <c r="AI156" i="1" s="1"/>
  <c r="AC156" i="1" l="1"/>
  <c r="AF156" i="1" s="1"/>
  <c r="AJ156" i="1" s="1"/>
  <c r="W157" i="1" l="1"/>
  <c r="X157" i="1" s="1"/>
  <c r="Y157" i="1" l="1"/>
  <c r="Z157" i="1" s="1"/>
  <c r="AD157" i="1" l="1"/>
  <c r="AH157" i="1" s="1"/>
  <c r="AE157" i="1"/>
  <c r="AI157" i="1" s="1"/>
  <c r="AA157" i="1"/>
  <c r="AB157" i="1"/>
  <c r="AC157" i="1" l="1"/>
  <c r="AF157" i="1" s="1"/>
  <c r="AJ157" i="1" s="1"/>
  <c r="W158" i="1" l="1"/>
  <c r="X158" i="1" s="1"/>
  <c r="Y158" i="1" l="1"/>
  <c r="Z158" i="1" s="1"/>
  <c r="AD158" i="1" l="1"/>
  <c r="AH158" i="1" s="1"/>
  <c r="AB158" i="1"/>
  <c r="AA158" i="1"/>
  <c r="AE158" i="1"/>
  <c r="AI158" i="1" s="1"/>
  <c r="AC158" i="1" l="1"/>
  <c r="W159" i="1" l="1"/>
  <c r="AF158" i="1"/>
  <c r="AJ158" i="1" s="1"/>
  <c r="X159" i="1" l="1"/>
  <c r="Y159" i="1"/>
  <c r="Z159" i="1" l="1"/>
  <c r="AD159" i="1"/>
  <c r="AH159" i="1" s="1"/>
  <c r="AB159" i="1" l="1"/>
  <c r="AA159" i="1"/>
  <c r="AE159" i="1"/>
  <c r="AI159" i="1" s="1"/>
  <c r="AC159" i="1" l="1"/>
  <c r="AF159" i="1" s="1"/>
  <c r="AJ159" i="1" s="1"/>
  <c r="W160" i="1" l="1"/>
  <c r="Y160" i="1" s="1"/>
  <c r="X160" i="1" l="1"/>
  <c r="Z160" i="1" s="1"/>
  <c r="AD160" i="1"/>
  <c r="AH160" i="1" s="1"/>
  <c r="AA160" i="1" l="1"/>
  <c r="AB160" i="1"/>
  <c r="AE160" i="1"/>
  <c r="AI160" i="1" s="1"/>
  <c r="AC160" i="1" l="1"/>
  <c r="W161" i="1" s="1"/>
  <c r="Y161" i="1" s="1"/>
  <c r="AF160" i="1" l="1"/>
  <c r="AJ160" i="1" s="1"/>
  <c r="X161" i="1"/>
  <c r="Z161" i="1" s="1"/>
  <c r="AD161" i="1"/>
  <c r="AH161" i="1" l="1"/>
  <c r="AB161" i="1"/>
  <c r="AA161" i="1"/>
  <c r="AE161" i="1"/>
  <c r="AI161" i="1" s="1"/>
  <c r="AC161" i="1" l="1"/>
  <c r="AF161" i="1" l="1"/>
  <c r="AJ161" i="1" s="1"/>
  <c r="W162" i="1"/>
  <c r="X162" i="1" l="1"/>
  <c r="Y162" i="1"/>
  <c r="Z162" i="1" l="1"/>
  <c r="AD162" i="1"/>
  <c r="AH162" i="1" l="1"/>
  <c r="AE162" i="1"/>
  <c r="AI162" i="1" s="1"/>
  <c r="AA162" i="1"/>
  <c r="AB162" i="1"/>
  <c r="AC162" i="1" l="1"/>
  <c r="AF162" i="1" l="1"/>
  <c r="AJ162" i="1" s="1"/>
  <c r="W163" i="1"/>
  <c r="Y163" i="1" l="1"/>
  <c r="X163" i="1"/>
  <c r="Z163" i="1" l="1"/>
  <c r="AD163" i="1"/>
  <c r="AH163" i="1" l="1"/>
  <c r="AA163" i="1"/>
  <c r="AE163" i="1"/>
  <c r="AI163" i="1" s="1"/>
  <c r="AB163" i="1"/>
  <c r="AC163" i="1" s="1"/>
  <c r="AF163" i="1" s="1"/>
  <c r="AJ163" i="1" s="1"/>
  <c r="W164" i="1" l="1"/>
  <c r="Y164" i="1" l="1"/>
  <c r="X164" i="1"/>
  <c r="Z164" i="1" l="1"/>
  <c r="AD164" i="1"/>
  <c r="AH164" i="1" l="1"/>
  <c r="AA164" i="1"/>
  <c r="AB164" i="1"/>
  <c r="AE164" i="1"/>
  <c r="AI164" i="1" s="1"/>
  <c r="AC164" i="1" l="1"/>
  <c r="AF164" i="1" s="1"/>
  <c r="AJ164" i="1" s="1"/>
  <c r="W165" i="1" l="1"/>
  <c r="Y165" i="1" s="1"/>
  <c r="X165" i="1" l="1"/>
  <c r="Z165" i="1" s="1"/>
  <c r="AD165" i="1"/>
  <c r="AH165" i="1" l="1"/>
  <c r="AA165" i="1"/>
  <c r="AB165" i="1"/>
  <c r="AE165" i="1"/>
  <c r="AI165" i="1" s="1"/>
  <c r="AC165" i="1" l="1"/>
  <c r="AF165" i="1" s="1"/>
  <c r="AJ165" i="1" s="1"/>
  <c r="W166" i="1" l="1"/>
  <c r="Y166" i="1" s="1"/>
  <c r="X166" i="1" l="1"/>
  <c r="Z166" i="1" s="1"/>
  <c r="AD166" i="1"/>
  <c r="AH166" i="1" l="1"/>
  <c r="AE166" i="1"/>
  <c r="AI166" i="1" s="1"/>
  <c r="AB166" i="1"/>
  <c r="AA166" i="1"/>
  <c r="AC166" i="1" l="1"/>
  <c r="AF166" i="1" s="1"/>
  <c r="AJ166" i="1" s="1"/>
  <c r="W167" i="1" l="1"/>
  <c r="Y167" i="1" s="1"/>
  <c r="X167" i="1" l="1"/>
  <c r="Z167" i="1" s="1"/>
  <c r="AD167" i="1"/>
  <c r="AH167" i="1" l="1"/>
  <c r="AE167" i="1"/>
  <c r="AI167" i="1" s="1"/>
  <c r="AA167" i="1"/>
  <c r="AB167" i="1"/>
  <c r="AC167" i="1" l="1"/>
  <c r="AF167" i="1" s="1"/>
  <c r="AJ167" i="1" s="1"/>
  <c r="W168" i="1" l="1"/>
  <c r="Y168" i="1" s="1"/>
  <c r="X168" i="1" l="1"/>
  <c r="Z168" i="1" s="1"/>
  <c r="AD168" i="1"/>
  <c r="AH168" i="1" l="1"/>
  <c r="AE168" i="1"/>
  <c r="AI168" i="1" s="1"/>
  <c r="AA168" i="1"/>
  <c r="AB168" i="1"/>
  <c r="AC168" i="1" l="1"/>
  <c r="AF168" i="1" s="1"/>
  <c r="AJ168" i="1" s="1"/>
  <c r="W169" i="1" l="1"/>
  <c r="X169" i="1" s="1"/>
  <c r="Y169" i="1" l="1"/>
  <c r="Z169" i="1" s="1"/>
  <c r="AD169" i="1" l="1"/>
  <c r="AH169" i="1" s="1"/>
  <c r="AB169" i="1"/>
  <c r="AA169" i="1"/>
  <c r="AE169" i="1"/>
  <c r="AI169" i="1" s="1"/>
  <c r="AC169" i="1" l="1"/>
  <c r="AF169" i="1" l="1"/>
  <c r="AJ169" i="1" s="1"/>
  <c r="W170" i="1"/>
  <c r="X170" i="1" l="1"/>
  <c r="Y170" i="1"/>
  <c r="Z170" i="1" l="1"/>
  <c r="AD170" i="1"/>
  <c r="AH170" i="1" l="1"/>
  <c r="AE170" i="1"/>
  <c r="AI170" i="1" s="1"/>
  <c r="AA170" i="1"/>
  <c r="AB170" i="1"/>
  <c r="AC170" i="1" l="1"/>
  <c r="AF170" i="1" s="1"/>
  <c r="AJ170" i="1" s="1"/>
  <c r="W171" i="1" l="1"/>
  <c r="X171" i="1" s="1"/>
  <c r="Y171" i="1" l="1"/>
  <c r="Z171" i="1" s="1"/>
  <c r="AD171" i="1" l="1"/>
  <c r="AH171" i="1" s="1"/>
  <c r="AA171" i="1"/>
  <c r="AB171" i="1"/>
  <c r="AE171" i="1"/>
  <c r="AI171" i="1" s="1"/>
  <c r="AC171" i="1" l="1"/>
  <c r="AF171" i="1" s="1"/>
  <c r="AJ171" i="1" s="1"/>
  <c r="W172" i="1" l="1"/>
  <c r="Y172" i="1" s="1"/>
  <c r="X172" i="1" l="1"/>
  <c r="Z172" i="1" s="1"/>
  <c r="AD172" i="1"/>
  <c r="AH172" i="1" l="1"/>
  <c r="AA172" i="1"/>
  <c r="AE172" i="1"/>
  <c r="AI172" i="1" s="1"/>
  <c r="AB172" i="1"/>
  <c r="AC172" i="1" l="1"/>
  <c r="AF172" i="1" s="1"/>
  <c r="AJ172" i="1" s="1"/>
  <c r="W173" i="1"/>
  <c r="Y173" i="1" l="1"/>
  <c r="X173" i="1"/>
  <c r="Z173" i="1" l="1"/>
  <c r="AD173" i="1"/>
  <c r="AH173" i="1" l="1"/>
  <c r="AB173" i="1"/>
  <c r="AE173" i="1"/>
  <c r="AI173" i="1" s="1"/>
  <c r="AA173" i="1"/>
  <c r="AC173" i="1" l="1"/>
  <c r="AF173" i="1" s="1"/>
  <c r="AJ173" i="1" s="1"/>
  <c r="W174" i="1" l="1"/>
  <c r="X174" i="1" s="1"/>
  <c r="Y174" i="1" l="1"/>
  <c r="Z174" i="1" s="1"/>
  <c r="AD174" i="1" l="1"/>
  <c r="AH174" i="1" s="1"/>
  <c r="AE174" i="1"/>
  <c r="AI174" i="1" s="1"/>
  <c r="AB174" i="1"/>
  <c r="AA174" i="1"/>
  <c r="AC174" i="1" l="1"/>
  <c r="AF174" i="1" l="1"/>
  <c r="AJ174" i="1" s="1"/>
  <c r="W175" i="1"/>
  <c r="X175" i="1" l="1"/>
  <c r="Y175" i="1"/>
  <c r="Z175" i="1" l="1"/>
  <c r="AD175" i="1"/>
  <c r="AH175" i="1" l="1"/>
  <c r="AA175" i="1"/>
  <c r="AB175" i="1"/>
  <c r="AE175" i="1"/>
  <c r="AI175" i="1" s="1"/>
  <c r="AC175" i="1" l="1"/>
  <c r="AF175" i="1" s="1"/>
  <c r="AJ175" i="1" s="1"/>
  <c r="W176" i="1" l="1"/>
  <c r="X176" i="1" s="1"/>
  <c r="Y176" i="1" l="1"/>
  <c r="Z176" i="1" s="1"/>
  <c r="AD176" i="1" l="1"/>
  <c r="AH176" i="1"/>
  <c r="AB176" i="1"/>
  <c r="AE176" i="1"/>
  <c r="AI176" i="1" s="1"/>
  <c r="AA176" i="1"/>
  <c r="AC176" i="1" s="1"/>
  <c r="AF176" i="1" l="1"/>
  <c r="AJ176" i="1" s="1"/>
  <c r="W177" i="1"/>
  <c r="Y177" i="1" l="1"/>
  <c r="X177" i="1"/>
  <c r="Z177" i="1" l="1"/>
  <c r="AD177" i="1"/>
  <c r="AH177" i="1" l="1"/>
  <c r="AA177" i="1"/>
  <c r="AB177" i="1"/>
  <c r="AE177" i="1"/>
  <c r="AI177" i="1" s="1"/>
  <c r="AC177" i="1" l="1"/>
  <c r="AF177" i="1" s="1"/>
  <c r="AJ177" i="1" s="1"/>
  <c r="W178" i="1"/>
  <c r="Y178" i="1" l="1"/>
  <c r="X178" i="1"/>
  <c r="Z178" i="1" l="1"/>
  <c r="AD178" i="1"/>
  <c r="AH178" i="1" l="1"/>
  <c r="AE178" i="1"/>
  <c r="AI178" i="1" s="1"/>
  <c r="AA178" i="1"/>
  <c r="AB178" i="1"/>
  <c r="AC178" i="1" l="1"/>
  <c r="AF178" i="1" s="1"/>
  <c r="AJ178" i="1" s="1"/>
  <c r="W179" i="1" l="1"/>
  <c r="Y179" i="1" s="1"/>
  <c r="X179" i="1" l="1"/>
  <c r="Z179" i="1" s="1"/>
  <c r="AD179" i="1"/>
  <c r="AH179" i="1" l="1"/>
  <c r="AB179" i="1"/>
  <c r="AE179" i="1"/>
  <c r="AI179" i="1" s="1"/>
  <c r="AA179" i="1"/>
  <c r="AC179" i="1" l="1"/>
  <c r="AF179" i="1" l="1"/>
  <c r="AJ179" i="1" s="1"/>
  <c r="W180" i="1"/>
  <c r="Y180" i="1" l="1"/>
  <c r="X180" i="1"/>
  <c r="Z180" i="1" l="1"/>
  <c r="AD180" i="1"/>
  <c r="AH180" i="1" l="1"/>
  <c r="AA180" i="1"/>
  <c r="AE180" i="1"/>
  <c r="AI180" i="1" s="1"/>
  <c r="AB180" i="1"/>
  <c r="AC180" i="1" l="1"/>
  <c r="AF180" i="1" s="1"/>
  <c r="AJ180" i="1" s="1"/>
  <c r="W181" i="1" l="1"/>
  <c r="Y181" i="1" s="1"/>
  <c r="X181" i="1" l="1"/>
  <c r="Z181" i="1" s="1"/>
  <c r="AD181" i="1"/>
  <c r="AH181" i="1" l="1"/>
  <c r="AB181" i="1"/>
  <c r="AA181" i="1"/>
  <c r="AE181" i="1"/>
  <c r="AI181" i="1" s="1"/>
  <c r="AC181" i="1" l="1"/>
  <c r="AF181" i="1" s="1"/>
  <c r="AJ181" i="1" s="1"/>
  <c r="W182" i="1" l="1"/>
  <c r="Y182" i="1" s="1"/>
  <c r="X182" i="1" l="1"/>
  <c r="Z182" i="1" s="1"/>
  <c r="AD182" i="1"/>
  <c r="AH182" i="1" l="1"/>
  <c r="AB182" i="1"/>
  <c r="AE182" i="1"/>
  <c r="AI182" i="1" s="1"/>
  <c r="AA182" i="1"/>
  <c r="AC182" i="1" l="1"/>
  <c r="AF182" i="1" l="1"/>
  <c r="AJ182" i="1" s="1"/>
  <c r="W183" i="1"/>
  <c r="Y183" i="1" l="1"/>
  <c r="X183" i="1"/>
  <c r="Z183" i="1" l="1"/>
  <c r="AD183" i="1"/>
  <c r="AH183" i="1" l="1"/>
  <c r="AA183" i="1"/>
  <c r="AB183" i="1"/>
  <c r="AE183" i="1"/>
  <c r="AI183" i="1" s="1"/>
  <c r="AC183" i="1" l="1"/>
  <c r="AF183" i="1" s="1"/>
  <c r="AJ183" i="1" s="1"/>
  <c r="W184" i="1" l="1"/>
  <c r="X184" i="1" s="1"/>
  <c r="Y184" i="1" l="1"/>
  <c r="Z184" i="1" s="1"/>
  <c r="AD184" i="1" l="1"/>
  <c r="AH184" i="1" s="1"/>
  <c r="AA184" i="1"/>
  <c r="AB184" i="1"/>
  <c r="AE184" i="1"/>
  <c r="AI184" i="1" s="1"/>
  <c r="AC184" i="1" l="1"/>
  <c r="AF184" i="1" l="1"/>
  <c r="AJ184" i="1" s="1"/>
  <c r="W185" i="1"/>
  <c r="Y185" i="1" l="1"/>
  <c r="X185" i="1"/>
  <c r="Z185" i="1" l="1"/>
  <c r="AD185" i="1"/>
  <c r="AH185" i="1" l="1"/>
  <c r="AE185" i="1"/>
  <c r="AI185" i="1" s="1"/>
  <c r="AB185" i="1"/>
  <c r="AA185" i="1"/>
  <c r="AC185" i="1" l="1"/>
  <c r="AF185" i="1" s="1"/>
  <c r="AJ185" i="1" s="1"/>
  <c r="W186" i="1" l="1"/>
  <c r="X186" i="1" s="1"/>
  <c r="Y186" i="1" l="1"/>
  <c r="Z186" i="1" s="1"/>
  <c r="AD186" i="1" l="1"/>
  <c r="AH186" i="1" s="1"/>
  <c r="AE186" i="1"/>
  <c r="AI186" i="1" s="1"/>
  <c r="AB186" i="1"/>
  <c r="AA186" i="1"/>
  <c r="AC186" i="1" l="1"/>
  <c r="AF186" i="1" s="1"/>
  <c r="AJ186" i="1" s="1"/>
  <c r="W187" i="1" l="1"/>
  <c r="Y187" i="1" s="1"/>
  <c r="X187" i="1" l="1"/>
  <c r="Z187" i="1" s="1"/>
  <c r="AD187" i="1"/>
  <c r="AH187" i="1" l="1"/>
  <c r="AB187" i="1"/>
  <c r="AA187" i="1"/>
  <c r="AE187" i="1"/>
  <c r="AI187" i="1" s="1"/>
  <c r="AC187" i="1" l="1"/>
  <c r="AF187" i="1" s="1"/>
  <c r="AJ187" i="1" s="1"/>
  <c r="W188" i="1" l="1"/>
  <c r="Y188" i="1" s="1"/>
  <c r="X188" i="1" l="1"/>
  <c r="Z188" i="1" s="1"/>
  <c r="AD188" i="1"/>
  <c r="AH188" i="1" l="1"/>
  <c r="AA188" i="1"/>
  <c r="AB188" i="1"/>
  <c r="AE188" i="1"/>
  <c r="AI188" i="1" s="1"/>
  <c r="AC188" i="1" l="1"/>
  <c r="AF188" i="1" l="1"/>
  <c r="AJ188" i="1" s="1"/>
  <c r="W189" i="1"/>
  <c r="X189" i="1" l="1"/>
  <c r="Y189" i="1"/>
  <c r="Z189" i="1" l="1"/>
  <c r="AD189" i="1"/>
  <c r="AH189" i="1" l="1"/>
  <c r="AA189" i="1"/>
  <c r="AE189" i="1"/>
  <c r="AI189" i="1" s="1"/>
  <c r="AB189" i="1"/>
  <c r="AC189" i="1" s="1"/>
  <c r="AF189" i="1" s="1"/>
  <c r="AJ189" i="1" s="1"/>
  <c r="W190" i="1" l="1"/>
  <c r="X190" i="1" l="1"/>
  <c r="Y190" i="1"/>
  <c r="Z190" i="1" l="1"/>
  <c r="AD190" i="1"/>
  <c r="AH190" i="1" l="1"/>
  <c r="AA190" i="1"/>
  <c r="AE190" i="1"/>
  <c r="AI190" i="1" s="1"/>
  <c r="AB190" i="1"/>
  <c r="AC190" i="1" s="1"/>
  <c r="AF190" i="1" s="1"/>
  <c r="AJ190" i="1" s="1"/>
  <c r="W191" i="1" l="1"/>
  <c r="X191" i="1" l="1"/>
  <c r="Y191" i="1"/>
  <c r="Z191" i="1" l="1"/>
  <c r="AD191" i="1"/>
  <c r="AH191" i="1" l="1"/>
  <c r="AB191" i="1"/>
  <c r="AA191" i="1"/>
  <c r="AE191" i="1"/>
  <c r="AI191" i="1" s="1"/>
  <c r="AC191" i="1" l="1"/>
  <c r="AF191" i="1" s="1"/>
  <c r="AJ191" i="1" s="1"/>
  <c r="W192" i="1" l="1"/>
  <c r="X192" i="1" s="1"/>
  <c r="Y192" i="1" l="1"/>
  <c r="Z192" i="1" s="1"/>
  <c r="AD192" i="1" l="1"/>
  <c r="AH192" i="1" s="1"/>
  <c r="AB192" i="1"/>
  <c r="AE192" i="1"/>
  <c r="AI192" i="1" s="1"/>
  <c r="AA192" i="1"/>
  <c r="AC192" i="1" l="1"/>
  <c r="AF192" i="1" s="1"/>
  <c r="AJ192" i="1" s="1"/>
  <c r="W193" i="1" l="1"/>
  <c r="X193" i="1" s="1"/>
  <c r="Y193" i="1" l="1"/>
  <c r="Z193" i="1" s="1"/>
  <c r="AD193" i="1" l="1"/>
  <c r="AH193" i="1" s="1"/>
  <c r="AA193" i="1"/>
  <c r="AB193" i="1"/>
  <c r="AE193" i="1"/>
  <c r="AI193" i="1" s="1"/>
  <c r="AC193" i="1" l="1"/>
  <c r="AF193" i="1" s="1"/>
  <c r="AJ193" i="1" s="1"/>
  <c r="W194" i="1" l="1"/>
  <c r="Y194" i="1" s="1"/>
  <c r="X194" i="1" l="1"/>
  <c r="Z194" i="1" s="1"/>
  <c r="AD194" i="1"/>
  <c r="AH194" i="1" l="1"/>
  <c r="AA194" i="1"/>
  <c r="AB194" i="1"/>
  <c r="AE194" i="1"/>
  <c r="AI194" i="1" s="1"/>
  <c r="AC194" i="1" l="1"/>
  <c r="AF194" i="1" s="1"/>
  <c r="AJ194" i="1" s="1"/>
  <c r="W195" i="1" l="1"/>
  <c r="X195" i="1" s="1"/>
  <c r="Y195" i="1" l="1"/>
  <c r="Z195" i="1"/>
  <c r="AD195" i="1"/>
  <c r="AH195" i="1" l="1"/>
  <c r="AB195" i="1"/>
  <c r="AA195" i="1"/>
  <c r="AE195" i="1"/>
  <c r="AI195" i="1" s="1"/>
  <c r="AC195" i="1" l="1"/>
  <c r="AF195" i="1" l="1"/>
  <c r="AJ195" i="1" s="1"/>
  <c r="W196" i="1"/>
  <c r="Y196" i="1" l="1"/>
  <c r="X196" i="1"/>
  <c r="Z196" i="1" l="1"/>
  <c r="AD196" i="1"/>
  <c r="AH196" i="1" l="1"/>
  <c r="AE196" i="1"/>
  <c r="AI196" i="1" s="1"/>
  <c r="AA196" i="1"/>
  <c r="AB196" i="1"/>
  <c r="AC196" i="1" l="1"/>
  <c r="AF196" i="1" s="1"/>
  <c r="AJ196" i="1" s="1"/>
  <c r="W197" i="1" l="1"/>
  <c r="Y197" i="1" s="1"/>
  <c r="X197" i="1" l="1"/>
  <c r="Z197" i="1" s="1"/>
  <c r="AD197" i="1"/>
  <c r="AH197" i="1" l="1"/>
  <c r="AE197" i="1"/>
  <c r="AI197" i="1" s="1"/>
  <c r="AB197" i="1"/>
  <c r="AA197" i="1"/>
  <c r="AC197" i="1" l="1"/>
  <c r="AF197" i="1" l="1"/>
  <c r="AJ197" i="1" s="1"/>
  <c r="W198" i="1"/>
  <c r="X198" i="1" l="1"/>
  <c r="Y198" i="1"/>
  <c r="Z198" i="1" l="1"/>
  <c r="AD198" i="1"/>
  <c r="AH198" i="1" l="1"/>
  <c r="AE198" i="1"/>
  <c r="AI198" i="1" s="1"/>
  <c r="AB198" i="1"/>
  <c r="AA198" i="1"/>
  <c r="AC198" i="1" l="1"/>
  <c r="AF198" i="1" l="1"/>
  <c r="AJ198" i="1" s="1"/>
  <c r="W199" i="1"/>
  <c r="Y199" i="1" l="1"/>
  <c r="X199" i="1"/>
  <c r="Z199" i="1" l="1"/>
  <c r="AD199" i="1"/>
  <c r="AH199" i="1" l="1"/>
  <c r="AA199" i="1"/>
  <c r="AE199" i="1"/>
  <c r="AI199" i="1" s="1"/>
  <c r="AB199" i="1"/>
  <c r="AC199" i="1" l="1"/>
  <c r="AF199" i="1" s="1"/>
  <c r="AJ199" i="1" s="1"/>
  <c r="W200" i="1"/>
  <c r="X200" i="1" l="1"/>
  <c r="Y200" i="1"/>
  <c r="Z200" i="1" l="1"/>
  <c r="AD200" i="1"/>
  <c r="AH200" i="1" l="1"/>
  <c r="AE200" i="1"/>
  <c r="AI200" i="1" s="1"/>
  <c r="AA200" i="1"/>
  <c r="AB200" i="1"/>
  <c r="AC200" i="1" l="1"/>
  <c r="AF200" i="1" l="1"/>
  <c r="AJ200" i="1" s="1"/>
  <c r="W201" i="1"/>
  <c r="Y201" i="1" l="1"/>
  <c r="X201" i="1"/>
  <c r="Z201" i="1" l="1"/>
  <c r="AD201" i="1"/>
  <c r="AH201" i="1" l="1"/>
  <c r="AB201" i="1"/>
  <c r="AA201" i="1"/>
  <c r="AE201" i="1"/>
  <c r="AI201" i="1" s="1"/>
  <c r="AC201" i="1" l="1"/>
  <c r="AF201" i="1" l="1"/>
  <c r="AJ201" i="1" s="1"/>
  <c r="W202" i="1"/>
  <c r="X202" i="1" l="1"/>
  <c r="Y202" i="1"/>
  <c r="Z202" i="1" l="1"/>
  <c r="AD202" i="1"/>
  <c r="AH202" i="1" l="1"/>
  <c r="AA202" i="1"/>
  <c r="AE202" i="1"/>
  <c r="AI202" i="1" s="1"/>
  <c r="AB202" i="1"/>
  <c r="AC202" i="1" l="1"/>
  <c r="AF202" i="1" l="1"/>
  <c r="AJ202" i="1" s="1"/>
  <c r="W203" i="1"/>
  <c r="X203" i="1" l="1"/>
  <c r="Y203" i="1"/>
  <c r="Z203" i="1" l="1"/>
  <c r="AD203" i="1"/>
  <c r="AH203" i="1" l="1"/>
  <c r="AE203" i="1"/>
  <c r="AI203" i="1" s="1"/>
  <c r="AA203" i="1"/>
  <c r="AB203" i="1"/>
  <c r="AC203" i="1" l="1"/>
  <c r="AF203" i="1" l="1"/>
  <c r="AJ203" i="1" s="1"/>
  <c r="W204" i="1"/>
  <c r="Y204" i="1" l="1"/>
  <c r="X204" i="1"/>
  <c r="Z204" i="1" l="1"/>
  <c r="AD204" i="1"/>
  <c r="AH204" i="1" l="1"/>
  <c r="AB204" i="1"/>
  <c r="AE204" i="1"/>
  <c r="AI204" i="1" s="1"/>
  <c r="AA204" i="1"/>
  <c r="AC204" i="1" l="1"/>
  <c r="AF204" i="1" s="1"/>
  <c r="AJ204" i="1" s="1"/>
  <c r="W205" i="1" l="1"/>
  <c r="X205" i="1" s="1"/>
  <c r="Y205" i="1" l="1"/>
  <c r="Z205" i="1" s="1"/>
  <c r="AD205" i="1" l="1"/>
  <c r="AH205" i="1" s="1"/>
  <c r="AE205" i="1"/>
  <c r="AI205" i="1" s="1"/>
  <c r="AB205" i="1"/>
  <c r="AA205" i="1"/>
  <c r="AC205" i="1" l="1"/>
  <c r="AF205" i="1" l="1"/>
  <c r="AJ205" i="1" s="1"/>
  <c r="W206" i="1"/>
  <c r="Y206" i="1" l="1"/>
  <c r="X206" i="1"/>
  <c r="Z206" i="1" l="1"/>
  <c r="AD206" i="1"/>
  <c r="AH206" i="1" l="1"/>
  <c r="AA206" i="1"/>
  <c r="AB206" i="1"/>
  <c r="AE206" i="1"/>
  <c r="AI206" i="1" s="1"/>
  <c r="AC206" i="1" l="1"/>
  <c r="AF206" i="1" s="1"/>
  <c r="AJ206" i="1" s="1"/>
  <c r="W207" i="1" l="1"/>
  <c r="X207" i="1" s="1"/>
  <c r="Y207" i="1" l="1"/>
  <c r="Z207" i="1"/>
  <c r="AD207" i="1"/>
  <c r="AH207" i="1" l="1"/>
  <c r="AE207" i="1"/>
  <c r="AI207" i="1" s="1"/>
  <c r="AB207" i="1"/>
  <c r="AA207" i="1"/>
  <c r="AC207" i="1" l="1"/>
  <c r="AF207" i="1" s="1"/>
  <c r="AJ207" i="1" s="1"/>
  <c r="W208" i="1" l="1"/>
  <c r="Y208" i="1" s="1"/>
  <c r="X208" i="1" l="1"/>
  <c r="Z208" i="1" s="1"/>
  <c r="AD208" i="1"/>
  <c r="AH208" i="1" l="1"/>
  <c r="AE208" i="1"/>
  <c r="AI208" i="1" s="1"/>
  <c r="AB208" i="1"/>
  <c r="AA208" i="1"/>
  <c r="AC208" i="1" l="1"/>
  <c r="AF208" i="1" s="1"/>
  <c r="AJ208" i="1" s="1"/>
  <c r="W209" i="1" l="1"/>
  <c r="X209" i="1" s="1"/>
  <c r="Y209" i="1" l="1"/>
  <c r="Z209" i="1" s="1"/>
  <c r="AD209" i="1" l="1"/>
  <c r="AH209" i="1" s="1"/>
  <c r="AE209" i="1"/>
  <c r="AI209" i="1" s="1"/>
  <c r="AA209" i="1"/>
  <c r="AB209" i="1"/>
  <c r="AC209" i="1" l="1"/>
  <c r="AF209" i="1" l="1"/>
  <c r="AJ209" i="1" s="1"/>
  <c r="W210" i="1"/>
  <c r="Y210" i="1" l="1"/>
  <c r="X210" i="1"/>
  <c r="Z210" i="1" l="1"/>
  <c r="AD210" i="1"/>
  <c r="AH210" i="1" l="1"/>
  <c r="AB210" i="1"/>
  <c r="AA210" i="1"/>
  <c r="AE210" i="1"/>
  <c r="AI210" i="1" s="1"/>
  <c r="AC210" i="1" l="1"/>
  <c r="AF210" i="1" l="1"/>
  <c r="AJ210" i="1" s="1"/>
  <c r="W211" i="1"/>
  <c r="X211" i="1" l="1"/>
  <c r="Y211" i="1"/>
  <c r="Z211" i="1" l="1"/>
  <c r="AD211" i="1"/>
  <c r="AH211" i="1" l="1"/>
  <c r="AB211" i="1"/>
  <c r="AA211" i="1"/>
  <c r="AE211" i="1"/>
  <c r="AI211" i="1" s="1"/>
  <c r="AC211" i="1" l="1"/>
  <c r="AF211" i="1" l="1"/>
  <c r="AJ211" i="1" s="1"/>
  <c r="W212" i="1"/>
  <c r="Y212" i="1" l="1"/>
  <c r="X212" i="1"/>
  <c r="Z212" i="1" l="1"/>
  <c r="AD212" i="1"/>
  <c r="AH212" i="1" l="1"/>
  <c r="AA212" i="1"/>
  <c r="AB212" i="1"/>
  <c r="AE212" i="1"/>
  <c r="AI212" i="1" s="1"/>
  <c r="AC212" i="1" l="1"/>
  <c r="AF212" i="1" s="1"/>
  <c r="AJ212" i="1" s="1"/>
  <c r="W213" i="1" l="1"/>
  <c r="X213" i="1" s="1"/>
  <c r="Y213" i="1" l="1"/>
  <c r="Z213" i="1" s="1"/>
  <c r="AD213" i="1" l="1"/>
  <c r="AH213" i="1" s="1"/>
  <c r="AE213" i="1"/>
  <c r="AI213" i="1" s="1"/>
  <c r="AB213" i="1"/>
  <c r="AA213" i="1"/>
  <c r="AC213" i="1" l="1"/>
  <c r="AF213" i="1" s="1"/>
  <c r="AJ213" i="1" s="1"/>
  <c r="W214" i="1" l="1"/>
  <c r="X214" i="1" s="1"/>
  <c r="Y214" i="1" l="1"/>
  <c r="Z214" i="1" s="1"/>
  <c r="AD214" i="1" l="1"/>
  <c r="AH214" i="1" s="1"/>
  <c r="AE214" i="1"/>
  <c r="AI214" i="1" s="1"/>
  <c r="AA214" i="1"/>
  <c r="AB214" i="1"/>
  <c r="AC214" i="1" l="1"/>
  <c r="AF214" i="1" s="1"/>
  <c r="AJ214" i="1" s="1"/>
  <c r="W215" i="1" l="1"/>
  <c r="Y215" i="1" s="1"/>
  <c r="X215" i="1" l="1"/>
  <c r="Z215" i="1" s="1"/>
  <c r="AD215" i="1"/>
  <c r="AH215" i="1" l="1"/>
  <c r="AB215" i="1"/>
  <c r="AA215" i="1"/>
  <c r="AE215" i="1"/>
  <c r="AI215" i="1" s="1"/>
  <c r="AC215" i="1" l="1"/>
  <c r="AF215" i="1" l="1"/>
  <c r="AJ215" i="1" s="1"/>
  <c r="W216" i="1"/>
  <c r="X216" i="1" l="1"/>
  <c r="Y216" i="1"/>
  <c r="Z216" i="1" l="1"/>
  <c r="AD216" i="1"/>
  <c r="AH216" i="1" l="1"/>
  <c r="AB216" i="1"/>
  <c r="AE216" i="1"/>
  <c r="AI216" i="1" s="1"/>
  <c r="AA216" i="1"/>
  <c r="AC216" i="1" l="1"/>
  <c r="AF216" i="1" s="1"/>
  <c r="AJ216" i="1" s="1"/>
  <c r="W217" i="1" l="1"/>
  <c r="X217" i="1" s="1"/>
  <c r="Y217" i="1" l="1"/>
  <c r="Z217" i="1" s="1"/>
  <c r="AD217" i="1" l="1"/>
  <c r="AH217" i="1" s="1"/>
  <c r="AE217" i="1"/>
  <c r="AI217" i="1" s="1"/>
  <c r="AA217" i="1"/>
  <c r="AB217" i="1"/>
  <c r="AC217" i="1" l="1"/>
  <c r="AF217" i="1" s="1"/>
  <c r="AJ217" i="1" s="1"/>
  <c r="W218" i="1" l="1"/>
  <c r="X218" i="1" s="1"/>
  <c r="Y218" i="1" l="1"/>
  <c r="Z218" i="1" s="1"/>
  <c r="AD218" i="1" l="1"/>
  <c r="AH218" i="1" s="1"/>
  <c r="AA218" i="1"/>
  <c r="AB218" i="1"/>
  <c r="AE218" i="1"/>
  <c r="AI218" i="1" s="1"/>
  <c r="AC218" i="1" l="1"/>
  <c r="AF218" i="1" s="1"/>
  <c r="AJ218" i="1" s="1"/>
  <c r="W219" i="1" l="1"/>
  <c r="X219" i="1" s="1"/>
  <c r="Y219" i="1" l="1"/>
  <c r="Z219" i="1"/>
  <c r="AD219" i="1"/>
  <c r="AH219" i="1" l="1"/>
  <c r="AA219" i="1"/>
  <c r="AB219" i="1"/>
  <c r="AE219" i="1"/>
  <c r="AI219" i="1" s="1"/>
  <c r="AC219" i="1" l="1"/>
  <c r="AF219" i="1" s="1"/>
  <c r="AJ219" i="1" s="1"/>
  <c r="W220" i="1" l="1"/>
  <c r="X220" i="1" s="1"/>
  <c r="Y220" i="1" l="1"/>
  <c r="Z220" i="1" s="1"/>
  <c r="AD220" i="1"/>
  <c r="AH220" i="1" l="1"/>
  <c r="AE220" i="1"/>
  <c r="AI220" i="1" s="1"/>
  <c r="AB220" i="1"/>
  <c r="AA220" i="1"/>
  <c r="AC220" i="1" l="1"/>
  <c r="AF220" i="1" s="1"/>
  <c r="AJ220" i="1" s="1"/>
  <c r="W221" i="1" l="1"/>
  <c r="X221" i="1" s="1"/>
  <c r="Y221" i="1" l="1"/>
  <c r="Z221" i="1" s="1"/>
  <c r="AD221" i="1" l="1"/>
  <c r="AH221" i="1" s="1"/>
  <c r="AA221" i="1"/>
  <c r="AB221" i="1"/>
  <c r="AE221" i="1"/>
  <c r="AI221" i="1" s="1"/>
  <c r="AC221" i="1" l="1"/>
  <c r="AF221" i="1" s="1"/>
  <c r="AJ221" i="1" s="1"/>
  <c r="W222" i="1" l="1"/>
  <c r="Y222" i="1" s="1"/>
  <c r="X222" i="1" l="1"/>
  <c r="Z222" i="1" s="1"/>
  <c r="AD222" i="1"/>
  <c r="AH222" i="1" l="1"/>
  <c r="AA222" i="1"/>
  <c r="AE222" i="1"/>
  <c r="AI222" i="1" s="1"/>
  <c r="AB222" i="1"/>
  <c r="AC222" i="1" l="1"/>
  <c r="AF222" i="1" l="1"/>
  <c r="AJ222" i="1" s="1"/>
  <c r="W223" i="1"/>
  <c r="Y223" i="1" l="1"/>
  <c r="X223" i="1"/>
  <c r="Z223" i="1" l="1"/>
  <c r="AD223" i="1"/>
  <c r="AH223" i="1" l="1"/>
  <c r="AE223" i="1"/>
  <c r="AI223" i="1" s="1"/>
  <c r="AB223" i="1"/>
  <c r="AA223" i="1"/>
  <c r="AC223" i="1" l="1"/>
  <c r="AF223" i="1" l="1"/>
  <c r="AJ223" i="1" s="1"/>
  <c r="W224" i="1"/>
  <c r="X224" i="1" l="1"/>
  <c r="Y224" i="1"/>
  <c r="Z224" i="1" l="1"/>
  <c r="AD224" i="1"/>
  <c r="AH224" i="1" l="1"/>
  <c r="AB224" i="1"/>
  <c r="AE224" i="1"/>
  <c r="AI224" i="1" s="1"/>
  <c r="AA224" i="1"/>
  <c r="AC224" i="1" l="1"/>
  <c r="AF224" i="1" l="1"/>
  <c r="AJ224" i="1" s="1"/>
  <c r="W225" i="1"/>
  <c r="Y225" i="1" l="1"/>
  <c r="X225" i="1"/>
  <c r="Z225" i="1" l="1"/>
  <c r="AD225" i="1"/>
  <c r="AH225" i="1" l="1"/>
  <c r="AB225" i="1"/>
  <c r="AA225" i="1"/>
  <c r="AE225" i="1"/>
  <c r="AI225" i="1" s="1"/>
  <c r="AC225" i="1" l="1"/>
  <c r="AF225" i="1" s="1"/>
  <c r="AJ225" i="1" s="1"/>
  <c r="W226" i="1" l="1"/>
  <c r="Y226" i="1" s="1"/>
  <c r="X226" i="1" l="1"/>
  <c r="Z226" i="1" s="1"/>
  <c r="AD226" i="1"/>
  <c r="AH226" i="1" l="1"/>
  <c r="AA226" i="1"/>
  <c r="AB226" i="1"/>
  <c r="AE226" i="1"/>
  <c r="AI226" i="1" s="1"/>
  <c r="AC226" i="1" l="1"/>
  <c r="AF226" i="1" l="1"/>
  <c r="AJ226" i="1" s="1"/>
  <c r="W227" i="1"/>
  <c r="Y227" i="1" l="1"/>
  <c r="X227" i="1"/>
  <c r="Z227" i="1" l="1"/>
  <c r="AD227" i="1"/>
  <c r="AH227" i="1" l="1"/>
  <c r="AB227" i="1"/>
  <c r="AA227" i="1"/>
  <c r="AE227" i="1"/>
  <c r="AI227" i="1" s="1"/>
  <c r="AC227" i="1" l="1"/>
  <c r="AF227" i="1" l="1"/>
  <c r="AJ227" i="1" s="1"/>
  <c r="W228" i="1"/>
  <c r="Y228" i="1" l="1"/>
  <c r="X228" i="1"/>
  <c r="Z228" i="1" l="1"/>
  <c r="AD228" i="1"/>
  <c r="AH228" i="1" l="1"/>
  <c r="AE228" i="1"/>
  <c r="AI228" i="1" s="1"/>
  <c r="AB228" i="1"/>
  <c r="AA228" i="1"/>
  <c r="AC228" i="1" l="1"/>
  <c r="AF228" i="1" s="1"/>
  <c r="AJ228" i="1" s="1"/>
  <c r="W229" i="1" l="1"/>
  <c r="Y229" i="1" s="1"/>
  <c r="X229" i="1" l="1"/>
  <c r="Z229" i="1" s="1"/>
  <c r="AD229" i="1"/>
  <c r="AH229" i="1" l="1"/>
  <c r="AA229" i="1"/>
  <c r="AB229" i="1"/>
  <c r="AC229" i="1" s="1"/>
  <c r="AF229" i="1" s="1"/>
  <c r="AJ229" i="1" s="1"/>
  <c r="AE229" i="1"/>
  <c r="AI229" i="1" s="1"/>
  <c r="W230" i="1" l="1"/>
  <c r="X230" i="1" l="1"/>
  <c r="Y230" i="1"/>
  <c r="Z230" i="1" l="1"/>
  <c r="AD230" i="1"/>
  <c r="AH230" i="1" l="1"/>
  <c r="AE230" i="1"/>
  <c r="AI230" i="1" s="1"/>
  <c r="AB230" i="1"/>
  <c r="AA230" i="1"/>
  <c r="AC230" i="1" l="1"/>
  <c r="AF230" i="1" s="1"/>
  <c r="AJ230" i="1" s="1"/>
  <c r="W231" i="1" l="1"/>
  <c r="X231" i="1" s="1"/>
  <c r="Y231" i="1" l="1"/>
  <c r="Z231" i="1" s="1"/>
  <c r="AD231" i="1" l="1"/>
  <c r="AH231" i="1" s="1"/>
  <c r="AA231" i="1"/>
  <c r="AB231" i="1"/>
  <c r="AE231" i="1"/>
  <c r="AI231" i="1" s="1"/>
  <c r="AC231" i="1" l="1"/>
  <c r="AF231" i="1" s="1"/>
  <c r="AJ231" i="1" s="1"/>
  <c r="W232" i="1" l="1"/>
  <c r="Y232" i="1" s="1"/>
  <c r="X232" i="1" l="1"/>
  <c r="Z232" i="1" s="1"/>
  <c r="AD232" i="1"/>
  <c r="AH232" i="1" l="1"/>
  <c r="AB232" i="1"/>
  <c r="AE232" i="1"/>
  <c r="AI232" i="1" s="1"/>
  <c r="AA232" i="1"/>
  <c r="AC232" i="1" s="1"/>
  <c r="AF232" i="1" l="1"/>
  <c r="AJ232" i="1" s="1"/>
  <c r="W233" i="1"/>
  <c r="X233" i="1" l="1"/>
  <c r="Y233" i="1"/>
  <c r="Z233" i="1" l="1"/>
  <c r="AD233" i="1"/>
  <c r="AH233" i="1" s="1"/>
  <c r="AH19" i="1" s="1"/>
  <c r="AE233" i="1" l="1"/>
  <c r="AI233" i="1" s="1"/>
  <c r="AI19" i="1" s="1"/>
  <c r="AA233" i="1"/>
  <c r="AB233" i="1"/>
  <c r="AC233" i="1" l="1"/>
  <c r="AF233" i="1" s="1"/>
  <c r="AJ233" i="1" s="1"/>
  <c r="AJ1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tc={24D9253C-5887-4B1C-8689-E5F93D7D624F}</author>
  </authors>
  <commentList>
    <comment ref="I20" authorId="0" shapeId="0" xr:uid="{24D9253C-5887-4B1C-8689-E5F93D7D624F}">
      <text>
        <t>[Threaded comment]
Your version of Excel allows you to read this threaded comment; however, any edits to it will get removed if the file is opened in a newer version of Excel. Learn more: https://go.microsoft.com/fwlink/?linkid=870924
Comment:
    This formula is more robust and recommended by SPE.  It is not likely to go out of bound with arcsine rather than arccosine for angles typically close to 0 DL.</t>
      </text>
    </comment>
  </commentList>
</comments>
</file>

<file path=xl/sharedStrings.xml><?xml version="1.0" encoding="utf-8"?>
<sst xmlns="http://schemas.openxmlformats.org/spreadsheetml/2006/main" count="569" uniqueCount="332">
  <si>
    <t>AZ [rad]</t>
  </si>
  <si>
    <t>INC [rad]</t>
  </si>
  <si>
    <t>INC [deg]</t>
  </si>
  <si>
    <t>AZ [deg]</t>
  </si>
  <si>
    <t>Ratio Factor</t>
  </si>
  <si>
    <t>Dogleg [rad]</t>
  </si>
  <si>
    <t>AZ_N [rad]</t>
  </si>
  <si>
    <t>AZ_E [rad]</t>
  </si>
  <si>
    <t>Minimum curvature forward and backward implementation.</t>
  </si>
  <si>
    <t>MINIMUM CURVATURE (input MD,INC,AZ; output n,e,d)</t>
  </si>
  <si>
    <t>INVERSE MINIMUM CURVATURE (input MD1, I1, A1 and n,e,d; output MD,INC,AZ)</t>
  </si>
  <si>
    <t>DIRECTIONAL SURVEY DATA (input M,I,A)</t>
  </si>
  <si>
    <t>error MD^</t>
  </si>
  <si>
    <t>error INC^</t>
  </si>
  <si>
    <t>error AZ^</t>
  </si>
  <si>
    <t>error analysis</t>
  </si>
  <si>
    <t>Bert Kampes, 2019-08-24</t>
  </si>
  <si>
    <t>Grid North</t>
  </si>
  <si>
    <t>i.e., the local coordinates (n,e) aligned with Grid North of the projected CRS</t>
  </si>
  <si>
    <t>WRP_Easting</t>
  </si>
  <si>
    <t>WRP_Northing</t>
  </si>
  <si>
    <t>AZ reference</t>
  </si>
  <si>
    <t>MD unit</t>
  </si>
  <si>
    <t>Projected CRS unit</t>
  </si>
  <si>
    <t>ftUS</t>
  </si>
  <si>
    <t>deg</t>
  </si>
  <si>
    <t>[unitless]</t>
  </si>
  <si>
    <t>VertCRS</t>
  </si>
  <si>
    <t>NAVD88 depth (ftUS)</t>
  </si>
  <si>
    <t>Vertical CRS unit</t>
  </si>
  <si>
    <t>Ground Level elevation</t>
  </si>
  <si>
    <t>m</t>
  </si>
  <si>
    <t>i.e., the local coordinates (n,e,d) are in meters</t>
  </si>
  <si>
    <t>This should not used.  In case the AZ would be referenced to TN then the inputs to the minimum curvature algorith would be re-referenced to GN before applying min. curvature.  However, it is possible to rereference the (n,e) using a 2D rotation matrix.</t>
  </si>
  <si>
    <t>ZDP_offset_from_ground_level</t>
  </si>
  <si>
    <t>ZDP_height</t>
  </si>
  <si>
    <t>psf_flag</t>
  </si>
  <si>
    <t>0: do not apply point scale factor; 1: apply constant.</t>
  </si>
  <si>
    <t>GNL (EPSG code 1077)</t>
  </si>
  <si>
    <t>Grid convergence at WRP</t>
  </si>
  <si>
    <t>Point scale factor at WRP</t>
  </si>
  <si>
    <t>Wellbore local to geodetic method</t>
  </si>
  <si>
    <t>Observation references</t>
  </si>
  <si>
    <t>Local coordinates (input n,e,d)</t>
  </si>
  <si>
    <t>Directional survey observation references</t>
  </si>
  <si>
    <t>Well</t>
  </si>
  <si>
    <t>Wellbore</t>
  </si>
  <si>
    <t>Name</t>
  </si>
  <si>
    <t>UWI</t>
  </si>
  <si>
    <t>UWBI</t>
  </si>
  <si>
    <t>Wellbore Local to Geodetic Coordinates: Grid North Local method.  Assumes input (n,e,d) are aligned with Grid North.</t>
  </si>
  <si>
    <t>(copy of input survey in 1 table)</t>
  </si>
  <si>
    <t>(local coordinates in output units)</t>
  </si>
  <si>
    <t>(psf_flag=0 : no scaling applied)</t>
  </si>
  <si>
    <t>(psf_flag=1 : constant scaling applied)</t>
  </si>
  <si>
    <t>INVERSE GNL (input N,E,D, psf_flag, units of (N,E), D, and (n,e,d); output n,e,d)</t>
  </si>
  <si>
    <t>diff</t>
  </si>
  <si>
    <t>error</t>
  </si>
  <si>
    <t>fwd&lt;&gt;bck</t>
  </si>
  <si>
    <t>Well name</t>
  </si>
  <si>
    <t>Wellbore name</t>
  </si>
  <si>
    <t>dcf_flag</t>
  </si>
  <si>
    <t>0: do not apply depth correction factor;</t>
  </si>
  <si>
    <t>ProjCRS</t>
  </si>
  <si>
    <t>Conversion factor to meters</t>
  </si>
  <si>
    <t>Optionally used to scale the local coordinates in the GNL algorithm if psf_flag=1.  Assumed is that the same scale factor in N and E applies (i.e., that a conformal map projection is used)</t>
  </si>
  <si>
    <t>(see next page for more complete survey header)</t>
  </si>
  <si>
    <t>Not needed for min curvature calculations; but required metadata with the survey</t>
  </si>
  <si>
    <t>Wellbore Local to Geodetic Coordinates: LMP method.  Assumes input (n,e,d) are aligned with True North.</t>
  </si>
  <si>
    <t>WRP_Latitude</t>
  </si>
  <si>
    <t>WRP_Longitude</t>
  </si>
  <si>
    <t>True North</t>
  </si>
  <si>
    <t>Minimum curvature</t>
  </si>
  <si>
    <t>MDINCAZ to wellbore local method</t>
  </si>
  <si>
    <t>LMP (EPSG code 1076)</t>
  </si>
  <si>
    <t>a</t>
  </si>
  <si>
    <t>1/f</t>
  </si>
  <si>
    <t>b</t>
  </si>
  <si>
    <t>e2</t>
  </si>
  <si>
    <t>[m] semi-major axis</t>
  </si>
  <si>
    <t>[m] semi-minor axis</t>
  </si>
  <si>
    <t>[-] inverse flattening</t>
  </si>
  <si>
    <t>[-] squared eccentricity</t>
  </si>
  <si>
    <t>Geodetic parameters for NAD27</t>
  </si>
  <si>
    <t>AZ_TRUE</t>
  </si>
  <si>
    <t>(strictly speaking no projected CRS needs to be defined, but it is done here for comparing with GNL and because in practice a projected CRS will be used in the application)</t>
  </si>
  <si>
    <t>AZ_GRID</t>
  </si>
  <si>
    <t>GNL method (input: "Grid" n,e,d, psf_flag; output N,E,D)</t>
  </si>
  <si>
    <t>rho [m]</t>
  </si>
  <si>
    <t>nu [m]</t>
  </si>
  <si>
    <t>(oriented "true north")</t>
  </si>
  <si>
    <t>(oriented "grid north")</t>
  </si>
  <si>
    <t>i.e., the calculated local coordinates (n,e) will be aligned the same (with Grid North of the projected CRS or True North)</t>
  </si>
  <si>
    <t>i.e., the calculated local coordinates (n,e,d) will have the same unit</t>
  </si>
  <si>
    <t>LAT [deg]</t>
  </si>
  <si>
    <t>LON [deg]</t>
  </si>
  <si>
    <t>(dcf_flag=0 : no depth correction factor applied)</t>
  </si>
  <si>
    <t>(converted with Blue Marble for comparison with GNL method)</t>
  </si>
  <si>
    <t>i.e., the local coordinates (n,e) aligned with True North.  In order to compare with the GNL method I compute AZ_TRUE=AZ_GRID+convergence and recomputed n,e,d listed here. Alternately the grid oriented (n,e) could have been rotated, but that is not the preferred workflow.</t>
  </si>
  <si>
    <t>error analysis LMP&lt;&gt;GNL</t>
  </si>
  <si>
    <t>error N [ftUS]</t>
  </si>
  <si>
    <t>error E [ftUS]</t>
  </si>
  <si>
    <t>allthough the intention is to rotate using LMP input (change AZ_GN to AZ_TN before input into min curv) the alternative is to apply a simple 2D rotation matrix to the output.</t>
  </si>
  <si>
    <t>The disadvantage for LMP is that convergence is treated as a constant and not varied along the wellbore</t>
  </si>
  <si>
    <t>n [m]</t>
  </si>
  <si>
    <t>e [m]</t>
  </si>
  <si>
    <t>Local coordinates</t>
  </si>
  <si>
    <t>Yellow are input fields</t>
  </si>
  <si>
    <t>Red column headers indicate final output</t>
  </si>
  <si>
    <t>convergence</t>
  </si>
  <si>
    <t>convergence [deg]</t>
  </si>
  <si>
    <t>e_tn</t>
  </si>
  <si>
    <t>n_tn</t>
  </si>
  <si>
    <t>point scale f</t>
  </si>
  <si>
    <t>(diff with GNL tab output)</t>
  </si>
  <si>
    <t>LMP method (input: "True" n,e,d; output: Lat,Lon,D)</t>
  </si>
  <si>
    <t>then converted to projected coordinates (N,E) with Blue Marble)</t>
  </si>
  <si>
    <t>[n_gn]    [sin(conv)    cos(conv)]      [n_tn]</t>
  </si>
  <si>
    <t>n_gn</t>
  </si>
  <si>
    <t>e_gn</t>
  </si>
  <si>
    <t>Wellbore Local to Geodetic Coordinates: Example of 2D rotation.  This is only used as a test and demonstration here.   It should not be used to implement rotation of local (n,e) coordinatates.</t>
  </si>
  <si>
    <t>[e_tn] = [cos(-conv)  -sin(-conv)]  * [e_gn]</t>
  </si>
  <si>
    <t>[e_gn] = [cos(conv)  -sin(conv)]  * [e_tn]</t>
  </si>
  <si>
    <t>[n_tn]    [sin(-conv)    cos(-conv)]      [n_gn]</t>
  </si>
  <si>
    <t>(rotated from TN to GN)</t>
  </si>
  <si>
    <t>(rotated from GN to TN)</t>
  </si>
  <si>
    <t>copy of output of Min Curv using AZ_TRUE</t>
  </si>
  <si>
    <t>ROT2D(TN to GN)</t>
  </si>
  <si>
    <t>ROT2D(GN to TN)</t>
  </si>
  <si>
    <t>Bert Kampes, 2019-09-14</t>
  </si>
  <si>
    <t>Compute the point scale factor and convergence at both locations.</t>
  </si>
  <si>
    <t>psf</t>
  </si>
  <si>
    <t>dcf</t>
  </si>
  <si>
    <t>SHL</t>
  </si>
  <si>
    <t>BHL</t>
  </si>
  <si>
    <t>BHL-SHL</t>
  </si>
  <si>
    <t>Easting</t>
  </si>
  <si>
    <t>Northing</t>
  </si>
  <si>
    <t>dist_local</t>
  </si>
  <si>
    <t>Depth</t>
  </si>
  <si>
    <t>[-]</t>
  </si>
  <si>
    <t>projCRS</t>
  </si>
  <si>
    <t>const_psf</t>
  </si>
  <si>
    <t>diff BHL-SHL indicates impact*2 of ignoring change of convergence (perpendicular to ignoring scale)</t>
  </si>
  <si>
    <t>var_dcf</t>
  </si>
  <si>
    <t>diff BHL-SHL indicates max impact of ignoring depth correction factor (assuming drilled vertical then lateral)</t>
  </si>
  <si>
    <t>total error</t>
  </si>
  <si>
    <t>input</t>
  </si>
  <si>
    <t>calculated</t>
  </si>
  <si>
    <t>Unit:</t>
  </si>
  <si>
    <t>must convert below to meters!</t>
  </si>
  <si>
    <t>WGS 84 / UTM zone 15N</t>
  </si>
  <si>
    <t>var_converg</t>
  </si>
  <si>
    <t>diff BHL-SHL indicates impact*2 of ignoring change of scale along path</t>
  </si>
  <si>
    <t>Accompanies the document "SDU_wellbore_trajectory_calculations"</t>
  </si>
  <si>
    <t>impact</t>
  </si>
  <si>
    <t>Compute paths using parameters at SHL or BHL</t>
  </si>
  <si>
    <t>Assume that the approximate Surface (SHL) and Bottom Hole Location (BHL) are knowm from computed trajectory or planning.</t>
  </si>
  <si>
    <t>1. compute the distance without applying point scale factor (local distance)</t>
  </si>
  <si>
    <t>2. compute the distance by applying a constant psf (for psf at SHL and BHL).</t>
  </si>
  <si>
    <t>3. compute the perpendicular distance due to constant rotation by convergence (for conv at SHL and BHL).</t>
  </si>
  <si>
    <t>average indicates impact of using psf=1.0 (i.e., of ignoring psf)</t>
  </si>
  <si>
    <t>The correct grid distance (psf applied variable along path) is close to applying the average scale factor.  Hence the error in calculated length is well approximated by the average difference between 1&amp;2 above.</t>
  </si>
  <si>
    <t>The perpendicular error due to assuming a constant convergence is approximated by half the difference of 3 above (assuming linear change of convergence)</t>
  </si>
  <si>
    <t>The total error is the square root of the sum square of the 2 terms above (depth correction is computed below but ignored for the error as it is thought this correction should not be applied when drilling to a target picked from a volume).</t>
  </si>
  <si>
    <t>Demonstration of simple method to evaluate the total position error when ignoring point scale factor and (varying) convergence.</t>
  </si>
  <si>
    <t>unscaled, ignoring point scale factor</t>
  </si>
  <si>
    <t>EXAMPLE A: 10km wellbore ~(70N, 90W) at edge of UTM zone</t>
  </si>
  <si>
    <t>EXAMPLE B: 10km wellbore ~(30N, 90W) at edge of UTM zone</t>
  </si>
  <si>
    <t>EXAMPLE C: Sakhalin well</t>
  </si>
  <si>
    <t>Conclusion:</t>
  </si>
  <si>
    <t>Conclusion: Change of convergence is main issue near pole</t>
  </si>
  <si>
    <t>Conclusion: scale is main issue, but convergence also</t>
  </si>
  <si>
    <t>ft</t>
  </si>
  <si>
    <t>A008</t>
  </si>
  <si>
    <t>A008 ST01BP01</t>
  </si>
  <si>
    <t>i.e., the local coordinates (n,e,d) are in ft</t>
  </si>
  <si>
    <t>NAD27 / BLM 16N (ftUS) [EPSG::32066]</t>
  </si>
  <si>
    <t>MSL height (ftUS)</t>
  </si>
  <si>
    <t>28° 10' 10.463 N</t>
  </si>
  <si>
    <t>89° 13' 22.631 W</t>
  </si>
  <si>
    <t>[deg]</t>
  </si>
  <si>
    <t>AZ_TRUE = AZ_GRID + convergence</t>
  </si>
  <si>
    <t>compared with GNL method psf_flag=1</t>
  </si>
  <si>
    <t>N</t>
  </si>
  <si>
    <t>E</t>
  </si>
  <si>
    <t>D</t>
  </si>
  <si>
    <t>N_m</t>
  </si>
  <si>
    <t>E_m</t>
  </si>
  <si>
    <t>conv</t>
  </si>
  <si>
    <t>scale</t>
  </si>
  <si>
    <t>Bert Kampes, 2019-08-23; updated 2020-01-21 for better handling ft survey with ftUS CRS and inverse min. curvature</t>
  </si>
  <si>
    <t>Minimum curvature interpolation on MD.</t>
  </si>
  <si>
    <t>Bert Kampes, 2021-03-23</t>
  </si>
  <si>
    <t>MD_i</t>
  </si>
  <si>
    <t>MD_i-MD1</t>
  </si>
  <si>
    <t>MD2-MD1</t>
  </si>
  <si>
    <t>RF_i</t>
  </si>
  <si>
    <t>INC_i (deg)</t>
  </si>
  <si>
    <t>AZ_i (deg)</t>
  </si>
  <si>
    <t>DL_i [rad]</t>
  </si>
  <si>
    <t>AZ_i [rad]</t>
  </si>
  <si>
    <t>INC_i [rad]</t>
  </si>
  <si>
    <t>phi*</t>
  </si>
  <si>
    <t>alpha*</t>
  </si>
  <si>
    <t>alpha</t>
  </si>
  <si>
    <t>Sawaryn, S.J., Thorogood, J.L., “A Compendium of Directional Calculations Based on the Minimum Curvature Method”, SPE Drilling &amp; Completion paper 84246, March 2005.</t>
  </si>
  <si>
    <t>if&gt;180</t>
  </si>
  <si>
    <t>if&lt;180</t>
  </si>
  <si>
    <t>theta*</t>
  </si>
  <si>
    <t>theta</t>
  </si>
  <si>
    <t>phi</t>
  </si>
  <si>
    <t>dn</t>
  </si>
  <si>
    <t>de</t>
  </si>
  <si>
    <t>dd</t>
  </si>
  <si>
    <t>A1</t>
  </si>
  <si>
    <t>A2</t>
  </si>
  <si>
    <t>dA</t>
  </si>
  <si>
    <t>Example how to wrap an angle difference passed its 360 discontinuity.</t>
  </si>
  <si>
    <t>Bert Kampes, 2021-03-27</t>
  </si>
  <si>
    <t>Given an azimuth angle in the domain from 0 to 360 degrees, the difference angle can be no larger than 180 degrees.</t>
  </si>
  <si>
    <t>Calculation such difference angle requires some if statements or can be resolved by complex math using Euler's formula.</t>
  </si>
  <si>
    <t>Example: The delta from A1=354 to A2=10 degrees equals 16 degrees.</t>
  </si>
  <si>
    <t>Alternative implementation using some trigonometry on the complex unit circle</t>
  </si>
  <si>
    <t>=DEGREES(ATAN2(COS(RADIANS(A2-A1)), SIN(RADIANS(A2-A1))))</t>
  </si>
  <si>
    <t>dA = A2-A1</t>
  </si>
  <si>
    <t>dA = abs(dA)</t>
  </si>
  <si>
    <t xml:space="preserve">if (dA &lt; 180) then dA += 360 </t>
  </si>
  <si>
    <t xml:space="preserve">if (dA &gt;= 180) then dA -= 360 </t>
  </si>
  <si>
    <t>Calculation steps (given two angles in degrees in the interval from 0 to 360):</t>
  </si>
  <si>
    <t>Example</t>
  </si>
  <si>
    <t>method 2:</t>
  </si>
  <si>
    <t>method 1:</t>
  </si>
  <si>
    <t>input:</t>
  </si>
  <si>
    <t xml:space="preserve"> # optional in case only the magnitude of the difference is of interest</t>
  </si>
  <si>
    <t xml:space="preserve"> # Note: MS Excel implements ATAN2(x,y) =ATAN(y/x) with switched arguments</t>
  </si>
  <si>
    <t>MINIMUM CURVATURE INTERPOLATION (input MD_i at row i must be larger than MD1 at previous row and smaller than MD2 at this row); output interpolated I_i, A_i and (n,e,d)_i)</t>
  </si>
  <si>
    <t>INC_i = acos(…)</t>
  </si>
  <si>
    <t xml:space="preserve">Implemented more direct: </t>
  </si>
  <si>
    <t>Use ATAN2 for AZ</t>
  </si>
  <si>
    <t>(swap arguments in Excel)</t>
  </si>
  <si>
    <t>BK</t>
  </si>
  <si>
    <t>Simple test for inclination-only survey</t>
  </si>
  <si>
    <t>To see the error in TVD if inclination and azimuth would be set to 0 for calculation of a straight wellbore path</t>
  </si>
  <si>
    <t>Station ID</t>
  </si>
  <si>
    <t>MD</t>
  </si>
  <si>
    <t>INC</t>
  </si>
  <si>
    <t>AZI</t>
  </si>
  <si>
    <t>n</t>
  </si>
  <si>
    <t>e</t>
  </si>
  <si>
    <t>d</t>
  </si>
  <si>
    <t>minimum curvature (w/AZI=0)</t>
  </si>
  <si>
    <t>avg(INC)=</t>
  </si>
  <si>
    <t>TD</t>
  </si>
  <si>
    <t>OUM =meters</t>
  </si>
  <si>
    <t xml:space="preserve">max. hor err: </t>
  </si>
  <si>
    <t>TVD correction</t>
  </si>
  <si>
    <t>estimated</t>
  </si>
  <si>
    <t>computed</t>
  </si>
  <si>
    <t>hor_error</t>
  </si>
  <si>
    <t>MD-TVD</t>
  </si>
  <si>
    <t>SHUVA-1</t>
  </si>
  <si>
    <t>SHERIF-1 DEEP</t>
  </si>
  <si>
    <t>RAMON-1</t>
  </si>
  <si>
    <t>Rosh Pina</t>
  </si>
  <si>
    <t>simple piecewise linear approx of min curvature (not in middle)</t>
  </si>
  <si>
    <t>inc only flag</t>
  </si>
  <si>
    <t>x</t>
  </si>
  <si>
    <t>corrected n</t>
  </si>
  <si>
    <t>correction_n</t>
  </si>
  <si>
    <t>check</t>
  </si>
  <si>
    <t>correct n</t>
  </si>
  <si>
    <t>dn_corrected</t>
  </si>
  <si>
    <t>n corrected</t>
  </si>
  <si>
    <t>tmp</t>
  </si>
  <si>
    <t>est2</t>
  </si>
  <si>
    <t>sum(md*sin(I))</t>
  </si>
  <si>
    <t>dhor_err2</t>
  </si>
  <si>
    <t>sum err2</t>
  </si>
  <si>
    <t>ddHor</t>
  </si>
  <si>
    <t>dH</t>
  </si>
  <si>
    <t>ddVert</t>
  </si>
  <si>
    <t>dV</t>
  </si>
  <si>
    <t>inc_avg</t>
  </si>
  <si>
    <t>MD@BH</t>
  </si>
  <si>
    <t>TVD error</t>
  </si>
  <si>
    <t>2: SHERIF-1 DEEP</t>
  </si>
  <si>
    <t>3: SHUVA-1</t>
  </si>
  <si>
    <t>4: RAMON-1</t>
  </si>
  <si>
    <t>5: Rosh Pina</t>
  </si>
  <si>
    <t>DL</t>
  </si>
  <si>
    <t>RF</t>
  </si>
  <si>
    <t>diffdd</t>
  </si>
  <si>
    <t>dd mincurv</t>
  </si>
  <si>
    <t>dn mincurv</t>
  </si>
  <si>
    <t>does not work well - just compute it properly… (the weighted avg inc may work?)</t>
  </si>
  <si>
    <t>roundtrip error analysis</t>
  </si>
  <si>
    <t>INC ONLY</t>
  </si>
  <si>
    <t>dVert</t>
  </si>
  <si>
    <t>The calculated local coordinates (n,e,d) will have the same unit as MD</t>
  </si>
  <si>
    <t>Min. curvature simplified formulas for AZI=0 (exact)</t>
  </si>
  <si>
    <t>errorVert</t>
  </si>
  <si>
    <t>alt</t>
  </si>
  <si>
    <t>approximation errorN</t>
  </si>
  <si>
    <t>Bert Kampes, 2023-07-17</t>
  </si>
  <si>
    <t>Simple spreadsheet testing simplified formulas avoiding min curvature equations.  This temporary computes a min. curvature path tracking due north (to get a max. offset and TVD correction)</t>
  </si>
  <si>
    <t>DL=I2-I1</t>
  </si>
  <si>
    <t>RF=2*TAN(DL/2)/DL)</t>
  </si>
  <si>
    <t>MD [m]</t>
  </si>
  <si>
    <t>DLS [deg/30m]</t>
  </si>
  <si>
    <t>dn [m]</t>
  </si>
  <si>
    <t>de [m]</t>
  </si>
  <si>
    <t>dd [m]</t>
  </si>
  <si>
    <t>d [m]</t>
  </si>
  <si>
    <t>GN</t>
  </si>
  <si>
    <t>DIR SURVEY DATA (input)</t>
  </si>
  <si>
    <t>INC-ONLY (SIMPLIFIED MIA OUTPUT)</t>
  </si>
  <si>
    <t>dn=(M2-M1)*SIN((I2+I1)/2)</t>
  </si>
  <si>
    <t>Max. Hor. Error =</t>
  </si>
  <si>
    <t>TVD corr. applied =</t>
  </si>
  <si>
    <t>MD unit =</t>
  </si>
  <si>
    <t>helper; angles in rad!</t>
  </si>
  <si>
    <t>Full min. curvature formulas incl. AZI ("exact")</t>
  </si>
  <si>
    <t>dn=0.5*(Md2-Md1)*RF*(SIN(Inc1)+SIN(Inc2))</t>
  </si>
  <si>
    <t>dd=0.5*(Md2-Md1)*RF*(COS(Inc1)+COS(Inc2))</t>
  </si>
  <si>
    <t>dd=(Md2-MD1) - 0.5*dn*TAN(AVERAGE(Inc1,Inc2))</t>
  </si>
  <si>
    <t>Approximations (&lt;50 cm level); avoids DL and RF calcs and seem suitable (but exact formulas are recommended to be used)</t>
  </si>
  <si>
    <t>Originally and INC-ONLY survey. MDs corrected to TVD. INC values set to zero to force a vertical path. AZ contains original INC values for audit.</t>
  </si>
  <si>
    <t>Remark: This "fake survey" can be used to load the inc-only data into a subsurface application that requires MIA.</t>
  </si>
  <si>
    <t>Yellow are input fields (output from min. curvature with grid north azimuths)</t>
  </si>
  <si>
    <t>alt eq for DL</t>
  </si>
  <si>
    <t>TVDcorr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</si>
</sst>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00"/>
    <numFmt numFmtId="165" formatCode="0.000"/>
    <numFmt numFmtId="166" formatCode="0.000000"/>
    <numFmt numFmtId="167" formatCode="0.00000000"/>
    <numFmt numFmtId="168" formatCode="0.0000000"/>
    <numFmt numFmtId="169" formatCode="0.0"/>
    <numFmt numFmtId="170" formatCode="_(* #,##0_);_(* \(#,##0\);_(* &quot;-&quot;??_);_(@_)"/>
  </numFmts>
  <fonts count="36" x14ac:knownFonts="1">
    <font>
      <sz val="11"/>
      <color theme="1"/>
      <name val="Calibri"/>
      <family val="2"/>
      <scheme val="minor"/>
    </font>
    <font>
      <sz val="8"/>
      <color theme="1"/>
      <name val="Calibri"/>
      <family val="2"/>
      <scheme val="minor"/>
    </font>
    <font>
      <b/>
      <sz val="8"/>
      <color theme="1"/>
      <name val="Calibri"/>
      <family val="2"/>
      <scheme val="minor"/>
    </font>
    <font>
      <b/>
      <sz val="8"/>
      <color rgb="FFFF0000"/>
      <name val="Calibri"/>
      <family val="2"/>
      <scheme val="minor"/>
    </font>
    <font>
      <b/>
      <sz val="8"/>
      <name val="Calibri"/>
      <family val="2"/>
      <scheme val="minor"/>
    </font>
    <font>
      <sz val="8"/>
      <color theme="0" tint="-0.249977111117893"/>
      <name val="Calibri"/>
      <family val="2"/>
      <scheme val="minor"/>
    </font>
    <font>
      <b/>
      <sz val="8"/>
      <color theme="0" tint="-0.249977111117893"/>
      <name val="Calibri"/>
      <family val="2"/>
      <scheme val="minor"/>
    </font>
    <font>
      <sz val="8"/>
      <color rgb="FFFF0000"/>
      <name val="Calibri"/>
      <family val="2"/>
      <scheme val="minor"/>
    </font>
    <font>
      <i/>
      <sz val="8"/>
      <color theme="1"/>
      <name val="Calibri"/>
      <family val="2"/>
      <scheme val="minor"/>
    </font>
    <font>
      <b/>
      <i/>
      <sz val="8"/>
      <color theme="0" tint="-0.34998626667073579"/>
      <name val="Calibri"/>
      <family val="2"/>
      <scheme val="minor"/>
    </font>
    <font>
      <i/>
      <sz val="8"/>
      <color theme="0" tint="-0.34998626667073579"/>
      <name val="Calibri"/>
      <family val="2"/>
      <scheme val="minor"/>
    </font>
    <font>
      <sz val="8"/>
      <color theme="0" tint="-0.34998626667073579"/>
      <name val="Calibri"/>
      <family val="2"/>
      <scheme val="minor"/>
    </font>
    <font>
      <b/>
      <sz val="8"/>
      <color theme="0" tint="-0.34998626667073579"/>
      <name val="Calibri"/>
      <family val="2"/>
      <scheme val="minor"/>
    </font>
    <font>
      <i/>
      <sz val="8"/>
      <color rgb="FFFF0000"/>
      <name val="Calibri"/>
      <family val="2"/>
      <scheme val="minor"/>
    </font>
    <font>
      <sz val="8"/>
      <name val="Calibri"/>
      <family val="2"/>
      <scheme val="minor"/>
    </font>
    <font>
      <sz val="8"/>
      <color theme="2" tint="-9.9978637043366805E-2"/>
      <name val="Calibri"/>
      <family val="2"/>
      <scheme val="minor"/>
    </font>
    <font>
      <b/>
      <sz val="8"/>
      <color theme="2" tint="-9.9978637043366805E-2"/>
      <name val="Calibri"/>
      <family val="2"/>
      <scheme val="minor"/>
    </font>
    <font>
      <sz val="8"/>
      <color theme="2" tint="-0.249977111117893"/>
      <name val="Calibri"/>
      <family val="2"/>
      <scheme val="minor"/>
    </font>
    <font>
      <b/>
      <sz val="8"/>
      <color theme="2" tint="-0.249977111117893"/>
      <name val="Calibri"/>
      <family val="2"/>
      <scheme val="minor"/>
    </font>
    <font>
      <sz val="11"/>
      <color theme="1"/>
      <name val="Calibri"/>
      <family val="2"/>
      <scheme val="minor"/>
    </font>
    <font>
      <b/>
      <i/>
      <sz val="8"/>
      <color rgb="FFFF0000"/>
      <name val="Calibri"/>
      <family val="2"/>
      <scheme val="minor"/>
    </font>
    <font>
      <b/>
      <sz val="11"/>
      <color theme="1"/>
      <name val="Calibri"/>
      <family val="2"/>
      <scheme val="minor"/>
    </font>
    <font>
      <sz val="11"/>
      <color rgb="FFFF0000"/>
      <name val="Calibri"/>
      <family val="2"/>
      <scheme val="minor"/>
    </font>
    <font>
      <sz val="11"/>
      <color rgb="FF000000"/>
      <name val="Calibri"/>
      <family val="2"/>
    </font>
    <font>
      <sz val="11"/>
      <color theme="4"/>
      <name val="Calibri"/>
      <family val="2"/>
      <scheme val="minor"/>
    </font>
    <font>
      <b/>
      <i/>
      <sz val="8"/>
      <name val="Calibri"/>
      <family val="2"/>
      <scheme val="minor"/>
    </font>
    <font>
      <b/>
      <sz val="11"/>
      <color rgb="FFFF0000"/>
      <name val="Calibri"/>
      <family val="2"/>
      <scheme val="minor"/>
    </font>
    <font>
      <sz val="9"/>
      <color theme="1"/>
      <name val="Calibri"/>
      <family val="2"/>
      <scheme val="minor"/>
    </font>
    <font>
      <sz val="9"/>
      <color rgb="FFFF0000"/>
      <name val="Calibri"/>
      <family val="2"/>
      <scheme val="minor"/>
    </font>
    <font>
      <i/>
      <sz val="9"/>
      <color theme="7" tint="-0.249977111117893"/>
      <name val="Calibri"/>
      <family val="2"/>
      <scheme val="minor"/>
    </font>
    <font>
      <b/>
      <i/>
      <sz val="8"/>
      <color theme="1"/>
      <name val="Calibri"/>
      <family val="2"/>
      <scheme val="minor"/>
    </font>
    <font>
      <i/>
      <sz val="11"/>
      <color theme="1"/>
      <name val="Calibri"/>
      <family val="2"/>
      <scheme val="minor"/>
    </font>
    <font>
      <b/>
      <i/>
      <sz val="8"/>
      <color theme="5"/>
      <name val="Calibri"/>
      <family val="2"/>
      <scheme val="minor"/>
    </font>
    <font>
      <sz val="8"/>
      <color theme="5"/>
      <name val="Calibri"/>
      <family val="2"/>
      <scheme val="minor"/>
    </font>
    <font>
      <i/>
      <sz val="8"/>
      <color theme="5"/>
      <name val="Calibri"/>
      <family val="2"/>
      <scheme val="minor"/>
    </font>
    <font>
      <sz val="9"/>
      <color indexed="81"/>
      <name val="Tahoma"/>
      <family val="2"/>
    </font>
  </fonts>
  <fills count="16">
    <fill>
      <patternFill patternType="none"/>
    </fill>
    <fill>
      <patternFill patternType="gray125"/>
    </fill>
    <fill>
      <patternFill patternType="solid">
        <fgColor indexed="13"/>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66FFFF"/>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5"/>
        <bgColor indexed="64"/>
      </patternFill>
    </fill>
    <fill>
      <patternFill patternType="solid">
        <fgColor theme="7" tint="0.39997558519241921"/>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9" fillId="0" borderId="0" applyFont="0" applyFill="0" applyBorder="0" applyAlignment="0" applyProtection="0"/>
  </cellStyleXfs>
  <cellXfs count="157">
    <xf numFmtId="0" fontId="0" fillId="0" borderId="0" xfId="0"/>
    <xf numFmtId="0" fontId="1" fillId="0" borderId="0" xfId="0" applyFont="1"/>
    <xf numFmtId="0" fontId="2" fillId="0" borderId="0" xfId="0" applyFont="1" applyAlignment="1">
      <alignment horizontal="center" vertical="center"/>
    </xf>
    <xf numFmtId="0" fontId="1" fillId="2" borderId="1" xfId="0" applyFont="1" applyFill="1" applyBorder="1"/>
    <xf numFmtId="165" fontId="1" fillId="0" borderId="0" xfId="0" applyNumberFormat="1" applyFont="1"/>
    <xf numFmtId="2" fontId="1" fillId="0" borderId="0" xfId="0" applyNumberFormat="1" applyFont="1"/>
    <xf numFmtId="164" fontId="1" fillId="0" borderId="0" xfId="0" applyNumberFormat="1" applyFont="1"/>
    <xf numFmtId="0" fontId="3" fillId="0" borderId="0" xfId="0" applyFont="1" applyAlignment="1">
      <alignment horizontal="center" vertical="center"/>
    </xf>
    <xf numFmtId="0" fontId="1" fillId="3" borderId="0" xfId="0" applyFont="1" applyFill="1"/>
    <xf numFmtId="166" fontId="1" fillId="0" borderId="0" xfId="0" applyNumberFormat="1" applyFont="1"/>
    <xf numFmtId="2" fontId="1" fillId="3" borderId="0" xfId="0" applyNumberFormat="1" applyFont="1" applyFill="1"/>
    <xf numFmtId="0" fontId="4" fillId="0" borderId="0" xfId="0" applyFont="1" applyAlignment="1">
      <alignment horizontal="center" vertical="center" wrapText="1"/>
    </xf>
    <xf numFmtId="0" fontId="4" fillId="0" borderId="0" xfId="0" applyFont="1" applyAlignment="1">
      <alignment horizontal="center" vertical="center"/>
    </xf>
    <xf numFmtId="0" fontId="4" fillId="4" borderId="0" xfId="0" applyFont="1" applyFill="1" applyAlignment="1">
      <alignment horizontal="left"/>
    </xf>
    <xf numFmtId="0" fontId="1" fillId="4" borderId="0" xfId="0" applyFont="1" applyFill="1"/>
    <xf numFmtId="0" fontId="2" fillId="5" borderId="0" xfId="0" applyFont="1" applyFill="1"/>
    <xf numFmtId="0" fontId="1" fillId="5" borderId="0" xfId="0" applyFont="1" applyFill="1"/>
    <xf numFmtId="0" fontId="2" fillId="6" borderId="0" xfId="0" applyFont="1" applyFill="1"/>
    <xf numFmtId="0" fontId="1" fillId="6" borderId="0" xfId="0" applyFont="1" applyFill="1"/>
    <xf numFmtId="0" fontId="5" fillId="0" borderId="0" xfId="0" applyFont="1"/>
    <xf numFmtId="0" fontId="6" fillId="7" borderId="0" xfId="0" applyFont="1" applyFill="1" applyAlignment="1">
      <alignment horizontal="left" vertical="center"/>
    </xf>
    <xf numFmtId="0" fontId="5" fillId="7" borderId="0" xfId="0" applyFont="1" applyFill="1"/>
    <xf numFmtId="2" fontId="5" fillId="0" borderId="0" xfId="0" applyNumberFormat="1" applyFont="1"/>
    <xf numFmtId="0" fontId="6" fillId="0" borderId="0" xfId="0" applyFont="1" applyAlignment="1">
      <alignment horizontal="center" vertical="center"/>
    </xf>
    <xf numFmtId="0" fontId="7" fillId="0" borderId="0" xfId="0" applyFont="1"/>
    <xf numFmtId="0" fontId="2" fillId="0" borderId="0" xfId="0" applyFont="1"/>
    <xf numFmtId="167" fontId="1" fillId="0" borderId="0" xfId="0" applyNumberFormat="1" applyFont="1"/>
    <xf numFmtId="0" fontId="1" fillId="6" borderId="1" xfId="0" applyFont="1" applyFill="1" applyBorder="1"/>
    <xf numFmtId="2" fontId="1" fillId="6" borderId="1" xfId="0" applyNumberFormat="1" applyFont="1" applyFill="1" applyBorder="1"/>
    <xf numFmtId="0" fontId="8" fillId="0" borderId="0" xfId="0" applyFont="1"/>
    <xf numFmtId="0" fontId="9"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xf numFmtId="0" fontId="11" fillId="0" borderId="0" xfId="0" applyFont="1"/>
    <xf numFmtId="0" fontId="8" fillId="6" borderId="0" xfId="0" applyFont="1" applyFill="1"/>
    <xf numFmtId="0" fontId="3" fillId="0" borderId="0" xfId="0" applyFont="1" applyAlignment="1">
      <alignment horizontal="center" vertical="center" wrapText="1"/>
    </xf>
    <xf numFmtId="2" fontId="7" fillId="0" borderId="0" xfId="0" applyNumberFormat="1" applyFont="1"/>
    <xf numFmtId="0" fontId="11" fillId="7" borderId="0" xfId="0" applyFont="1" applyFill="1"/>
    <xf numFmtId="0" fontId="12" fillId="0" borderId="0" xfId="0" applyFont="1" applyAlignment="1">
      <alignment horizontal="center" vertical="center"/>
    </xf>
    <xf numFmtId="2" fontId="11" fillId="0" borderId="0" xfId="0" applyNumberFormat="1" applyFont="1"/>
    <xf numFmtId="0" fontId="2" fillId="8" borderId="0" xfId="0" applyFont="1" applyFill="1" applyAlignment="1">
      <alignment horizontal="right"/>
    </xf>
    <xf numFmtId="0" fontId="1" fillId="8" borderId="0" xfId="0" applyFont="1" applyFill="1"/>
    <xf numFmtId="0" fontId="14" fillId="0" borderId="0" xfId="0" applyFont="1"/>
    <xf numFmtId="165" fontId="10" fillId="0" borderId="0" xfId="0" applyNumberFormat="1" applyFont="1"/>
    <xf numFmtId="0" fontId="14" fillId="3" borderId="0" xfId="0" applyFont="1" applyFill="1"/>
    <xf numFmtId="168" fontId="13" fillId="0" borderId="0" xfId="0" applyNumberFormat="1" applyFont="1"/>
    <xf numFmtId="0" fontId="3" fillId="0" borderId="0" xfId="0" applyFont="1"/>
    <xf numFmtId="2" fontId="10" fillId="0" borderId="0" xfId="0" applyNumberFormat="1" applyFont="1"/>
    <xf numFmtId="0" fontId="15" fillId="0" borderId="0" xfId="0" applyFont="1" applyFill="1"/>
    <xf numFmtId="0" fontId="16" fillId="0" borderId="0" xfId="0" applyFont="1" applyAlignment="1">
      <alignment horizontal="center" vertical="center"/>
    </xf>
    <xf numFmtId="0" fontId="1" fillId="9" borderId="0" xfId="0" applyFont="1" applyFill="1"/>
    <xf numFmtId="0" fontId="17" fillId="0" borderId="0" xfId="0" applyFont="1" applyFill="1"/>
    <xf numFmtId="0" fontId="17" fillId="0" borderId="0" xfId="0" applyFont="1"/>
    <xf numFmtId="0" fontId="18" fillId="0" borderId="0" xfId="0" applyFont="1" applyFill="1" applyAlignment="1">
      <alignment horizontal="center"/>
    </xf>
    <xf numFmtId="2" fontId="8" fillId="0" borderId="0" xfId="0" applyNumberFormat="1" applyFont="1"/>
    <xf numFmtId="170" fontId="1" fillId="10" borderId="0" xfId="1" applyNumberFormat="1" applyFont="1" applyFill="1"/>
    <xf numFmtId="0" fontId="1" fillId="10" borderId="0" xfId="0" applyFont="1" applyFill="1"/>
    <xf numFmtId="164" fontId="1" fillId="10" borderId="0" xfId="0" applyNumberFormat="1" applyFont="1" applyFill="1"/>
    <xf numFmtId="165" fontId="1" fillId="10" borderId="0" xfId="0" applyNumberFormat="1" applyFont="1" applyFill="1"/>
    <xf numFmtId="0" fontId="1" fillId="11" borderId="0" xfId="0" applyFont="1" applyFill="1"/>
    <xf numFmtId="2" fontId="1" fillId="11" borderId="0" xfId="0" applyNumberFormat="1" applyFont="1" applyFill="1"/>
    <xf numFmtId="1" fontId="7" fillId="11" borderId="0" xfId="0" applyNumberFormat="1" applyFont="1" applyFill="1"/>
    <xf numFmtId="0" fontId="7" fillId="11" borderId="0" xfId="0" applyFont="1" applyFill="1"/>
    <xf numFmtId="164" fontId="7" fillId="11" borderId="0" xfId="0" applyNumberFormat="1" applyFont="1" applyFill="1"/>
    <xf numFmtId="165" fontId="7" fillId="11" borderId="0" xfId="0" applyNumberFormat="1" applyFont="1" applyFill="1"/>
    <xf numFmtId="0" fontId="2" fillId="0" borderId="0" xfId="0" applyFont="1" applyAlignment="1">
      <alignment horizontal="right"/>
    </xf>
    <xf numFmtId="0" fontId="1" fillId="0" borderId="0" xfId="0" applyFont="1" applyAlignment="1">
      <alignment horizontal="right"/>
    </xf>
    <xf numFmtId="164" fontId="1" fillId="11" borderId="0" xfId="0" applyNumberFormat="1" applyFont="1" applyFill="1"/>
    <xf numFmtId="169" fontId="7" fillId="11" borderId="0" xfId="0" applyNumberFormat="1" applyFont="1" applyFill="1"/>
    <xf numFmtId="0" fontId="2" fillId="0" borderId="0" xfId="0" applyFont="1" applyAlignment="1">
      <alignment horizontal="center"/>
    </xf>
    <xf numFmtId="169" fontId="0" fillId="0" borderId="0" xfId="0" applyNumberFormat="1"/>
    <xf numFmtId="0" fontId="1" fillId="0" borderId="0" xfId="0" applyFont="1" applyAlignment="1">
      <alignment horizontal="center"/>
    </xf>
    <xf numFmtId="169" fontId="1" fillId="0" borderId="0" xfId="0" applyNumberFormat="1" applyFont="1" applyAlignment="1">
      <alignment horizontal="center"/>
    </xf>
    <xf numFmtId="1" fontId="13" fillId="11" borderId="0" xfId="0" applyNumberFormat="1" applyFont="1" applyFill="1"/>
    <xf numFmtId="0" fontId="13" fillId="11" borderId="0" xfId="0" applyFont="1" applyFill="1"/>
    <xf numFmtId="165" fontId="13" fillId="11" borderId="0" xfId="0" applyNumberFormat="1" applyFont="1" applyFill="1"/>
    <xf numFmtId="164" fontId="13" fillId="11" borderId="0" xfId="0" applyNumberFormat="1" applyFont="1" applyFill="1"/>
    <xf numFmtId="169" fontId="13" fillId="11" borderId="0" xfId="0" applyNumberFormat="1" applyFont="1" applyFill="1"/>
    <xf numFmtId="169" fontId="3" fillId="6" borderId="0" xfId="0" applyNumberFormat="1" applyFont="1" applyFill="1" applyAlignment="1">
      <alignment horizontal="center"/>
    </xf>
    <xf numFmtId="0" fontId="17" fillId="6" borderId="0" xfId="0" applyFont="1" applyFill="1"/>
    <xf numFmtId="0" fontId="20" fillId="0" borderId="0" xfId="0" applyFont="1" applyAlignment="1">
      <alignment horizontal="right"/>
    </xf>
    <xf numFmtId="167" fontId="13" fillId="0" borderId="0" xfId="0" applyNumberFormat="1" applyFont="1"/>
    <xf numFmtId="0" fontId="1" fillId="0" borderId="0" xfId="0" applyFont="1"/>
    <xf numFmtId="165" fontId="1" fillId="0" borderId="0" xfId="0" applyNumberFormat="1" applyFont="1"/>
    <xf numFmtId="2" fontId="1" fillId="0" borderId="0" xfId="0" applyNumberFormat="1" applyFont="1"/>
    <xf numFmtId="164" fontId="1" fillId="0" borderId="0" xfId="0" applyNumberFormat="1" applyFont="1"/>
    <xf numFmtId="166" fontId="1" fillId="0" borderId="0" xfId="0" applyNumberFormat="1" applyFont="1"/>
    <xf numFmtId="2" fontId="5" fillId="0" borderId="0" xfId="0" applyNumberFormat="1" applyFont="1"/>
    <xf numFmtId="2" fontId="1" fillId="6" borderId="1" xfId="0" applyNumberFormat="1" applyFont="1" applyFill="1" applyBorder="1"/>
    <xf numFmtId="0" fontId="10" fillId="0" borderId="0" xfId="0" applyFont="1"/>
    <xf numFmtId="2" fontId="11" fillId="0" borderId="0" xfId="0" applyNumberFormat="1" applyFont="1"/>
    <xf numFmtId="1" fontId="1" fillId="0" borderId="0" xfId="0" applyNumberFormat="1" applyFont="1"/>
    <xf numFmtId="0" fontId="13" fillId="0" borderId="0" xfId="0" applyFont="1"/>
    <xf numFmtId="0" fontId="1" fillId="0" borderId="0" xfId="0" applyFont="1"/>
    <xf numFmtId="165" fontId="1" fillId="0" borderId="0" xfId="0" applyNumberFormat="1" applyFont="1"/>
    <xf numFmtId="2" fontId="1" fillId="0" borderId="0" xfId="0" applyNumberFormat="1" applyFont="1"/>
    <xf numFmtId="167" fontId="1" fillId="0" borderId="0" xfId="0" applyNumberFormat="1" applyFont="1"/>
    <xf numFmtId="2" fontId="1" fillId="6" borderId="1" xfId="0" applyNumberFormat="1" applyFont="1" applyFill="1" applyBorder="1"/>
    <xf numFmtId="0" fontId="9" fillId="0" borderId="0" xfId="0" applyFont="1" applyAlignment="1">
      <alignment horizontal="center" vertical="center" wrapText="1"/>
    </xf>
    <xf numFmtId="0" fontId="10" fillId="0" borderId="0" xfId="0" applyFont="1"/>
    <xf numFmtId="2" fontId="11" fillId="0" borderId="0" xfId="0" applyNumberFormat="1" applyFont="1"/>
    <xf numFmtId="2" fontId="14" fillId="0" borderId="0" xfId="0" applyNumberFormat="1" applyFont="1"/>
    <xf numFmtId="165" fontId="10" fillId="0" borderId="0" xfId="0" applyNumberFormat="1" applyFont="1"/>
    <xf numFmtId="2" fontId="10" fillId="0" borderId="0" xfId="0" applyNumberFormat="1" applyFont="1"/>
    <xf numFmtId="0" fontId="15" fillId="0" borderId="0" xfId="0" applyFont="1" applyFill="1"/>
    <xf numFmtId="2" fontId="8" fillId="0" borderId="0" xfId="0" applyNumberFormat="1" applyFont="1"/>
    <xf numFmtId="0" fontId="13" fillId="0" borderId="0" xfId="0" applyFont="1"/>
    <xf numFmtId="0" fontId="0" fillId="0" borderId="0" xfId="0"/>
    <xf numFmtId="165" fontId="1" fillId="0" borderId="0" xfId="0" applyNumberFormat="1" applyFont="1"/>
    <xf numFmtId="164" fontId="1" fillId="0" borderId="0" xfId="0" applyNumberFormat="1" applyFont="1"/>
    <xf numFmtId="2" fontId="7" fillId="0" borderId="0" xfId="0" applyNumberFormat="1" applyFont="1"/>
    <xf numFmtId="0" fontId="8" fillId="0" borderId="0" xfId="0" applyFont="1" applyAlignment="1">
      <alignment horizontal="center"/>
    </xf>
    <xf numFmtId="165" fontId="7" fillId="0" borderId="0" xfId="0" applyNumberFormat="1" applyFont="1"/>
    <xf numFmtId="0" fontId="0" fillId="0" borderId="0" xfId="0" quotePrefix="1"/>
    <xf numFmtId="0" fontId="0" fillId="6" borderId="0" xfId="0" applyFill="1"/>
    <xf numFmtId="0" fontId="21" fillId="0" borderId="0" xfId="0" applyFont="1"/>
    <xf numFmtId="0" fontId="7" fillId="6" borderId="0" xfId="0" applyFont="1" applyFill="1"/>
    <xf numFmtId="14" fontId="0" fillId="0" borderId="0" xfId="0" applyNumberFormat="1"/>
    <xf numFmtId="2" fontId="0" fillId="0" borderId="0" xfId="0" applyNumberFormat="1"/>
    <xf numFmtId="2" fontId="1" fillId="6" borderId="0" xfId="0" applyNumberFormat="1" applyFont="1" applyFill="1"/>
    <xf numFmtId="2" fontId="0" fillId="6" borderId="0" xfId="0" applyNumberFormat="1" applyFill="1"/>
    <xf numFmtId="0" fontId="22" fillId="0" borderId="0" xfId="0" applyFont="1"/>
    <xf numFmtId="0" fontId="23" fillId="0" borderId="0" xfId="0" applyFont="1" applyAlignment="1">
      <alignment horizontal="right" vertical="center" wrapText="1"/>
    </xf>
    <xf numFmtId="2" fontId="22" fillId="0" borderId="0" xfId="0" applyNumberFormat="1" applyFont="1"/>
    <xf numFmtId="0" fontId="24" fillId="0" borderId="0" xfId="0" applyFont="1"/>
    <xf numFmtId="0" fontId="25" fillId="0" borderId="0" xfId="0" applyFont="1" applyAlignment="1">
      <alignment horizontal="center" vertical="center"/>
    </xf>
    <xf numFmtId="169" fontId="8" fillId="0" borderId="0" xfId="0" applyNumberFormat="1" applyFont="1" applyAlignment="1">
      <alignment horizontal="center"/>
    </xf>
    <xf numFmtId="0" fontId="1" fillId="0" borderId="0" xfId="0" applyFont="1" applyFill="1"/>
    <xf numFmtId="166" fontId="1" fillId="0" borderId="0" xfId="0" applyNumberFormat="1" applyFont="1" applyFill="1"/>
    <xf numFmtId="165" fontId="1" fillId="0" borderId="0" xfId="0" applyNumberFormat="1" applyFont="1" applyFill="1"/>
    <xf numFmtId="2" fontId="3" fillId="0" borderId="0" xfId="0" applyNumberFormat="1" applyFont="1" applyFill="1"/>
    <xf numFmtId="2" fontId="1" fillId="0" borderId="0" xfId="0" applyNumberFormat="1" applyFont="1" applyFill="1"/>
    <xf numFmtId="164" fontId="1" fillId="0" borderId="0" xfId="0" applyNumberFormat="1" applyFont="1" applyFill="1"/>
    <xf numFmtId="2" fontId="5" fillId="0" borderId="0" xfId="0" applyNumberFormat="1" applyFont="1" applyFill="1"/>
    <xf numFmtId="2" fontId="1" fillId="12" borderId="0" xfId="0" applyNumberFormat="1" applyFont="1" applyFill="1"/>
    <xf numFmtId="2" fontId="1" fillId="5" borderId="0" xfId="0" applyNumberFormat="1" applyFont="1" applyFill="1"/>
    <xf numFmtId="0" fontId="26" fillId="0" borderId="0" xfId="0" applyFont="1"/>
    <xf numFmtId="0" fontId="0" fillId="13" borderId="0" xfId="0" applyFill="1"/>
    <xf numFmtId="0" fontId="0" fillId="14" borderId="0" xfId="0" applyFill="1"/>
    <xf numFmtId="2" fontId="8" fillId="0" borderId="0" xfId="0" applyNumberFormat="1" applyFont="1" applyAlignment="1">
      <alignment horizontal="right"/>
    </xf>
    <xf numFmtId="0" fontId="21" fillId="6" borderId="0" xfId="0" applyFont="1" applyFill="1"/>
    <xf numFmtId="2" fontId="27" fillId="0" borderId="0" xfId="0" applyNumberFormat="1" applyFont="1"/>
    <xf numFmtId="0" fontId="28" fillId="0" borderId="0" xfId="0" applyFont="1"/>
    <xf numFmtId="2" fontId="29" fillId="0" borderId="0" xfId="0" applyNumberFormat="1" applyFont="1" applyAlignment="1">
      <alignment horizontal="center"/>
    </xf>
    <xf numFmtId="0" fontId="29" fillId="0" borderId="0" xfId="0" applyFont="1" applyAlignment="1">
      <alignment horizontal="center"/>
    </xf>
    <xf numFmtId="0" fontId="2" fillId="6" borderId="0" xfId="0" applyFont="1" applyFill="1" applyAlignment="1">
      <alignment horizontal="center"/>
    </xf>
    <xf numFmtId="0" fontId="2" fillId="15" borderId="0" xfId="0" applyFont="1" applyFill="1"/>
    <xf numFmtId="0" fontId="30" fillId="10" borderId="0" xfId="0" applyFont="1" applyFill="1"/>
    <xf numFmtId="0" fontId="2" fillId="10" borderId="0" xfId="0" applyFont="1" applyFill="1"/>
    <xf numFmtId="0" fontId="31" fillId="0" borderId="0" xfId="0" applyFont="1"/>
    <xf numFmtId="0" fontId="32" fillId="0" borderId="0" xfId="0" applyFont="1" applyAlignment="1">
      <alignment horizontal="center" vertical="center"/>
    </xf>
    <xf numFmtId="0" fontId="33" fillId="0" borderId="0" xfId="0" applyFont="1"/>
    <xf numFmtId="0" fontId="34" fillId="0" borderId="0" xfId="0" applyFont="1"/>
    <xf numFmtId="169" fontId="34" fillId="0" borderId="0" xfId="0" applyNumberFormat="1" applyFont="1" applyAlignment="1">
      <alignment horizontal="center"/>
    </xf>
    <xf numFmtId="169" fontId="34" fillId="0" borderId="0" xfId="0" applyNumberFormat="1" applyFont="1" applyFill="1" applyAlignment="1">
      <alignment horizontal="center"/>
    </xf>
    <xf numFmtId="166" fontId="34" fillId="0" borderId="0" xfId="0" applyNumberFormat="1" applyFont="1" applyAlignment="1">
      <alignment horizontal="center"/>
    </xf>
    <xf numFmtId="2" fontId="31" fillId="0" borderId="0" xfId="0" applyNumberFormat="1" applyFont="1"/>
  </cellXfs>
  <cellStyles count="2">
    <cellStyle name="Comma" xfId="1" builtinId="3"/>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161925</xdr:colOff>
      <xdr:row>1</xdr:row>
      <xdr:rowOff>112859</xdr:rowOff>
    </xdr:from>
    <xdr:to>
      <xdr:col>28</xdr:col>
      <xdr:colOff>371475</xdr:colOff>
      <xdr:row>11</xdr:row>
      <xdr:rowOff>19222</xdr:rowOff>
    </xdr:to>
    <xdr:pic>
      <xdr:nvPicPr>
        <xdr:cNvPr id="2" name="Picture 1">
          <a:extLst>
            <a:ext uri="{FF2B5EF4-FFF2-40B4-BE49-F238E27FC236}">
              <a16:creationId xmlns:a16="http://schemas.microsoft.com/office/drawing/2014/main" id="{9864585B-E411-4748-9DD2-A80D610753D0}"/>
            </a:ext>
          </a:extLst>
        </xdr:cNvPr>
        <xdr:cNvPicPr>
          <a:picLocks noChangeAspect="1"/>
        </xdr:cNvPicPr>
      </xdr:nvPicPr>
      <xdr:blipFill>
        <a:blip xmlns:r="http://schemas.openxmlformats.org/officeDocument/2006/relationships" r:embed="rId1"/>
        <a:stretch>
          <a:fillRect/>
        </a:stretch>
      </xdr:blipFill>
      <xdr:spPr>
        <a:xfrm>
          <a:off x="12239625" y="255734"/>
          <a:ext cx="3467100" cy="1335113"/>
        </a:xfrm>
        <a:prstGeom prst="rect">
          <a:avLst/>
        </a:prstGeom>
      </xdr:spPr>
    </xdr:pic>
    <xdr:clientData/>
  </xdr:twoCellAnchor>
  <xdr:twoCellAnchor editAs="oneCell">
    <xdr:from>
      <xdr:col>16</xdr:col>
      <xdr:colOff>47232</xdr:colOff>
      <xdr:row>2</xdr:row>
      <xdr:rowOff>9524</xdr:rowOff>
    </xdr:from>
    <xdr:to>
      <xdr:col>21</xdr:col>
      <xdr:colOff>437556</xdr:colOff>
      <xdr:row>10</xdr:row>
      <xdr:rowOff>37897</xdr:rowOff>
    </xdr:to>
    <xdr:pic>
      <xdr:nvPicPr>
        <xdr:cNvPr id="4" name="Picture 3">
          <a:extLst>
            <a:ext uri="{FF2B5EF4-FFF2-40B4-BE49-F238E27FC236}">
              <a16:creationId xmlns:a16="http://schemas.microsoft.com/office/drawing/2014/main" id="{ADD0779B-C656-4035-89E1-2AE6A73D3BCE}"/>
            </a:ext>
          </a:extLst>
        </xdr:cNvPr>
        <xdr:cNvPicPr>
          <a:picLocks noChangeAspect="1"/>
        </xdr:cNvPicPr>
      </xdr:nvPicPr>
      <xdr:blipFill>
        <a:blip xmlns:r="http://schemas.openxmlformats.org/officeDocument/2006/relationships" r:embed="rId2"/>
        <a:stretch>
          <a:fillRect/>
        </a:stretch>
      </xdr:blipFill>
      <xdr:spPr>
        <a:xfrm>
          <a:off x="8467332" y="295274"/>
          <a:ext cx="3438324" cy="11713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mpes, Bert M SIEP-IUV/S/GA" id="{8D6DE468-88E3-4DAE-8DFA-7F9F30AB97FA}" userId="S::Bert.Kampes@shell.com::57f86816-dd28-4d68-82c7-3f39ca96599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0" dT="2023-07-18T20:40:34.40" personId="{8D6DE468-88E3-4DAE-8DFA-7F9F30AB97FA}" id="{24D9253C-5887-4B1C-8689-E5F93D7D624F}">
    <text>This formula is more robust and recommended by SPE.  It is not likely to go out of bound with arcsine rather than arccosine for angles typically close to 0 DL.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5131-9EF5-42B7-AAAC-995D8A2382D1}">
  <sheetPr>
    <tabColor rgb="FFFFFF00"/>
  </sheetPr>
  <dimension ref="A1:AJ233"/>
  <sheetViews>
    <sheetView tabSelected="1" zoomScaleNormal="100" workbookViewId="0">
      <pane ySplit="20" topLeftCell="A21" activePane="bottomLeft" state="frozen"/>
      <selection pane="bottomLeft" activeCell="J14" sqref="J14"/>
    </sheetView>
  </sheetViews>
  <sheetFormatPr defaultColWidth="9.109375" defaultRowHeight="10.199999999999999" x14ac:dyDescent="0.2"/>
  <cols>
    <col min="1" max="1" width="7.88671875" style="1" customWidth="1"/>
    <col min="2" max="2" width="8.109375" style="1" bestFit="1" customWidth="1"/>
    <col min="3" max="3" width="7.6640625" style="1" bestFit="1" customWidth="1"/>
    <col min="4" max="4" width="5.88671875" style="1" customWidth="1"/>
    <col min="5" max="5" width="11.33203125" style="1" bestFit="1" customWidth="1"/>
    <col min="6" max="6" width="10.44140625" style="1" bestFit="1" customWidth="1"/>
    <col min="7" max="7" width="3" style="1" customWidth="1"/>
    <col min="8" max="8" width="10.5546875" style="1" customWidth="1"/>
    <col min="9" max="10" width="10.5546875" style="93" customWidth="1"/>
    <col min="11" max="11" width="10.5546875" style="1" customWidth="1"/>
    <col min="12" max="14" width="7.109375" style="1" customWidth="1"/>
    <col min="15" max="17" width="7.6640625" style="1" customWidth="1"/>
    <col min="18" max="18" width="4.109375" style="93" customWidth="1"/>
    <col min="19" max="21" width="7.109375" style="1" customWidth="1"/>
    <col min="22" max="22" width="9.109375" style="1" customWidth="1"/>
    <col min="23" max="24" width="10" style="1" customWidth="1"/>
    <col min="25" max="25" width="7.6640625" style="1" customWidth="1"/>
    <col min="26" max="26" width="9.109375" style="1"/>
    <col min="27" max="27" width="9.109375" style="1" customWidth="1"/>
    <col min="28" max="29" width="9.109375" style="1"/>
    <col min="30" max="30" width="9.5546875" style="1" customWidth="1"/>
    <col min="31" max="31" width="8.44140625" style="1" customWidth="1"/>
    <col min="32" max="32" width="7.88671875" style="1" customWidth="1"/>
    <col min="33" max="33" width="9.109375" style="1"/>
    <col min="34" max="36" width="9.109375" style="19"/>
    <col min="37" max="16384" width="9.109375" style="1"/>
  </cols>
  <sheetData>
    <row r="1" spans="1:11" x14ac:dyDescent="0.2">
      <c r="A1" s="1" t="s">
        <v>8</v>
      </c>
      <c r="K1" s="1" t="s">
        <v>107</v>
      </c>
    </row>
    <row r="2" spans="1:11" x14ac:dyDescent="0.2">
      <c r="A2" s="1" t="s">
        <v>154</v>
      </c>
      <c r="K2" s="1" t="s">
        <v>108</v>
      </c>
    </row>
    <row r="3" spans="1:11" x14ac:dyDescent="0.2">
      <c r="A3" s="1" t="s">
        <v>191</v>
      </c>
    </row>
    <row r="5" spans="1:11" x14ac:dyDescent="0.2">
      <c r="A5" s="25" t="s">
        <v>44</v>
      </c>
    </row>
    <row r="6" spans="1:11" x14ac:dyDescent="0.2">
      <c r="B6" s="1" t="s">
        <v>22</v>
      </c>
      <c r="E6" s="1" t="s">
        <v>31</v>
      </c>
      <c r="K6" s="29" t="s">
        <v>93</v>
      </c>
    </row>
    <row r="7" spans="1:11" x14ac:dyDescent="0.2">
      <c r="B7" s="1" t="s">
        <v>21</v>
      </c>
      <c r="E7" s="8" t="s">
        <v>17</v>
      </c>
      <c r="K7" s="29" t="s">
        <v>92</v>
      </c>
    </row>
    <row r="8" spans="1:11" x14ac:dyDescent="0.2">
      <c r="B8" s="1" t="s">
        <v>35</v>
      </c>
      <c r="E8" s="1" t="s">
        <v>66</v>
      </c>
      <c r="K8" s="29" t="s">
        <v>67</v>
      </c>
    </row>
    <row r="9" spans="1:11" x14ac:dyDescent="0.2">
      <c r="A9" s="25" t="s">
        <v>45</v>
      </c>
    </row>
    <row r="10" spans="1:11" x14ac:dyDescent="0.2">
      <c r="B10" s="1" t="s">
        <v>47</v>
      </c>
      <c r="E10" s="1" t="s">
        <v>174</v>
      </c>
    </row>
    <row r="11" spans="1:11" x14ac:dyDescent="0.2">
      <c r="B11" s="1" t="s">
        <v>48</v>
      </c>
      <c r="E11" s="1">
        <v>6081740479</v>
      </c>
    </row>
    <row r="12" spans="1:11" x14ac:dyDescent="0.2">
      <c r="A12" s="25" t="s">
        <v>46</v>
      </c>
    </row>
    <row r="13" spans="1:11" x14ac:dyDescent="0.2">
      <c r="B13" s="1" t="s">
        <v>47</v>
      </c>
      <c r="E13" s="1" t="s">
        <v>175</v>
      </c>
    </row>
    <row r="14" spans="1:11" x14ac:dyDescent="0.2">
      <c r="B14" s="1" t="s">
        <v>49</v>
      </c>
      <c r="E14" s="91">
        <v>608174047904</v>
      </c>
    </row>
    <row r="15" spans="1:11" x14ac:dyDescent="0.2">
      <c r="A15" s="25" t="s">
        <v>73</v>
      </c>
      <c r="E15" s="1" t="s">
        <v>72</v>
      </c>
    </row>
    <row r="18" spans="1:36" x14ac:dyDescent="0.2">
      <c r="A18" s="17" t="s">
        <v>11</v>
      </c>
      <c r="B18" s="18"/>
      <c r="C18" s="18"/>
      <c r="D18" s="18"/>
      <c r="E18" s="18"/>
      <c r="F18" s="18"/>
      <c r="H18" s="13" t="s">
        <v>9</v>
      </c>
      <c r="I18" s="13"/>
      <c r="J18" s="13"/>
      <c r="K18" s="14"/>
      <c r="L18" s="14"/>
      <c r="M18" s="14"/>
      <c r="N18" s="14"/>
      <c r="O18" s="14"/>
      <c r="P18" s="14"/>
      <c r="Q18" s="14"/>
      <c r="S18" s="15" t="s">
        <v>10</v>
      </c>
      <c r="T18" s="16"/>
      <c r="U18" s="16"/>
      <c r="V18" s="16"/>
      <c r="W18" s="16"/>
      <c r="X18" s="16"/>
      <c r="Y18" s="16"/>
      <c r="Z18" s="16"/>
      <c r="AA18" s="16"/>
      <c r="AB18" s="16"/>
      <c r="AC18" s="16"/>
      <c r="AD18" s="16"/>
      <c r="AE18" s="16"/>
      <c r="AF18" s="16"/>
      <c r="AH18" s="20" t="s">
        <v>296</v>
      </c>
      <c r="AI18" s="21"/>
      <c r="AJ18" s="21"/>
    </row>
    <row r="19" spans="1:36" x14ac:dyDescent="0.2">
      <c r="O19" s="29" t="str">
        <f>CONCATENATE("(oriented """,E7,""")")</f>
        <v>(oriented "Grid North")</v>
      </c>
      <c r="AH19" s="22">
        <f>MAX(AH22:AH99999)</f>
        <v>7.2759576141834259E-12</v>
      </c>
      <c r="AI19" s="22">
        <f>MAX(AI22:AI99999)</f>
        <v>2.3101340007603E-9</v>
      </c>
      <c r="AJ19" s="22">
        <f>MAX(AJ22:AJ99999)</f>
        <v>1.8317994374683622E-6</v>
      </c>
    </row>
    <row r="20" spans="1:36" s="2" customFormat="1" x14ac:dyDescent="0.3">
      <c r="A20" s="11" t="str">
        <f>CONCATENATE("MD [",$E6,"]")</f>
        <v>MD [m]</v>
      </c>
      <c r="B20" s="12" t="s">
        <v>2</v>
      </c>
      <c r="C20" s="12" t="s">
        <v>3</v>
      </c>
      <c r="E20" s="2" t="s">
        <v>1</v>
      </c>
      <c r="F20" s="2" t="s">
        <v>0</v>
      </c>
      <c r="H20" s="12" t="s">
        <v>5</v>
      </c>
      <c r="I20" s="150" t="s">
        <v>330</v>
      </c>
      <c r="J20" s="150" t="str">
        <f>IF(LEFT(E$6,1)="m", "DLS [deg/30m]", "DLS [deg/100ft]")</f>
        <v>DLS [deg/30m]</v>
      </c>
      <c r="K20" s="2" t="s">
        <v>4</v>
      </c>
      <c r="L20" s="2" t="str">
        <f>CONCATENATE("dn [",$E6,"]")</f>
        <v>dn [m]</v>
      </c>
      <c r="M20" s="2" t="str">
        <f>CONCATENATE("de [",$E6,"]")</f>
        <v>de [m]</v>
      </c>
      <c r="N20" s="2" t="str">
        <f>CONCATENATE("dd [",$E6,"]")</f>
        <v>dd [m]</v>
      </c>
      <c r="O20" s="7" t="str">
        <f>CONCATENATE("n [",$E6,"]")</f>
        <v>n [m]</v>
      </c>
      <c r="P20" s="7" t="str">
        <f>CONCATENATE("e [",$E6,"]")</f>
        <v>e [m]</v>
      </c>
      <c r="Q20" s="7" t="str">
        <f>CONCATENATE("d [",$E6,"]")</f>
        <v>d [m]</v>
      </c>
      <c r="S20" s="2" t="str">
        <f>CONCATENATE("dn [",$E6,"]")</f>
        <v>dn [m]</v>
      </c>
      <c r="T20" s="2" t="str">
        <f>CONCATENATE("de [",$E6,"]")</f>
        <v>de [m]</v>
      </c>
      <c r="U20" s="2" t="str">
        <f>CONCATENATE("dd [",$E6,"]")</f>
        <v>dd [m]</v>
      </c>
      <c r="V20" s="2" t="str">
        <f>CONCATENATE("R [",$E6,"]")</f>
        <v>R [m]</v>
      </c>
      <c r="W20" s="12" t="s">
        <v>5</v>
      </c>
      <c r="X20" s="2" t="s">
        <v>4</v>
      </c>
      <c r="Y20" s="2" t="str">
        <f>CONCATENATE("dM [",$E6,"]")</f>
        <v>dM [m]</v>
      </c>
      <c r="Z20" s="2" t="s">
        <v>1</v>
      </c>
      <c r="AA20" s="2" t="s">
        <v>6</v>
      </c>
      <c r="AB20" s="2" t="s">
        <v>7</v>
      </c>
      <c r="AC20" s="2" t="s">
        <v>0</v>
      </c>
      <c r="AD20" s="7" t="str">
        <f>CONCATENATE("MD [",$E6,"]")</f>
        <v>MD [m]</v>
      </c>
      <c r="AE20" s="7" t="s">
        <v>2</v>
      </c>
      <c r="AF20" s="7" t="s">
        <v>3</v>
      </c>
      <c r="AH20" s="23" t="s">
        <v>12</v>
      </c>
      <c r="AI20" s="23" t="s">
        <v>13</v>
      </c>
      <c r="AJ20" s="23" t="s">
        <v>14</v>
      </c>
    </row>
    <row r="21" spans="1:36" x14ac:dyDescent="0.2">
      <c r="A21" s="3">
        <v>0</v>
      </c>
      <c r="B21" s="3">
        <v>0</v>
      </c>
      <c r="C21" s="3">
        <v>55.47</v>
      </c>
      <c r="E21" s="1">
        <f>RADIANS(B21)</f>
        <v>0</v>
      </c>
      <c r="F21" s="1">
        <f>RADIANS(C21)</f>
        <v>0.96813413608125454</v>
      </c>
      <c r="I21" s="151"/>
      <c r="J21" s="152"/>
      <c r="O21" s="8">
        <v>0</v>
      </c>
      <c r="P21" s="8">
        <v>0</v>
      </c>
      <c r="Q21" s="8">
        <v>0</v>
      </c>
      <c r="Z21" s="8">
        <f>E21</f>
        <v>0</v>
      </c>
      <c r="AC21" s="8">
        <f>F21</f>
        <v>0.96813413608125454</v>
      </c>
      <c r="AD21" s="10">
        <f>A21</f>
        <v>0</v>
      </c>
      <c r="AE21" s="10">
        <f t="shared" ref="AE21:AE52" si="0">DEGREES(Z21)</f>
        <v>0</v>
      </c>
      <c r="AF21" s="10">
        <f>MOD(DEGREES(AC21),360)</f>
        <v>55.47</v>
      </c>
    </row>
    <row r="22" spans="1:36" x14ac:dyDescent="0.2">
      <c r="A22" s="3">
        <v>3137</v>
      </c>
      <c r="B22" s="3">
        <v>0</v>
      </c>
      <c r="C22" s="3">
        <v>55.47</v>
      </c>
      <c r="E22" s="1">
        <f t="shared" ref="E22:E27" si="1">RADIANS(B22)</f>
        <v>0</v>
      </c>
      <c r="F22" s="1">
        <f t="shared" ref="F22:F27" si="2">RADIANS(C22)</f>
        <v>0.96813413608125454</v>
      </c>
      <c r="H22" s="9">
        <f>ACOS(MAX(-1,MIN(1, COS(E22-E21)-SIN(E21)*SIN(E22)*(1-COS(F22-F21)))))</f>
        <v>0</v>
      </c>
      <c r="I22" s="155">
        <f>2*ASIN(SQRT( SIN((E22-E21)/2)^2 + SIN(E21)*SIN(E22)*SIN((F22-F21)/2)^2) )</f>
        <v>0</v>
      </c>
      <c r="J22" s="153">
        <f>IF(LEFT(E$6,1)="m", 30*DEGREES(H22)/(A22-A21), 100*DEGREES(H22)/(A22-A21))</f>
        <v>0</v>
      </c>
      <c r="K22" s="9">
        <f>IF(H22=0, 1, 2*TAN(H22/2)/H22)</f>
        <v>1</v>
      </c>
      <c r="L22" s="4">
        <f>0.5*(A22-A21)*K22 * (SIN(E21)*COS(F21) + SIN(E22)*COS(F22))</f>
        <v>0</v>
      </c>
      <c r="M22" s="4">
        <f>0.5*(A22-A21)*K22 * (SIN(E21)*SIN(F21) + SIN(E22)*SIN(F22))</f>
        <v>0</v>
      </c>
      <c r="N22" s="4">
        <f>0.5*(A22-A21)*K22 * (COS(E21) + COS(E22))</f>
        <v>3137</v>
      </c>
      <c r="O22" s="5">
        <f>O21+L22</f>
        <v>0</v>
      </c>
      <c r="P22" s="5">
        <f t="shared" ref="P22:Q22" si="3">P21+M22</f>
        <v>0</v>
      </c>
      <c r="Q22" s="5">
        <f t="shared" si="3"/>
        <v>3137</v>
      </c>
      <c r="S22" s="4">
        <f t="shared" ref="S22:S85" si="4">O22-O21</f>
        <v>0</v>
      </c>
      <c r="T22" s="4">
        <f t="shared" ref="T22:T85" si="5">P22-P21</f>
        <v>0</v>
      </c>
      <c r="U22" s="4">
        <f t="shared" ref="U22:U85" si="6">Q22-Q21</f>
        <v>3137</v>
      </c>
      <c r="V22" s="6">
        <f>SQRT(S22^2+T22^2+U22^2)</f>
        <v>3137</v>
      </c>
      <c r="W22" s="9">
        <f>2*ACOS(MAX(-1,MIN(1, (S22*SIN(Z21)*COS(AC21) + T22*SIN(Z21)*SIN(AC21) + U22*COS(Z21))/V22)))</f>
        <v>0</v>
      </c>
      <c r="X22" s="9">
        <f>IF(W22=0, 1, 2*TAN(W22/2)/W22)</f>
        <v>1</v>
      </c>
      <c r="Y22" s="4">
        <f>IF(W22=0, V22, 0.5*W22*V22/SIN(W22/2))</f>
        <v>3137</v>
      </c>
      <c r="Z22" s="1">
        <f>ACOS(MAX(-1,MIN(1, U22/(0.5*Y22*X22) - COS(Z21))))</f>
        <v>0</v>
      </c>
      <c r="AA22" s="9">
        <f>IF(Z22&lt;0.000001, 0, ACOS(MAX(-1,MIN(1, (S22/(0.5*Y22*X22) - SIN(Z21)*COS(AC21))/SIN(Z22)))))</f>
        <v>0</v>
      </c>
      <c r="AB22" s="9">
        <f>IF(Z22&lt;0.000001, 0, ASIN(MAX(-1,MIN(1, (T22/(0.5*Y22*X22) - SIN(Z21)*SIN(AC21))/SIN(Z22)))))</f>
        <v>0</v>
      </c>
      <c r="AC22" s="1">
        <f t="shared" ref="AC22:AC53" si="7">IF(Z22&lt;0.000001, 0, SIGN(AB22)*AA22)</f>
        <v>0</v>
      </c>
      <c r="AD22" s="5">
        <f t="shared" ref="AD22:AD53" si="8">AD21+Y22</f>
        <v>3137</v>
      </c>
      <c r="AE22" s="5">
        <f t="shared" si="0"/>
        <v>0</v>
      </c>
      <c r="AF22" s="5">
        <f t="shared" ref="AF22:AF85" si="9">MOD(DEGREES(AC22),360)</f>
        <v>0</v>
      </c>
      <c r="AH22" s="22">
        <f t="shared" ref="AH22:AH85" si="10">ABS(AD22-A22)</f>
        <v>0</v>
      </c>
      <c r="AI22" s="22">
        <f t="shared" ref="AI22:AI85" si="11">ABS(AE22-B22)</f>
        <v>0</v>
      </c>
      <c r="AJ22" s="22">
        <f>IF(B22=0, 0, ABS(AF22-C22))</f>
        <v>0</v>
      </c>
    </row>
    <row r="23" spans="1:36" x14ac:dyDescent="0.2">
      <c r="A23" s="3">
        <v>3150</v>
      </c>
      <c r="B23" s="3">
        <v>0.83</v>
      </c>
      <c r="C23" s="3">
        <v>55.47</v>
      </c>
      <c r="E23" s="1">
        <f t="shared" si="1"/>
        <v>1.4486232791552934E-2</v>
      </c>
      <c r="F23" s="1">
        <f t="shared" si="2"/>
        <v>0.96813413608125454</v>
      </c>
      <c r="H23" s="9">
        <f t="shared" ref="H23:H86" si="12">ACOS(MAX(-1,MIN(1, COS(E23-E22)-SIN(E22)*SIN(E23)*(1-COS(F23-F22)))))</f>
        <v>1.4486232791551368E-2</v>
      </c>
      <c r="I23" s="155">
        <f t="shared" ref="I23:I86" si="13">2*ASIN(SQRT( SIN((E23-E22)/2)^2 + SIN(E22)*SIN(E23)*SIN((F23-F22)/2)^2) )</f>
        <v>1.4486232791552936E-2</v>
      </c>
      <c r="J23" s="153">
        <f t="shared" ref="J23:J86" si="14">IF(LEFT(E$6,1)="m", 30*DEGREES(H23)/(A23-A22), 100*DEGREES(H23)/(A23-A22))</f>
        <v>1.9153846153844083</v>
      </c>
      <c r="K23" s="9">
        <f t="shared" ref="K23:K86" si="15">IF(H23=0, 1, 2*TAN(H23/2)/H23)</f>
        <v>1.0000174879453605</v>
      </c>
      <c r="L23" s="4">
        <f t="shared" ref="L23:L86" si="16">0.5*(A23-A22)*K23 * (SIN(E22)*COS(F22) + SIN(E23)*COS(F23))</f>
        <v>5.3372792574907055E-2</v>
      </c>
      <c r="M23" s="4">
        <f t="shared" ref="M23:M86" si="17">0.5*(A23-A22)*K23 * (SIN(E22)*SIN(F22) + SIN(E23)*SIN(F23))</f>
        <v>7.7570852493516751E-2</v>
      </c>
      <c r="N23" s="4">
        <f t="shared" ref="N23:N86" si="18">0.5*(A23-A22)*K23 * (COS(E22) + COS(E23))</f>
        <v>12.999545327732967</v>
      </c>
      <c r="O23" s="5">
        <f t="shared" ref="O23:O86" si="19">O22+L23</f>
        <v>5.3372792574907055E-2</v>
      </c>
      <c r="P23" s="5">
        <f t="shared" ref="P23:P86" si="20">P22+M23</f>
        <v>7.7570852493516751E-2</v>
      </c>
      <c r="Q23" s="5">
        <f t="shared" ref="Q23:Q86" si="21">Q22+N23</f>
        <v>3149.9995453277329</v>
      </c>
      <c r="S23" s="4">
        <f t="shared" si="4"/>
        <v>5.3372792574907055E-2</v>
      </c>
      <c r="T23" s="4">
        <f t="shared" si="5"/>
        <v>7.7570852493516751E-2</v>
      </c>
      <c r="U23" s="4">
        <f t="shared" si="6"/>
        <v>12.999545327732903</v>
      </c>
      <c r="V23" s="6">
        <f t="shared" ref="V23:V86" si="22">SQRT(S23^2+T23^2+U23^2)</f>
        <v>12.999886331038674</v>
      </c>
      <c r="W23" s="86">
        <f t="shared" ref="W23:W86" si="23">2*ACOS(MAX(-1,MIN(1, (S23*SIN(Z22)*COS(AC22) + T23*SIN(Z22)*SIN(AC22) + U23*COS(Z22))/V23)))</f>
        <v>1.4486232791523612E-2</v>
      </c>
      <c r="X23" s="9">
        <f t="shared" ref="X23:X86" si="24">IF(W23=0, 1, 2*TAN(W23/2)/W23)</f>
        <v>1.0000174879453605</v>
      </c>
      <c r="Y23" s="4">
        <f t="shared" ref="Y23:Y86" si="25">IF(W23=0, V23, 0.5*W23*V23/SIN(W23/2))</f>
        <v>12.999999999999938</v>
      </c>
      <c r="Z23" s="1">
        <f t="shared" ref="Z23:Z86" si="26">ACOS(MAX(-1,MIN(1, U23/(0.5*Y23*X23) - COS(Z22))))</f>
        <v>1.4486232791559139E-2</v>
      </c>
      <c r="AA23" s="86">
        <f t="shared" ref="AA23:AA86" si="27">IF(Z23&lt;0.000001, 0, ACOS(MAX(-1,MIN(1, (S23/(0.5*Y23*X23) - SIN(Z22)*COS(AC22))/SIN(Z23)))))</f>
        <v>0.96813413608154575</v>
      </c>
      <c r="AB23" s="86">
        <f t="shared" ref="AB23:AB86" si="28">IF(Z23&lt;0.000001, 0, ASIN(MAX(-1,MIN(1, (T23/(0.5*Y23*X23) - SIN(Z22)*SIN(AC22))/SIN(Z23)))))</f>
        <v>0.96813413608063903</v>
      </c>
      <c r="AC23" s="1">
        <f t="shared" si="7"/>
        <v>0.96813413608154575</v>
      </c>
      <c r="AD23" s="5">
        <f t="shared" si="8"/>
        <v>3150</v>
      </c>
      <c r="AE23" s="5">
        <f t="shared" si="0"/>
        <v>0.83000000000035545</v>
      </c>
      <c r="AF23" s="5">
        <f t="shared" si="9"/>
        <v>55.470000000016682</v>
      </c>
      <c r="AH23" s="22">
        <f t="shared" si="10"/>
        <v>0</v>
      </c>
      <c r="AI23" s="22">
        <f t="shared" si="11"/>
        <v>3.5549341248497512E-13</v>
      </c>
      <c r="AJ23" s="87">
        <f t="shared" ref="AJ23:AJ86" si="29">IF(B23=0, 0, ABS(AF23-C23))</f>
        <v>1.6683543435647152E-11</v>
      </c>
    </row>
    <row r="24" spans="1:36" x14ac:dyDescent="0.2">
      <c r="A24" s="3">
        <v>3175</v>
      </c>
      <c r="B24" s="3">
        <v>0.72</v>
      </c>
      <c r="C24" s="3">
        <v>56.8</v>
      </c>
      <c r="E24" s="1">
        <f t="shared" si="1"/>
        <v>1.2566370614359171E-2</v>
      </c>
      <c r="F24" s="1">
        <f t="shared" si="2"/>
        <v>0.99134701513277912</v>
      </c>
      <c r="H24" s="9">
        <f t="shared" si="12"/>
        <v>1.9452378027871031E-3</v>
      </c>
      <c r="I24" s="155">
        <f t="shared" si="13"/>
        <v>1.9452378027873575E-3</v>
      </c>
      <c r="J24" s="153">
        <f t="shared" si="14"/>
        <v>0.13374469949880308</v>
      </c>
      <c r="K24" s="9">
        <f t="shared" si="15"/>
        <v>1.0000003153292951</v>
      </c>
      <c r="L24" s="4">
        <f t="shared" si="16"/>
        <v>0.18864701658912097</v>
      </c>
      <c r="M24" s="4">
        <f t="shared" si="17"/>
        <v>0.28060736780235773</v>
      </c>
      <c r="N24" s="4">
        <f t="shared" si="18"/>
        <v>24.997709389613224</v>
      </c>
      <c r="O24" s="5">
        <f t="shared" si="19"/>
        <v>0.24201980916402804</v>
      </c>
      <c r="P24" s="5">
        <f t="shared" si="20"/>
        <v>0.35817822029587448</v>
      </c>
      <c r="Q24" s="5">
        <f t="shared" si="21"/>
        <v>3174.9972547173461</v>
      </c>
      <c r="S24" s="4">
        <f t="shared" si="4"/>
        <v>0.18864701658912097</v>
      </c>
      <c r="T24" s="4">
        <f t="shared" si="5"/>
        <v>0.28060736780235773</v>
      </c>
      <c r="U24" s="4">
        <f t="shared" si="6"/>
        <v>24.997709389613192</v>
      </c>
      <c r="V24" s="6">
        <f t="shared" si="22"/>
        <v>24.999996058385459</v>
      </c>
      <c r="W24" s="86">
        <f t="shared" si="23"/>
        <v>1.9452378030591078E-3</v>
      </c>
      <c r="X24" s="9">
        <f t="shared" si="24"/>
        <v>1.0000003153292951</v>
      </c>
      <c r="Y24" s="4">
        <f t="shared" si="25"/>
        <v>24.999999999999975</v>
      </c>
      <c r="Z24" s="1">
        <f t="shared" si="26"/>
        <v>1.2566370614386368E-2</v>
      </c>
      <c r="AA24" s="86">
        <f t="shared" si="27"/>
        <v>0.99134701513419765</v>
      </c>
      <c r="AB24" s="86">
        <f t="shared" si="28"/>
        <v>0.9913470151283853</v>
      </c>
      <c r="AC24" s="1">
        <f t="shared" si="7"/>
        <v>0.99134701513419765</v>
      </c>
      <c r="AD24" s="5">
        <f t="shared" si="8"/>
        <v>3175</v>
      </c>
      <c r="AE24" s="5">
        <f t="shared" si="0"/>
        <v>0.72000000000155817</v>
      </c>
      <c r="AF24" s="5">
        <f t="shared" si="9"/>
        <v>56.800000000081276</v>
      </c>
      <c r="AH24" s="22">
        <f t="shared" si="10"/>
        <v>0</v>
      </c>
      <c r="AI24" s="22">
        <f t="shared" si="11"/>
        <v>1.5581980150614072E-12</v>
      </c>
      <c r="AJ24" s="87">
        <f t="shared" si="29"/>
        <v>8.127898354359786E-11</v>
      </c>
    </row>
    <row r="25" spans="1:36" x14ac:dyDescent="0.2">
      <c r="A25" s="3">
        <v>3200</v>
      </c>
      <c r="B25" s="3">
        <v>0.82</v>
      </c>
      <c r="C25" s="3">
        <v>66.83</v>
      </c>
      <c r="E25" s="1">
        <f t="shared" si="1"/>
        <v>1.4311699866353502E-2</v>
      </c>
      <c r="F25" s="1">
        <f t="shared" si="2"/>
        <v>1.1664035391078105</v>
      </c>
      <c r="H25" s="9">
        <f t="shared" si="12"/>
        <v>2.9228638599234635E-3</v>
      </c>
      <c r="I25" s="155">
        <f t="shared" si="13"/>
        <v>2.922863859916071E-3</v>
      </c>
      <c r="J25" s="153">
        <f t="shared" si="14"/>
        <v>0.20096131591791783</v>
      </c>
      <c r="K25" s="9">
        <f t="shared" si="15"/>
        <v>1.0000007119283703</v>
      </c>
      <c r="L25" s="4">
        <f t="shared" si="16"/>
        <v>0.1563950995447122</v>
      </c>
      <c r="M25" s="4">
        <f t="shared" si="17"/>
        <v>0.29589650977702853</v>
      </c>
      <c r="N25" s="4">
        <f t="shared" si="18"/>
        <v>24.99775071628677</v>
      </c>
      <c r="O25" s="5">
        <f>O24+L25</f>
        <v>0.39841490870874025</v>
      </c>
      <c r="P25" s="5">
        <f t="shared" si="20"/>
        <v>0.65407473007290307</v>
      </c>
      <c r="Q25" s="5">
        <f t="shared" si="21"/>
        <v>3199.9950054336327</v>
      </c>
      <c r="S25" s="4">
        <f t="shared" si="4"/>
        <v>0.1563950995447122</v>
      </c>
      <c r="T25" s="4">
        <f t="shared" si="5"/>
        <v>0.29589650977702858</v>
      </c>
      <c r="U25" s="4">
        <f t="shared" si="6"/>
        <v>24.997750716286646</v>
      </c>
      <c r="V25" s="6">
        <f t="shared" si="22"/>
        <v>24.999991100903802</v>
      </c>
      <c r="W25" s="86">
        <f t="shared" si="23"/>
        <v>2.9228638598293166E-3</v>
      </c>
      <c r="X25" s="9">
        <f t="shared" si="24"/>
        <v>1.0000007119283703</v>
      </c>
      <c r="Y25" s="4">
        <f t="shared" si="25"/>
        <v>24.999999999999876</v>
      </c>
      <c r="Z25" s="1">
        <f t="shared" si="26"/>
        <v>1.4311699866334404E-2</v>
      </c>
      <c r="AA25" s="86">
        <f t="shared" si="27"/>
        <v>1.1664035391072327</v>
      </c>
      <c r="AB25" s="86">
        <f t="shared" si="28"/>
        <v>1.1664035391051752</v>
      </c>
      <c r="AC25" s="1">
        <f t="shared" si="7"/>
        <v>1.1664035391072327</v>
      </c>
      <c r="AD25" s="5">
        <f t="shared" si="8"/>
        <v>3200</v>
      </c>
      <c r="AE25" s="5">
        <f t="shared" si="0"/>
        <v>0.81999999999890583</v>
      </c>
      <c r="AF25" s="5">
        <f t="shared" si="9"/>
        <v>66.829999999966901</v>
      </c>
      <c r="AH25" s="22">
        <f t="shared" si="10"/>
        <v>0</v>
      </c>
      <c r="AI25" s="22">
        <f t="shared" si="11"/>
        <v>1.0941247907680918E-12</v>
      </c>
      <c r="AJ25" s="87">
        <f t="shared" si="29"/>
        <v>3.3097080631705467E-11</v>
      </c>
    </row>
    <row r="26" spans="1:36" x14ac:dyDescent="0.2">
      <c r="A26" s="3">
        <v>3225</v>
      </c>
      <c r="B26" s="3">
        <v>0.87</v>
      </c>
      <c r="C26" s="3">
        <v>68.67</v>
      </c>
      <c r="E26" s="1">
        <f t="shared" si="1"/>
        <v>1.5184364492350668E-2</v>
      </c>
      <c r="F26" s="1">
        <f t="shared" si="2"/>
        <v>1.1985175973445061</v>
      </c>
      <c r="H26" s="9">
        <f t="shared" si="12"/>
        <v>9.9278740191333092E-4</v>
      </c>
      <c r="I26" s="155">
        <f t="shared" si="13"/>
        <v>9.9278740194806703E-4</v>
      </c>
      <c r="J26" s="153">
        <f t="shared" si="14"/>
        <v>6.8259033700070471E-2</v>
      </c>
      <c r="K26" s="9">
        <f t="shared" si="15"/>
        <v>1.0000000821355768</v>
      </c>
      <c r="L26" s="4">
        <f t="shared" si="16"/>
        <v>0.1394229022905191</v>
      </c>
      <c r="M26" s="4">
        <f t="shared" si="17"/>
        <v>0.34125747668743239</v>
      </c>
      <c r="N26" s="4">
        <f t="shared" si="18"/>
        <v>24.997280917215633</v>
      </c>
      <c r="O26" s="5">
        <f t="shared" si="19"/>
        <v>0.53783781099925931</v>
      </c>
      <c r="P26" s="5">
        <f t="shared" si="20"/>
        <v>0.9953322067603354</v>
      </c>
      <c r="Q26" s="5">
        <f t="shared" si="21"/>
        <v>3224.9922863508482</v>
      </c>
      <c r="S26" s="4">
        <f t="shared" si="4"/>
        <v>0.13942290229051907</v>
      </c>
      <c r="T26" s="4">
        <f t="shared" si="5"/>
        <v>0.34125747668743234</v>
      </c>
      <c r="U26" s="4">
        <f t="shared" si="6"/>
        <v>24.997280917215448</v>
      </c>
      <c r="V26" s="6">
        <f t="shared" si="22"/>
        <v>24.999998973305217</v>
      </c>
      <c r="W26" s="86">
        <f t="shared" si="23"/>
        <v>9.9278740275865474E-4</v>
      </c>
      <c r="X26" s="9">
        <f t="shared" si="24"/>
        <v>1.000000082135577</v>
      </c>
      <c r="Y26" s="4">
        <f t="shared" si="25"/>
        <v>24.999999999999819</v>
      </c>
      <c r="Z26" s="1">
        <f t="shared" si="26"/>
        <v>1.5184364492430769E-2</v>
      </c>
      <c r="AA26" s="86">
        <f t="shared" si="27"/>
        <v>1.1985175973465667</v>
      </c>
      <c r="AB26" s="86">
        <f t="shared" si="28"/>
        <v>1.1985175973347992</v>
      </c>
      <c r="AC26" s="1">
        <f t="shared" si="7"/>
        <v>1.1985175973465667</v>
      </c>
      <c r="AD26" s="5">
        <f t="shared" si="8"/>
        <v>3225</v>
      </c>
      <c r="AE26" s="5">
        <f t="shared" si="0"/>
        <v>0.87000000000458955</v>
      </c>
      <c r="AF26" s="5">
        <f t="shared" si="9"/>
        <v>68.670000000118065</v>
      </c>
      <c r="AH26" s="22">
        <f t="shared" si="10"/>
        <v>0</v>
      </c>
      <c r="AI26" s="22">
        <f t="shared" si="11"/>
        <v>4.5895509614979346E-12</v>
      </c>
      <c r="AJ26" s="87">
        <f t="shared" si="29"/>
        <v>1.1806378097389825E-10</v>
      </c>
    </row>
    <row r="27" spans="1:36" x14ac:dyDescent="0.2">
      <c r="A27" s="3">
        <v>3250</v>
      </c>
      <c r="B27" s="3">
        <v>0.87</v>
      </c>
      <c r="C27" s="3">
        <v>70.62</v>
      </c>
      <c r="E27" s="1">
        <f t="shared" si="1"/>
        <v>1.5184364492350668E-2</v>
      </c>
      <c r="F27" s="1">
        <f t="shared" si="2"/>
        <v>1.2325515177583957</v>
      </c>
      <c r="H27" s="9">
        <f t="shared" si="12"/>
        <v>5.1673865980661482E-4</v>
      </c>
      <c r="I27" s="155">
        <f t="shared" si="13"/>
        <v>5.1673865984805205E-4</v>
      </c>
      <c r="J27" s="153">
        <f t="shared" si="14"/>
        <v>3.5528333181798551E-2</v>
      </c>
      <c r="K27" s="9">
        <f t="shared" si="15"/>
        <v>1.0000000222515708</v>
      </c>
      <c r="L27" s="4">
        <f t="shared" si="16"/>
        <v>0.13201745145177926</v>
      </c>
      <c r="M27" s="4">
        <f t="shared" si="17"/>
        <v>0.35583940293267829</v>
      </c>
      <c r="N27" s="4">
        <f t="shared" si="18"/>
        <v>24.997118550036948</v>
      </c>
      <c r="O27" s="5">
        <f t="shared" si="19"/>
        <v>0.66985526245103855</v>
      </c>
      <c r="P27" s="5">
        <f t="shared" si="20"/>
        <v>1.3511716096930138</v>
      </c>
      <c r="Q27" s="5">
        <f t="shared" si="21"/>
        <v>3249.9894049008853</v>
      </c>
      <c r="S27" s="4">
        <f t="shared" si="4"/>
        <v>0.13201745145177923</v>
      </c>
      <c r="T27" s="4">
        <f t="shared" si="5"/>
        <v>0.35583940293267835</v>
      </c>
      <c r="U27" s="4">
        <f t="shared" si="6"/>
        <v>24.997118550037158</v>
      </c>
      <c r="V27" s="6">
        <f t="shared" si="22"/>
        <v>24.999999721855581</v>
      </c>
      <c r="W27" s="86">
        <f t="shared" si="23"/>
        <v>5.1673865957679865E-4</v>
      </c>
      <c r="X27" s="9">
        <f t="shared" si="24"/>
        <v>1.0000000222515708</v>
      </c>
      <c r="Y27" s="4">
        <f t="shared" si="25"/>
        <v>25.00000000000021</v>
      </c>
      <c r="Z27" s="1">
        <f t="shared" si="26"/>
        <v>1.5184364492284441E-2</v>
      </c>
      <c r="AA27" s="86">
        <f t="shared" si="27"/>
        <v>1.2325515177568671</v>
      </c>
      <c r="AB27" s="86">
        <f t="shared" si="28"/>
        <v>1.2325515177536817</v>
      </c>
      <c r="AC27" s="1">
        <f t="shared" si="7"/>
        <v>1.2325515177568671</v>
      </c>
      <c r="AD27" s="5">
        <f t="shared" si="8"/>
        <v>3250</v>
      </c>
      <c r="AE27" s="5">
        <f t="shared" si="0"/>
        <v>0.86999999999620559</v>
      </c>
      <c r="AF27" s="5">
        <f t="shared" si="9"/>
        <v>70.619999999912423</v>
      </c>
      <c r="AH27" s="22">
        <f t="shared" si="10"/>
        <v>0</v>
      </c>
      <c r="AI27" s="22">
        <f t="shared" si="11"/>
        <v>3.7944092312613975E-12</v>
      </c>
      <c r="AJ27" s="87">
        <f t="shared" si="29"/>
        <v>8.7581497609789949E-11</v>
      </c>
    </row>
    <row r="28" spans="1:36" x14ac:dyDescent="0.2">
      <c r="A28" s="3">
        <v>3275</v>
      </c>
      <c r="B28" s="3">
        <v>0.83</v>
      </c>
      <c r="C28" s="3">
        <v>70.150000000000006</v>
      </c>
      <c r="E28" s="1">
        <f t="shared" ref="E28:E91" si="30">RADIANS(B28)</f>
        <v>1.4486232791552934E-2</v>
      </c>
      <c r="F28" s="1">
        <f t="shared" ref="F28:F91" si="31">RADIANS(C28)</f>
        <v>1.2243484702740224</v>
      </c>
      <c r="H28" s="9">
        <f t="shared" si="12"/>
        <v>7.0865230851535621E-4</v>
      </c>
      <c r="I28" s="155">
        <f t="shared" si="13"/>
        <v>7.0865230857969071E-4</v>
      </c>
      <c r="J28" s="153">
        <f t="shared" si="14"/>
        <v>4.8723343704159171E-2</v>
      </c>
      <c r="K28" s="9">
        <f t="shared" si="15"/>
        <v>1.00000004184901</v>
      </c>
      <c r="L28" s="4">
        <f t="shared" si="16"/>
        <v>0.12446524376617993</v>
      </c>
      <c r="M28" s="4">
        <f t="shared" si="17"/>
        <v>0.34935626229501465</v>
      </c>
      <c r="N28" s="4">
        <f t="shared" si="18"/>
        <v>24.997248497573889</v>
      </c>
      <c r="O28" s="5">
        <f t="shared" si="19"/>
        <v>0.7943205062172185</v>
      </c>
      <c r="P28" s="5">
        <f t="shared" si="20"/>
        <v>1.7005278719880284</v>
      </c>
      <c r="Q28" s="5">
        <f t="shared" si="21"/>
        <v>3274.9866533984591</v>
      </c>
      <c r="S28" s="4">
        <f t="shared" si="4"/>
        <v>0.12446524376617996</v>
      </c>
      <c r="T28" s="4">
        <f t="shared" si="5"/>
        <v>0.3493562622950146</v>
      </c>
      <c r="U28" s="4">
        <f t="shared" si="6"/>
        <v>24.997248497573764</v>
      </c>
      <c r="V28" s="6">
        <f t="shared" si="22"/>
        <v>24.999999476887279</v>
      </c>
      <c r="W28" s="86">
        <f t="shared" si="23"/>
        <v>7.0865230804750823E-4</v>
      </c>
      <c r="X28" s="9">
        <f t="shared" si="24"/>
        <v>1.0000000418490098</v>
      </c>
      <c r="Y28" s="4">
        <f t="shared" si="25"/>
        <v>24.999999999999876</v>
      </c>
      <c r="Z28" s="1">
        <f t="shared" si="26"/>
        <v>1.4486232791605103E-2</v>
      </c>
      <c r="AA28" s="86">
        <f t="shared" si="27"/>
        <v>1.2243484702753125</v>
      </c>
      <c r="AB28" s="86">
        <f t="shared" si="28"/>
        <v>1.2243484702783423</v>
      </c>
      <c r="AC28" s="1">
        <f t="shared" si="7"/>
        <v>1.2243484702753125</v>
      </c>
      <c r="AD28" s="5">
        <f t="shared" si="8"/>
        <v>3275</v>
      </c>
      <c r="AE28" s="5">
        <f t="shared" si="0"/>
        <v>0.83000000000298901</v>
      </c>
      <c r="AF28" s="5">
        <f t="shared" si="9"/>
        <v>70.150000000073931</v>
      </c>
      <c r="AH28" s="22">
        <f t="shared" si="10"/>
        <v>0</v>
      </c>
      <c r="AI28" s="22">
        <f t="shared" si="11"/>
        <v>2.989053449198309E-12</v>
      </c>
      <c r="AJ28" s="87">
        <f t="shared" si="29"/>
        <v>7.3924866228480823E-11</v>
      </c>
    </row>
    <row r="29" spans="1:36" x14ac:dyDescent="0.2">
      <c r="A29" s="3">
        <v>3300</v>
      </c>
      <c r="B29" s="3">
        <v>0.78</v>
      </c>
      <c r="C29" s="3">
        <v>65.7</v>
      </c>
      <c r="E29" s="1">
        <f t="shared" si="30"/>
        <v>1.3613568165555772E-2</v>
      </c>
      <c r="F29" s="1">
        <f t="shared" si="31"/>
        <v>1.1466813185602747</v>
      </c>
      <c r="H29" s="9">
        <f t="shared" si="12"/>
        <v>1.3965926429813091E-3</v>
      </c>
      <c r="I29" s="155">
        <f t="shared" si="13"/>
        <v>1.3965926429762886E-3</v>
      </c>
      <c r="J29" s="153">
        <f t="shared" si="14"/>
        <v>9.6022636970219982E-2</v>
      </c>
      <c r="K29" s="9">
        <f t="shared" si="15"/>
        <v>1.0000001625392825</v>
      </c>
      <c r="L29" s="4">
        <f t="shared" si="16"/>
        <v>0.13150955202234008</v>
      </c>
      <c r="M29" s="4">
        <f t="shared" si="17"/>
        <v>0.32540156919281749</v>
      </c>
      <c r="N29" s="4">
        <f t="shared" si="18"/>
        <v>24.997534227788716</v>
      </c>
      <c r="O29" s="5">
        <f t="shared" si="19"/>
        <v>0.92583005823955855</v>
      </c>
      <c r="P29" s="5">
        <f t="shared" si="20"/>
        <v>2.0259294411808457</v>
      </c>
      <c r="Q29" s="5">
        <f t="shared" si="21"/>
        <v>3299.9841876262476</v>
      </c>
      <c r="S29" s="4">
        <f t="shared" si="4"/>
        <v>0.13150955202234005</v>
      </c>
      <c r="T29" s="4">
        <f t="shared" si="5"/>
        <v>0.32540156919281737</v>
      </c>
      <c r="U29" s="4">
        <f t="shared" si="6"/>
        <v>24.997534227788492</v>
      </c>
      <c r="V29" s="6">
        <f t="shared" si="22"/>
        <v>24.999997968259184</v>
      </c>
      <c r="W29" s="86">
        <f t="shared" si="23"/>
        <v>1.396592642756378E-3</v>
      </c>
      <c r="X29" s="9">
        <f t="shared" si="24"/>
        <v>1.0000001625392825</v>
      </c>
      <c r="Y29" s="4">
        <f t="shared" si="25"/>
        <v>24.999999999999766</v>
      </c>
      <c r="Z29" s="1">
        <f t="shared" si="26"/>
        <v>1.3613568165444789E-2</v>
      </c>
      <c r="AA29" s="86">
        <f t="shared" si="27"/>
        <v>1.1466813185565969</v>
      </c>
      <c r="AB29" s="86">
        <f t="shared" si="28"/>
        <v>1.1466813185684805</v>
      </c>
      <c r="AC29" s="1">
        <f t="shared" si="7"/>
        <v>1.1466813185565969</v>
      </c>
      <c r="AD29" s="5">
        <f t="shared" si="8"/>
        <v>3299.9999999999995</v>
      </c>
      <c r="AE29" s="5">
        <f t="shared" si="0"/>
        <v>0.77999999999364122</v>
      </c>
      <c r="AF29" s="5">
        <f t="shared" si="9"/>
        <v>65.699999999789298</v>
      </c>
      <c r="AH29" s="22">
        <f t="shared" si="10"/>
        <v>4.5474735088646412E-13</v>
      </c>
      <c r="AI29" s="22">
        <f t="shared" si="11"/>
        <v>6.3588023735405841E-12</v>
      </c>
      <c r="AJ29" s="87">
        <f t="shared" si="29"/>
        <v>2.1070434286230011E-10</v>
      </c>
    </row>
    <row r="30" spans="1:36" x14ac:dyDescent="0.2">
      <c r="A30" s="3">
        <v>3325</v>
      </c>
      <c r="B30" s="3">
        <v>0.57999999999999996</v>
      </c>
      <c r="C30" s="3">
        <v>60.97</v>
      </c>
      <c r="E30" s="1">
        <f t="shared" si="30"/>
        <v>1.0122909661567111E-2</v>
      </c>
      <c r="F30" s="1">
        <f t="shared" si="31"/>
        <v>1.0641272449409427</v>
      </c>
      <c r="H30" s="9">
        <f t="shared" si="12"/>
        <v>3.6226112671555732E-3</v>
      </c>
      <c r="I30" s="155">
        <f t="shared" si="13"/>
        <v>3.6226112671464278E-3</v>
      </c>
      <c r="J30" s="153">
        <f t="shared" si="14"/>
        <v>0.24907240370946418</v>
      </c>
      <c r="K30" s="9">
        <f t="shared" si="15"/>
        <v>1.0000010936108013</v>
      </c>
      <c r="L30" s="4">
        <f t="shared" si="16"/>
        <v>0.13142815543396225</v>
      </c>
      <c r="M30" s="4">
        <f t="shared" si="17"/>
        <v>0.2657258110830758</v>
      </c>
      <c r="N30" s="4">
        <f t="shared" si="18"/>
        <v>24.998228595797112</v>
      </c>
      <c r="O30" s="5">
        <f t="shared" si="19"/>
        <v>1.0572582136735207</v>
      </c>
      <c r="P30" s="5">
        <f t="shared" si="20"/>
        <v>2.2916552522639213</v>
      </c>
      <c r="Q30" s="5">
        <f t="shared" si="21"/>
        <v>3324.9824162220448</v>
      </c>
      <c r="S30" s="4">
        <f t="shared" si="4"/>
        <v>0.13142815543396213</v>
      </c>
      <c r="T30" s="4">
        <f t="shared" si="5"/>
        <v>0.26572581108307558</v>
      </c>
      <c r="U30" s="4">
        <f t="shared" si="6"/>
        <v>24.998228595797173</v>
      </c>
      <c r="V30" s="6">
        <f t="shared" si="22"/>
        <v>24.999986329885221</v>
      </c>
      <c r="W30" s="86">
        <f t="shared" si="23"/>
        <v>3.6226112666661869E-3</v>
      </c>
      <c r="X30" s="9">
        <f t="shared" si="24"/>
        <v>1.000001093610801</v>
      </c>
      <c r="Y30" s="4">
        <f t="shared" si="25"/>
        <v>25.000000000000053</v>
      </c>
      <c r="Z30" s="1">
        <f t="shared" si="26"/>
        <v>1.0122909661647084E-2</v>
      </c>
      <c r="AA30" s="86">
        <f t="shared" si="27"/>
        <v>1.0641272449453258</v>
      </c>
      <c r="AB30" s="86">
        <f t="shared" si="28"/>
        <v>1.0641272449514805</v>
      </c>
      <c r="AC30" s="1">
        <f t="shared" si="7"/>
        <v>1.0641272449453258</v>
      </c>
      <c r="AD30" s="5">
        <f t="shared" si="8"/>
        <v>3324.9999999999995</v>
      </c>
      <c r="AE30" s="5">
        <f t="shared" si="0"/>
        <v>0.58000000000458207</v>
      </c>
      <c r="AF30" s="5">
        <f t="shared" si="9"/>
        <v>60.970000000251133</v>
      </c>
      <c r="AH30" s="22">
        <f t="shared" si="10"/>
        <v>4.5474735088646412E-13</v>
      </c>
      <c r="AI30" s="22">
        <f t="shared" si="11"/>
        <v>4.5821124672329461E-12</v>
      </c>
      <c r="AJ30" s="87">
        <f t="shared" si="29"/>
        <v>2.5113422452704981E-10</v>
      </c>
    </row>
    <row r="31" spans="1:36" x14ac:dyDescent="0.2">
      <c r="A31" s="3">
        <v>3350</v>
      </c>
      <c r="B31" s="3">
        <v>0.52</v>
      </c>
      <c r="C31" s="3">
        <v>66.2</v>
      </c>
      <c r="E31" s="1">
        <f t="shared" si="30"/>
        <v>9.0757121103705145E-3</v>
      </c>
      <c r="F31" s="1">
        <f t="shared" si="31"/>
        <v>1.1554079648202462</v>
      </c>
      <c r="H31" s="9">
        <f t="shared" si="12"/>
        <v>1.3643922382431395E-3</v>
      </c>
      <c r="I31" s="155">
        <f t="shared" si="13"/>
        <v>1.3643922382597727E-3</v>
      </c>
      <c r="J31" s="153">
        <f t="shared" si="14"/>
        <v>9.3808700222087774E-2</v>
      </c>
      <c r="K31" s="9">
        <f t="shared" si="15"/>
        <v>1.000000155130544</v>
      </c>
      <c r="L31" s="4">
        <f t="shared" si="16"/>
        <v>0.10718308986112295</v>
      </c>
      <c r="M31" s="4">
        <f t="shared" si="17"/>
        <v>0.21443466811296358</v>
      </c>
      <c r="N31" s="4">
        <f t="shared" si="18"/>
        <v>24.998848625522605</v>
      </c>
      <c r="O31" s="5">
        <f t="shared" si="19"/>
        <v>1.1644413035346437</v>
      </c>
      <c r="P31" s="5">
        <f t="shared" si="20"/>
        <v>2.5060899203768847</v>
      </c>
      <c r="Q31" s="5">
        <f t="shared" si="21"/>
        <v>3349.9812648475672</v>
      </c>
      <c r="S31" s="4">
        <f t="shared" si="4"/>
        <v>0.10718308986112302</v>
      </c>
      <c r="T31" s="4">
        <f t="shared" si="5"/>
        <v>0.21443466811296341</v>
      </c>
      <c r="U31" s="4">
        <f t="shared" si="6"/>
        <v>24.998848625522442</v>
      </c>
      <c r="V31" s="6">
        <f t="shared" si="22"/>
        <v>24.99999806086845</v>
      </c>
      <c r="W31" s="86">
        <f t="shared" si="23"/>
        <v>1.3643922382078344E-3</v>
      </c>
      <c r="X31" s="9">
        <f t="shared" si="24"/>
        <v>1.000000155130544</v>
      </c>
      <c r="Y31" s="4">
        <f t="shared" si="25"/>
        <v>24.999999999999847</v>
      </c>
      <c r="Z31" s="1">
        <f t="shared" si="26"/>
        <v>9.0757121103499649E-3</v>
      </c>
      <c r="AA31" s="86">
        <f t="shared" si="27"/>
        <v>1.1554079648192417</v>
      </c>
      <c r="AB31" s="86">
        <f t="shared" si="28"/>
        <v>1.1554079648004352</v>
      </c>
      <c r="AC31" s="1">
        <f t="shared" si="7"/>
        <v>1.1554079648192417</v>
      </c>
      <c r="AD31" s="5">
        <f t="shared" si="8"/>
        <v>3349.9999999999995</v>
      </c>
      <c r="AE31" s="5">
        <f t="shared" si="0"/>
        <v>0.51999999999882263</v>
      </c>
      <c r="AF31" s="5">
        <f t="shared" si="9"/>
        <v>66.199999999942449</v>
      </c>
      <c r="AH31" s="22">
        <f t="shared" si="10"/>
        <v>4.5474735088646412E-13</v>
      </c>
      <c r="AI31" s="22">
        <f t="shared" si="11"/>
        <v>1.1773915176149785E-12</v>
      </c>
      <c r="AJ31" s="87">
        <f t="shared" si="29"/>
        <v>5.7553961596568115E-11</v>
      </c>
    </row>
    <row r="32" spans="1:36" x14ac:dyDescent="0.2">
      <c r="A32" s="3">
        <v>3375</v>
      </c>
      <c r="B32" s="3">
        <v>0.42</v>
      </c>
      <c r="C32" s="3">
        <v>67.5</v>
      </c>
      <c r="E32" s="1">
        <f t="shared" si="30"/>
        <v>7.3303828583761842E-3</v>
      </c>
      <c r="F32" s="1">
        <f t="shared" si="31"/>
        <v>1.1780972450961724</v>
      </c>
      <c r="H32" s="9">
        <f t="shared" si="12"/>
        <v>1.7551128286190654E-3</v>
      </c>
      <c r="I32" s="155">
        <f t="shared" si="13"/>
        <v>1.7551128286413086E-3</v>
      </c>
      <c r="J32" s="153">
        <f t="shared" si="14"/>
        <v>0.12067266917896825</v>
      </c>
      <c r="K32" s="9">
        <f t="shared" si="15"/>
        <v>1.0000002567018325</v>
      </c>
      <c r="L32" s="4">
        <f t="shared" si="16"/>
        <v>8.0845040813529404E-2</v>
      </c>
      <c r="M32" s="4">
        <f t="shared" si="17"/>
        <v>0.18845163060418049</v>
      </c>
      <c r="N32" s="4">
        <f t="shared" si="18"/>
        <v>24.999155778220171</v>
      </c>
      <c r="O32" s="5">
        <f t="shared" si="19"/>
        <v>1.2452863443481732</v>
      </c>
      <c r="P32" s="5">
        <f t="shared" si="20"/>
        <v>2.6945415509810653</v>
      </c>
      <c r="Q32" s="5">
        <f t="shared" si="21"/>
        <v>3374.9804206257872</v>
      </c>
      <c r="S32" s="4">
        <f t="shared" si="4"/>
        <v>8.0845040813529501E-2</v>
      </c>
      <c r="T32" s="4">
        <f t="shared" si="5"/>
        <v>0.18845163060418058</v>
      </c>
      <c r="U32" s="4">
        <f t="shared" si="6"/>
        <v>24.999155778220029</v>
      </c>
      <c r="V32" s="6">
        <f t="shared" si="22"/>
        <v>24.999996791228064</v>
      </c>
      <c r="W32" s="86">
        <f t="shared" si="23"/>
        <v>1.7551128286878992E-3</v>
      </c>
      <c r="X32" s="9">
        <f t="shared" si="24"/>
        <v>1.0000002567018325</v>
      </c>
      <c r="Y32" s="4">
        <f t="shared" si="25"/>
        <v>24.999999999999858</v>
      </c>
      <c r="Z32" s="1">
        <f t="shared" si="26"/>
        <v>7.3303828584141417E-3</v>
      </c>
      <c r="AA32" s="86">
        <f t="shared" si="27"/>
        <v>1.178097245098318</v>
      </c>
      <c r="AB32" s="86">
        <f t="shared" si="28"/>
        <v>1.1780972450917182</v>
      </c>
      <c r="AC32" s="1">
        <f t="shared" si="7"/>
        <v>1.178097245098318</v>
      </c>
      <c r="AD32" s="5">
        <f t="shared" si="8"/>
        <v>3374.9999999999995</v>
      </c>
      <c r="AE32" s="5">
        <f t="shared" si="0"/>
        <v>0.4200000000021748</v>
      </c>
      <c r="AF32" s="5">
        <f t="shared" si="9"/>
        <v>67.500000000122938</v>
      </c>
      <c r="AH32" s="22">
        <f t="shared" si="10"/>
        <v>4.5474735088646412E-13</v>
      </c>
      <c r="AI32" s="22">
        <f t="shared" si="11"/>
        <v>2.1748158829382191E-12</v>
      </c>
      <c r="AJ32" s="87">
        <f t="shared" si="29"/>
        <v>1.2293810414121253E-10</v>
      </c>
    </row>
    <row r="33" spans="1:36" x14ac:dyDescent="0.2">
      <c r="A33" s="3">
        <v>3400</v>
      </c>
      <c r="B33" s="3">
        <v>0.32</v>
      </c>
      <c r="C33" s="3">
        <v>75.180000000000007</v>
      </c>
      <c r="E33" s="1">
        <f t="shared" si="30"/>
        <v>5.5850536063818549E-3</v>
      </c>
      <c r="F33" s="1">
        <f t="shared" si="31"/>
        <v>1.312138531649337</v>
      </c>
      <c r="H33" s="9">
        <f t="shared" si="12"/>
        <v>1.9443882508178856E-3</v>
      </c>
      <c r="I33" s="155">
        <f t="shared" si="13"/>
        <v>1.9443882507891223E-3</v>
      </c>
      <c r="J33" s="153">
        <f t="shared" si="14"/>
        <v>0.13368628860802725</v>
      </c>
      <c r="K33" s="9">
        <f t="shared" si="15"/>
        <v>1.0000003150539249</v>
      </c>
      <c r="L33" s="4">
        <f t="shared" si="16"/>
        <v>5.2921848671305657E-2</v>
      </c>
      <c r="M33" s="4">
        <f t="shared" si="17"/>
        <v>0.1521445990164226</v>
      </c>
      <c r="N33" s="4">
        <f t="shared" si="18"/>
        <v>24.999477082337535</v>
      </c>
      <c r="O33" s="5">
        <f t="shared" si="19"/>
        <v>1.2982081930194789</v>
      </c>
      <c r="P33" s="5">
        <f t="shared" si="20"/>
        <v>2.8466861499974878</v>
      </c>
      <c r="Q33" s="5">
        <f t="shared" si="21"/>
        <v>3399.9798977081246</v>
      </c>
      <c r="S33" s="4">
        <f t="shared" si="4"/>
        <v>5.2921848671305671E-2</v>
      </c>
      <c r="T33" s="4">
        <f t="shared" si="5"/>
        <v>0.15214459901642252</v>
      </c>
      <c r="U33" s="4">
        <f t="shared" si="6"/>
        <v>24.999477082337307</v>
      </c>
      <c r="V33" s="6">
        <f t="shared" si="22"/>
        <v>24.999996061827389</v>
      </c>
      <c r="W33" s="86">
        <f t="shared" si="23"/>
        <v>1.9443882507492738E-3</v>
      </c>
      <c r="X33" s="9">
        <f t="shared" si="24"/>
        <v>1.0000003150539249</v>
      </c>
      <c r="Y33" s="4">
        <f t="shared" si="25"/>
        <v>24.999999999999773</v>
      </c>
      <c r="Z33" s="1">
        <f t="shared" si="26"/>
        <v>5.5850536063342116E-3</v>
      </c>
      <c r="AA33" s="86">
        <f t="shared" si="27"/>
        <v>1.3121385316470717</v>
      </c>
      <c r="AB33" s="86">
        <f t="shared" si="28"/>
        <v>1.3121385316528908</v>
      </c>
      <c r="AC33" s="1">
        <f t="shared" si="7"/>
        <v>1.3121385316470717</v>
      </c>
      <c r="AD33" s="5">
        <f t="shared" si="8"/>
        <v>3399.9999999999991</v>
      </c>
      <c r="AE33" s="5">
        <f t="shared" si="0"/>
        <v>0.31999999999727025</v>
      </c>
      <c r="AF33" s="5">
        <f t="shared" si="9"/>
        <v>75.179999999870219</v>
      </c>
      <c r="AH33" s="22">
        <f t="shared" si="10"/>
        <v>9.0949470177292824E-13</v>
      </c>
      <c r="AI33" s="22">
        <f t="shared" si="11"/>
        <v>2.7297608617971036E-12</v>
      </c>
      <c r="AJ33" s="87">
        <f t="shared" si="29"/>
        <v>1.297877361139399E-10</v>
      </c>
    </row>
    <row r="34" spans="1:36" x14ac:dyDescent="0.2">
      <c r="A34" s="3">
        <v>3425</v>
      </c>
      <c r="B34" s="3">
        <v>0.2</v>
      </c>
      <c r="C34" s="3">
        <v>54.48</v>
      </c>
      <c r="E34" s="1">
        <f t="shared" si="30"/>
        <v>3.4906585039886592E-3</v>
      </c>
      <c r="F34" s="1">
        <f t="shared" si="31"/>
        <v>0.95085537648651064</v>
      </c>
      <c r="H34" s="9">
        <f t="shared" si="12"/>
        <v>2.6274662183944919E-3</v>
      </c>
      <c r="I34" s="155">
        <f t="shared" si="13"/>
        <v>2.6274662184068019E-3</v>
      </c>
      <c r="J34" s="153">
        <f t="shared" si="14"/>
        <v>0.18065127015264362</v>
      </c>
      <c r="K34" s="9">
        <f t="shared" si="15"/>
        <v>1.0000005752986245</v>
      </c>
      <c r="L34" s="4">
        <f t="shared" si="16"/>
        <v>4.3207263026160944E-2</v>
      </c>
      <c r="M34" s="4">
        <f t="shared" si="17"/>
        <v>0.10300405670381028</v>
      </c>
      <c r="N34" s="4">
        <f t="shared" si="18"/>
        <v>24.999743273390127</v>
      </c>
      <c r="O34" s="5">
        <f t="shared" si="19"/>
        <v>1.3414154560456397</v>
      </c>
      <c r="P34" s="5">
        <f t="shared" si="20"/>
        <v>2.9496902067012982</v>
      </c>
      <c r="Q34" s="5">
        <f t="shared" si="21"/>
        <v>3424.9796409815149</v>
      </c>
      <c r="S34" s="4">
        <f t="shared" si="4"/>
        <v>4.3207263026160847E-2</v>
      </c>
      <c r="T34" s="4">
        <f t="shared" si="5"/>
        <v>0.10300405670381041</v>
      </c>
      <c r="U34" s="4">
        <f t="shared" si="6"/>
        <v>24.999743273390322</v>
      </c>
      <c r="V34" s="6">
        <f t="shared" si="22"/>
        <v>24.999992808772973</v>
      </c>
      <c r="W34" s="86">
        <f t="shared" si="23"/>
        <v>2.6274662182710351E-3</v>
      </c>
      <c r="X34" s="9">
        <f t="shared" si="24"/>
        <v>1.0000005752986245</v>
      </c>
      <c r="Y34" s="4">
        <f t="shared" si="25"/>
        <v>25.000000000000195</v>
      </c>
      <c r="Z34" s="1">
        <f t="shared" si="26"/>
        <v>3.490658504048838E-3</v>
      </c>
      <c r="AA34" s="86">
        <f t="shared" si="27"/>
        <v>0.95085537649884477</v>
      </c>
      <c r="AB34" s="86">
        <f t="shared" si="28"/>
        <v>0.95085537648663798</v>
      </c>
      <c r="AC34" s="1">
        <f t="shared" si="7"/>
        <v>0.95085537649884477</v>
      </c>
      <c r="AD34" s="5">
        <f t="shared" si="8"/>
        <v>3424.9999999999991</v>
      </c>
      <c r="AE34" s="5">
        <f t="shared" si="0"/>
        <v>0.200000000003448</v>
      </c>
      <c r="AF34" s="5">
        <f t="shared" si="9"/>
        <v>54.480000000706688</v>
      </c>
      <c r="AH34" s="22">
        <f t="shared" si="10"/>
        <v>9.0949470177292824E-13</v>
      </c>
      <c r="AI34" s="22">
        <f t="shared" si="11"/>
        <v>3.447991892002733E-12</v>
      </c>
      <c r="AJ34" s="87">
        <f t="shared" si="29"/>
        <v>7.0669159413228044E-10</v>
      </c>
    </row>
    <row r="35" spans="1:36" x14ac:dyDescent="0.2">
      <c r="A35" s="3">
        <v>3450</v>
      </c>
      <c r="B35" s="3">
        <v>0.08</v>
      </c>
      <c r="C35" s="3">
        <v>28.03</v>
      </c>
      <c r="E35" s="1">
        <f t="shared" si="30"/>
        <v>1.3962634015954637E-3</v>
      </c>
      <c r="F35" s="1">
        <f t="shared" si="31"/>
        <v>0.48921578933401061</v>
      </c>
      <c r="H35" s="9">
        <f t="shared" si="12"/>
        <v>2.3252637187296532E-3</v>
      </c>
      <c r="I35" s="155">
        <f t="shared" si="13"/>
        <v>2.3252637187703945E-3</v>
      </c>
      <c r="J35" s="153">
        <f t="shared" si="14"/>
        <v>0.1598733568057249</v>
      </c>
      <c r="K35" s="9">
        <f t="shared" si="15"/>
        <v>1.0000004505711904</v>
      </c>
      <c r="L35" s="4">
        <f t="shared" si="16"/>
        <v>4.0756356633597619E-2</v>
      </c>
      <c r="M35" s="4">
        <f t="shared" si="17"/>
        <v>4.3715481081004988E-2</v>
      </c>
      <c r="N35" s="4">
        <f t="shared" si="18"/>
        <v>24.999922925267526</v>
      </c>
      <c r="O35" s="5">
        <f t="shared" si="19"/>
        <v>1.3821718126792373</v>
      </c>
      <c r="P35" s="5">
        <f t="shared" si="20"/>
        <v>2.9934056877823032</v>
      </c>
      <c r="Q35" s="5">
        <f t="shared" si="21"/>
        <v>3449.9795639067825</v>
      </c>
      <c r="S35" s="4">
        <f t="shared" si="4"/>
        <v>4.0756356633597557E-2</v>
      </c>
      <c r="T35" s="4">
        <f t="shared" si="5"/>
        <v>4.3715481081004981E-2</v>
      </c>
      <c r="U35" s="4">
        <f t="shared" si="6"/>
        <v>24.999922925267583</v>
      </c>
      <c r="V35" s="6">
        <f t="shared" si="22"/>
        <v>24.999994367863604</v>
      </c>
      <c r="W35" s="86">
        <f t="shared" si="23"/>
        <v>2.3252637191761849E-3</v>
      </c>
      <c r="X35" s="9">
        <f t="shared" si="24"/>
        <v>1.0000004505711906</v>
      </c>
      <c r="Y35" s="4">
        <f t="shared" si="25"/>
        <v>25.00000000000006</v>
      </c>
      <c r="Z35" s="1">
        <f t="shared" si="26"/>
        <v>1.3962634017283815E-3</v>
      </c>
      <c r="AA35" s="86">
        <f t="shared" si="27"/>
        <v>0.48921578951271938</v>
      </c>
      <c r="AB35" s="86">
        <f t="shared" si="28"/>
        <v>0.48921578922328607</v>
      </c>
      <c r="AC35" s="1">
        <f t="shared" si="7"/>
        <v>0.48921578951271938</v>
      </c>
      <c r="AD35" s="5">
        <f t="shared" si="8"/>
        <v>3449.9999999999991</v>
      </c>
      <c r="AE35" s="5">
        <f t="shared" si="0"/>
        <v>8.0000000007615632E-2</v>
      </c>
      <c r="AF35" s="5">
        <f t="shared" si="9"/>
        <v>28.030000010239259</v>
      </c>
      <c r="AH35" s="22">
        <f t="shared" si="10"/>
        <v>9.0949470177292824E-13</v>
      </c>
      <c r="AI35" s="22">
        <f t="shared" si="11"/>
        <v>7.6156303485674925E-12</v>
      </c>
      <c r="AJ35" s="87">
        <f t="shared" si="29"/>
        <v>1.023925833010253E-8</v>
      </c>
    </row>
    <row r="36" spans="1:36" x14ac:dyDescent="0.2">
      <c r="A36" s="3">
        <v>3475</v>
      </c>
      <c r="B36" s="3">
        <v>0.13</v>
      </c>
      <c r="C36" s="3">
        <v>354.18</v>
      </c>
      <c r="E36" s="1">
        <f t="shared" si="30"/>
        <v>2.2689280275926286E-3</v>
      </c>
      <c r="F36" s="1">
        <f t="shared" si="31"/>
        <v>6.1816071447135164</v>
      </c>
      <c r="H36" s="9">
        <f t="shared" si="12"/>
        <v>1.3548099369375954E-3</v>
      </c>
      <c r="I36" s="155">
        <f t="shared" si="13"/>
        <v>1.3548099369443051E-3</v>
      </c>
      <c r="J36" s="153">
        <f t="shared" si="14"/>
        <v>9.3149869714691316E-2</v>
      </c>
      <c r="K36" s="9">
        <f t="shared" si="15"/>
        <v>1.0000001529591918</v>
      </c>
      <c r="L36" s="4">
        <f t="shared" si="16"/>
        <v>4.3621434558365077E-2</v>
      </c>
      <c r="M36" s="4">
        <f t="shared" si="17"/>
        <v>5.3259253222595546E-3</v>
      </c>
      <c r="N36" s="4">
        <f t="shared" si="18"/>
        <v>24.999959464077033</v>
      </c>
      <c r="O36" s="5">
        <f t="shared" si="19"/>
        <v>1.4257932472376023</v>
      </c>
      <c r="P36" s="5">
        <f t="shared" si="20"/>
        <v>2.9987316131045629</v>
      </c>
      <c r="Q36" s="5">
        <f t="shared" si="21"/>
        <v>3474.9795233708596</v>
      </c>
      <c r="S36" s="4">
        <f t="shared" si="4"/>
        <v>4.362143455836498E-2</v>
      </c>
      <c r="T36" s="4">
        <f t="shared" si="5"/>
        <v>5.325925322259728E-3</v>
      </c>
      <c r="U36" s="4">
        <f t="shared" si="6"/>
        <v>24.999959464077165</v>
      </c>
      <c r="V36" s="6">
        <f t="shared" si="22"/>
        <v>24.999998088010621</v>
      </c>
      <c r="W36" s="86">
        <f t="shared" si="23"/>
        <v>1.3548099366658128E-3</v>
      </c>
      <c r="X36" s="9">
        <f t="shared" si="24"/>
        <v>1.0000001529591918</v>
      </c>
      <c r="Y36" s="4">
        <f t="shared" si="25"/>
        <v>25.000000000000128</v>
      </c>
      <c r="Z36" s="1">
        <f t="shared" si="26"/>
        <v>2.268928027397088E-3</v>
      </c>
      <c r="AA36" s="86">
        <f t="shared" si="27"/>
        <v>0.10157816162096167</v>
      </c>
      <c r="AB36" s="86">
        <f t="shared" si="28"/>
        <v>-0.10157816260009932</v>
      </c>
      <c r="AC36" s="1">
        <f t="shared" si="7"/>
        <v>-0.10157816162096167</v>
      </c>
      <c r="AD36" s="5">
        <f t="shared" si="8"/>
        <v>3474.9999999999991</v>
      </c>
      <c r="AE36" s="5">
        <f t="shared" si="0"/>
        <v>0.12999999998879636</v>
      </c>
      <c r="AF36" s="5">
        <f t="shared" si="9"/>
        <v>354.18000004842116</v>
      </c>
      <c r="AH36" s="22">
        <f t="shared" si="10"/>
        <v>9.0949470177292824E-13</v>
      </c>
      <c r="AI36" s="22">
        <f t="shared" si="11"/>
        <v>1.1203649119551073E-11</v>
      </c>
      <c r="AJ36" s="87">
        <f t="shared" si="29"/>
        <v>4.8421156861877535E-8</v>
      </c>
    </row>
    <row r="37" spans="1:36" x14ac:dyDescent="0.2">
      <c r="A37" s="3">
        <v>3500</v>
      </c>
      <c r="B37" s="3">
        <v>7.0000000000000007E-2</v>
      </c>
      <c r="C37" s="3">
        <v>289.58</v>
      </c>
      <c r="E37" s="1">
        <f t="shared" si="30"/>
        <v>1.2217304763960308E-3</v>
      </c>
      <c r="F37" s="1">
        <f t="shared" si="31"/>
        <v>5.0541244479251795</v>
      </c>
      <c r="H37" s="9">
        <f t="shared" si="12"/>
        <v>2.064612649823605E-3</v>
      </c>
      <c r="I37" s="155">
        <f t="shared" si="13"/>
        <v>2.064612649831887E-3</v>
      </c>
      <c r="J37" s="153">
        <f t="shared" si="14"/>
        <v>0.14195230939705669</v>
      </c>
      <c r="K37" s="9">
        <f t="shared" si="15"/>
        <v>1.0000003552189343</v>
      </c>
      <c r="L37" s="4">
        <f t="shared" si="16"/>
        <v>3.3333263570110738E-2</v>
      </c>
      <c r="M37" s="4">
        <f t="shared" si="17"/>
        <v>-1.7264508716333612E-2</v>
      </c>
      <c r="N37" s="4">
        <f t="shared" si="18"/>
        <v>24.999967376350128</v>
      </c>
      <c r="O37" s="5">
        <f t="shared" si="19"/>
        <v>1.4591265108077129</v>
      </c>
      <c r="P37" s="5">
        <f t="shared" si="20"/>
        <v>2.9814671043882295</v>
      </c>
      <c r="Q37" s="5">
        <f t="shared" si="21"/>
        <v>3499.9794907472096</v>
      </c>
      <c r="S37" s="4">
        <f t="shared" si="4"/>
        <v>3.3333263570110683E-2</v>
      </c>
      <c r="T37" s="4">
        <f t="shared" si="5"/>
        <v>-1.7264508716333449E-2</v>
      </c>
      <c r="U37" s="4">
        <f t="shared" si="6"/>
        <v>24.999967376350014</v>
      </c>
      <c r="V37" s="6">
        <f t="shared" si="22"/>
        <v>24.999995559765335</v>
      </c>
      <c r="W37" s="86">
        <f t="shared" si="23"/>
        <v>2.064612651630604E-3</v>
      </c>
      <c r="X37" s="9">
        <f t="shared" si="24"/>
        <v>1.0000003552189349</v>
      </c>
      <c r="Y37" s="4">
        <f t="shared" si="25"/>
        <v>24.99999999999989</v>
      </c>
      <c r="Z37" s="1">
        <f t="shared" si="26"/>
        <v>1.2217304782822236E-3</v>
      </c>
      <c r="AA37" s="86">
        <f t="shared" si="27"/>
        <v>1.2290608598034622</v>
      </c>
      <c r="AB37" s="86">
        <f t="shared" si="28"/>
        <v>-1.2290608596215127</v>
      </c>
      <c r="AC37" s="1">
        <f t="shared" si="7"/>
        <v>-1.2290608598034622</v>
      </c>
      <c r="AD37" s="5">
        <f t="shared" si="8"/>
        <v>3499.9999999999991</v>
      </c>
      <c r="AE37" s="5">
        <f t="shared" si="0"/>
        <v>7.0000000108070892E-2</v>
      </c>
      <c r="AF37" s="5">
        <f t="shared" si="9"/>
        <v>289.57999996854142</v>
      </c>
      <c r="AH37" s="22">
        <f t="shared" si="10"/>
        <v>9.0949470177292824E-13</v>
      </c>
      <c r="AI37" s="22">
        <f t="shared" si="11"/>
        <v>1.0807088557385214E-10</v>
      </c>
      <c r="AJ37" s="87">
        <f t="shared" si="29"/>
        <v>3.1458569083042676E-8</v>
      </c>
    </row>
    <row r="38" spans="1:36" x14ac:dyDescent="0.2">
      <c r="A38" s="3">
        <v>3525</v>
      </c>
      <c r="B38" s="3">
        <v>0.12</v>
      </c>
      <c r="C38" s="3">
        <v>353.72</v>
      </c>
      <c r="E38" s="1">
        <f t="shared" si="30"/>
        <v>2.0943951023931952E-3</v>
      </c>
      <c r="F38" s="1">
        <f t="shared" si="31"/>
        <v>6.1735786301543429</v>
      </c>
      <c r="H38" s="9">
        <f t="shared" si="12"/>
        <v>1.9097025889600605E-3</v>
      </c>
      <c r="I38" s="155">
        <f t="shared" si="13"/>
        <v>1.9097025889453143E-3</v>
      </c>
      <c r="J38" s="153">
        <f t="shared" si="14"/>
        <v>0.13130147816714172</v>
      </c>
      <c r="K38" s="9">
        <f t="shared" si="15"/>
        <v>1.0000003039137757</v>
      </c>
      <c r="L38" s="4">
        <f t="shared" si="16"/>
        <v>3.1140697693697331E-2</v>
      </c>
      <c r="M38" s="4">
        <f t="shared" si="17"/>
        <v>-1.7252294714707204E-2</v>
      </c>
      <c r="N38" s="4">
        <f t="shared" si="18"/>
        <v>24.999970853368144</v>
      </c>
      <c r="O38" s="5">
        <f t="shared" si="19"/>
        <v>1.4902672085014104</v>
      </c>
      <c r="P38" s="5">
        <f t="shared" si="20"/>
        <v>2.9642148096735221</v>
      </c>
      <c r="Q38" s="5">
        <f t="shared" si="21"/>
        <v>3524.9794616005779</v>
      </c>
      <c r="S38" s="4">
        <f t="shared" si="4"/>
        <v>3.1140697693697428E-2</v>
      </c>
      <c r="T38" s="4">
        <f t="shared" si="5"/>
        <v>-1.725229471470735E-2</v>
      </c>
      <c r="U38" s="4">
        <f t="shared" si="6"/>
        <v>24.999970853368268</v>
      </c>
      <c r="V38" s="6">
        <f t="shared" si="22"/>
        <v>24.999996201079487</v>
      </c>
      <c r="W38" s="86">
        <f t="shared" si="23"/>
        <v>1.9097025909533549E-3</v>
      </c>
      <c r="X38" s="9">
        <f t="shared" si="24"/>
        <v>1.0000003039137764</v>
      </c>
      <c r="Y38" s="4">
        <f t="shared" si="25"/>
        <v>25.000000000000131</v>
      </c>
      <c r="Z38" s="1">
        <f t="shared" si="26"/>
        <v>2.0943951022116547E-3</v>
      </c>
      <c r="AA38" s="86">
        <f t="shared" si="27"/>
        <v>0.10960667623804943</v>
      </c>
      <c r="AB38" s="86">
        <f t="shared" si="28"/>
        <v>-0.10960667607316604</v>
      </c>
      <c r="AC38" s="1">
        <f t="shared" si="7"/>
        <v>-0.10960667623804943</v>
      </c>
      <c r="AD38" s="5">
        <f t="shared" si="8"/>
        <v>3524.9999999999991</v>
      </c>
      <c r="AE38" s="5">
        <f t="shared" si="0"/>
        <v>0.11999999998959848</v>
      </c>
      <c r="AF38" s="5">
        <f t="shared" si="9"/>
        <v>353.72000004510289</v>
      </c>
      <c r="AH38" s="22">
        <f t="shared" si="10"/>
        <v>9.0949470177292824E-13</v>
      </c>
      <c r="AI38" s="22">
        <f t="shared" si="11"/>
        <v>1.0401512984259398E-11</v>
      </c>
      <c r="AJ38" s="87">
        <f t="shared" si="29"/>
        <v>4.5102865442459006E-8</v>
      </c>
    </row>
    <row r="39" spans="1:36" x14ac:dyDescent="0.2">
      <c r="A39" s="3">
        <v>3550</v>
      </c>
      <c r="B39" s="3">
        <v>0.18</v>
      </c>
      <c r="C39" s="3">
        <v>356.23</v>
      </c>
      <c r="E39" s="1">
        <f t="shared" si="30"/>
        <v>3.1415926535897929E-3</v>
      </c>
      <c r="F39" s="1">
        <f t="shared" si="31"/>
        <v>6.2173863943794005</v>
      </c>
      <c r="H39" s="9">
        <f t="shared" si="12"/>
        <v>1.0532084166889888E-3</v>
      </c>
      <c r="I39" s="155">
        <f t="shared" si="13"/>
        <v>1.05320841672711E-3</v>
      </c>
      <c r="J39" s="153">
        <f t="shared" si="14"/>
        <v>7.2413276668721813E-2</v>
      </c>
      <c r="K39" s="9">
        <f t="shared" si="15"/>
        <v>1.0000000924373409</v>
      </c>
      <c r="L39" s="4">
        <f t="shared" si="16"/>
        <v>6.5207690096561882E-2</v>
      </c>
      <c r="M39" s="4">
        <f t="shared" si="17"/>
        <v>-5.4458013559952768E-3</v>
      </c>
      <c r="N39" s="4">
        <f t="shared" si="18"/>
        <v>24.999913210390755</v>
      </c>
      <c r="O39" s="5">
        <f t="shared" si="19"/>
        <v>1.5554748985979723</v>
      </c>
      <c r="P39" s="5">
        <f t="shared" si="20"/>
        <v>2.9587690083175269</v>
      </c>
      <c r="Q39" s="5">
        <f t="shared" si="21"/>
        <v>3549.9793748109687</v>
      </c>
      <c r="S39" s="4">
        <f t="shared" si="4"/>
        <v>6.520769009656191E-2</v>
      </c>
      <c r="T39" s="4">
        <f t="shared" si="5"/>
        <v>-5.4458013559952612E-3</v>
      </c>
      <c r="U39" s="4">
        <f t="shared" si="6"/>
        <v>24.999913210390787</v>
      </c>
      <c r="V39" s="6">
        <f t="shared" si="22"/>
        <v>24.999998844533412</v>
      </c>
      <c r="W39" s="86">
        <f t="shared" si="23"/>
        <v>1.0532084166534617E-3</v>
      </c>
      <c r="X39" s="9">
        <f t="shared" si="24"/>
        <v>1.0000000924373409</v>
      </c>
      <c r="Y39" s="4">
        <f t="shared" si="25"/>
        <v>25.000000000000032</v>
      </c>
      <c r="Z39" s="1">
        <f t="shared" si="26"/>
        <v>3.141592653680858E-3</v>
      </c>
      <c r="AA39" s="86">
        <f t="shared" si="27"/>
        <v>6.5798913239605517E-2</v>
      </c>
      <c r="AB39" s="86">
        <f t="shared" si="28"/>
        <v>-6.5798913327388686E-2</v>
      </c>
      <c r="AC39" s="1">
        <f t="shared" si="7"/>
        <v>-6.5798913239605517E-2</v>
      </c>
      <c r="AD39" s="5">
        <f t="shared" si="8"/>
        <v>3549.9999999999991</v>
      </c>
      <c r="AE39" s="5">
        <f t="shared" si="0"/>
        <v>0.18000000000521763</v>
      </c>
      <c r="AF39" s="5">
        <f t="shared" si="9"/>
        <v>356.2299999748231</v>
      </c>
      <c r="AH39" s="22">
        <f t="shared" si="10"/>
        <v>9.0949470177292824E-13</v>
      </c>
      <c r="AI39" s="22">
        <f t="shared" si="11"/>
        <v>5.2176318821040013E-12</v>
      </c>
      <c r="AJ39" s="87">
        <f t="shared" si="29"/>
        <v>2.5176916551572504E-8</v>
      </c>
    </row>
    <row r="40" spans="1:36" x14ac:dyDescent="0.2">
      <c r="A40" s="3">
        <v>3575</v>
      </c>
      <c r="B40" s="3">
        <v>0.13</v>
      </c>
      <c r="C40" s="3">
        <v>333.68</v>
      </c>
      <c r="E40" s="1">
        <f t="shared" si="30"/>
        <v>2.2689280275926286E-3</v>
      </c>
      <c r="F40" s="1">
        <f t="shared" si="31"/>
        <v>5.8238146480546789</v>
      </c>
      <c r="H40" s="9">
        <f t="shared" si="12"/>
        <v>1.3606937907730821E-3</v>
      </c>
      <c r="I40" s="155">
        <f t="shared" si="13"/>
        <v>1.3606937907420463E-3</v>
      </c>
      <c r="J40" s="153">
        <f t="shared" si="14"/>
        <v>9.3554413705145625E-2</v>
      </c>
      <c r="K40" s="9">
        <f t="shared" si="15"/>
        <v>1.0000001542906614</v>
      </c>
      <c r="L40" s="4">
        <f t="shared" si="16"/>
        <v>6.4606254932765825E-2</v>
      </c>
      <c r="M40" s="4">
        <f t="shared" si="17"/>
        <v>-1.5157123006115226E-2</v>
      </c>
      <c r="N40" s="4">
        <f t="shared" si="18"/>
        <v>24.999909997074116</v>
      </c>
      <c r="O40" s="5">
        <f t="shared" si="19"/>
        <v>1.620081153530738</v>
      </c>
      <c r="P40" s="5">
        <f t="shared" si="20"/>
        <v>2.9436118853114115</v>
      </c>
      <c r="Q40" s="5">
        <f t="shared" si="21"/>
        <v>3574.9792848080428</v>
      </c>
      <c r="S40" s="4">
        <f t="shared" si="4"/>
        <v>6.4606254932765728E-2</v>
      </c>
      <c r="T40" s="4">
        <f t="shared" si="5"/>
        <v>-1.5157123006115381E-2</v>
      </c>
      <c r="U40" s="4">
        <f t="shared" si="6"/>
        <v>24.999909997074155</v>
      </c>
      <c r="V40" s="6">
        <f t="shared" si="22"/>
        <v>24.999998071367177</v>
      </c>
      <c r="W40" s="86">
        <f t="shared" si="23"/>
        <v>1.360693789393963E-3</v>
      </c>
      <c r="X40" s="9">
        <f t="shared" si="24"/>
        <v>1.0000001542906609</v>
      </c>
      <c r="Y40" s="4">
        <f t="shared" si="25"/>
        <v>25.000000000000039</v>
      </c>
      <c r="Z40" s="1">
        <f t="shared" si="26"/>
        <v>2.2689280272014667E-3</v>
      </c>
      <c r="AA40" s="86">
        <f t="shared" si="27"/>
        <v>0.45937065877650252</v>
      </c>
      <c r="AB40" s="86">
        <f t="shared" si="28"/>
        <v>-0.45937065852992126</v>
      </c>
      <c r="AC40" s="1">
        <f t="shared" si="7"/>
        <v>-0.45937065877650252</v>
      </c>
      <c r="AD40" s="5">
        <f t="shared" si="8"/>
        <v>3574.9999999999991</v>
      </c>
      <c r="AE40" s="5">
        <f t="shared" si="0"/>
        <v>0.1299999999775881</v>
      </c>
      <c r="AF40" s="5">
        <f t="shared" si="9"/>
        <v>333.68000001996211</v>
      </c>
      <c r="AH40" s="22">
        <f t="shared" si="10"/>
        <v>9.0949470177292824E-13</v>
      </c>
      <c r="AI40" s="22">
        <f t="shared" si="11"/>
        <v>2.2411905664654341E-11</v>
      </c>
      <c r="AJ40" s="87">
        <f t="shared" si="29"/>
        <v>1.9962101305281976E-8</v>
      </c>
    </row>
    <row r="41" spans="1:36" x14ac:dyDescent="0.2">
      <c r="A41" s="3">
        <v>3600</v>
      </c>
      <c r="B41" s="3">
        <v>0.23</v>
      </c>
      <c r="C41" s="3">
        <v>12.47</v>
      </c>
      <c r="E41" s="1">
        <f t="shared" si="30"/>
        <v>4.014257279586958E-3</v>
      </c>
      <c r="F41" s="1">
        <f t="shared" si="31"/>
        <v>0.2176425577236929</v>
      </c>
      <c r="H41" s="9">
        <f t="shared" si="12"/>
        <v>2.657776867615036E-3</v>
      </c>
      <c r="I41" s="155">
        <f t="shared" si="13"/>
        <v>2.6577768676277506E-3</v>
      </c>
      <c r="J41" s="153">
        <f t="shared" si="14"/>
        <v>0.18273527688221003</v>
      </c>
      <c r="K41" s="9">
        <f t="shared" si="15"/>
        <v>1.0000005886485723</v>
      </c>
      <c r="L41" s="4">
        <f t="shared" si="16"/>
        <v>7.4415764055531949E-2</v>
      </c>
      <c r="M41" s="4">
        <f t="shared" si="17"/>
        <v>-1.7402001429677049E-3</v>
      </c>
      <c r="N41" s="4">
        <f t="shared" si="18"/>
        <v>24.999881826935752</v>
      </c>
      <c r="O41" s="5">
        <f t="shared" si="19"/>
        <v>1.6944969175862699</v>
      </c>
      <c r="P41" s="5">
        <f t="shared" si="20"/>
        <v>2.9418716851684437</v>
      </c>
      <c r="Q41" s="5">
        <f t="shared" si="21"/>
        <v>3599.9791666349788</v>
      </c>
      <c r="S41" s="4">
        <f t="shared" si="4"/>
        <v>7.4415764055531852E-2</v>
      </c>
      <c r="T41" s="4">
        <f t="shared" si="5"/>
        <v>-1.7402001429678293E-3</v>
      </c>
      <c r="U41" s="4">
        <f t="shared" si="6"/>
        <v>24.999881826935962</v>
      </c>
      <c r="V41" s="6">
        <f t="shared" si="22"/>
        <v>24.999992641898906</v>
      </c>
      <c r="W41" s="86">
        <f t="shared" si="23"/>
        <v>2.6577768662052748E-3</v>
      </c>
      <c r="X41" s="9">
        <f t="shared" si="24"/>
        <v>1.0000005886485717</v>
      </c>
      <c r="Y41" s="4">
        <f t="shared" si="25"/>
        <v>25.000000000000206</v>
      </c>
      <c r="Z41" s="1">
        <f t="shared" si="26"/>
        <v>4.0142572793344655E-3</v>
      </c>
      <c r="AA41" s="86">
        <f t="shared" si="27"/>
        <v>0.21764255743920202</v>
      </c>
      <c r="AB41" s="86">
        <f t="shared" si="28"/>
        <v>0.21764255751257708</v>
      </c>
      <c r="AC41" s="1">
        <f t="shared" si="7"/>
        <v>0.21764255743920202</v>
      </c>
      <c r="AD41" s="5">
        <f t="shared" si="8"/>
        <v>3599.9999999999991</v>
      </c>
      <c r="AE41" s="5">
        <f t="shared" si="0"/>
        <v>0.22999999998553325</v>
      </c>
      <c r="AF41" s="5">
        <f t="shared" si="9"/>
        <v>12.469999983699873</v>
      </c>
      <c r="AH41" s="22">
        <f t="shared" si="10"/>
        <v>9.0949470177292824E-13</v>
      </c>
      <c r="AI41" s="22">
        <f t="shared" si="11"/>
        <v>1.4466761122378102E-11</v>
      </c>
      <c r="AJ41" s="87">
        <f t="shared" si="29"/>
        <v>1.6300127470003645E-8</v>
      </c>
    </row>
    <row r="42" spans="1:36" x14ac:dyDescent="0.2">
      <c r="A42" s="3">
        <v>3625</v>
      </c>
      <c r="B42" s="3">
        <v>0.22</v>
      </c>
      <c r="C42" s="3">
        <v>5.18</v>
      </c>
      <c r="E42" s="1">
        <f t="shared" si="30"/>
        <v>3.8397243543875251E-3</v>
      </c>
      <c r="F42" s="1">
        <f t="shared" si="31"/>
        <v>9.0408055253306266E-2</v>
      </c>
      <c r="H42" s="9">
        <f t="shared" si="12"/>
        <v>5.2881905055568446E-4</v>
      </c>
      <c r="I42" s="155">
        <f t="shared" si="13"/>
        <v>5.2881905073507817E-4</v>
      </c>
      <c r="J42" s="153">
        <f t="shared" si="14"/>
        <v>3.6358919667547236E-2</v>
      </c>
      <c r="K42" s="9">
        <f t="shared" si="15"/>
        <v>1.0000000233041331</v>
      </c>
      <c r="L42" s="4">
        <f t="shared" si="16"/>
        <v>9.6794760276807099E-2</v>
      </c>
      <c r="M42" s="4">
        <f t="shared" si="17"/>
        <v>1.5168228643366883E-2</v>
      </c>
      <c r="N42" s="4">
        <f t="shared" si="18"/>
        <v>24.999807721943387</v>
      </c>
      <c r="O42" s="5">
        <f t="shared" si="19"/>
        <v>1.791291677863077</v>
      </c>
      <c r="P42" s="5">
        <f t="shared" si="20"/>
        <v>2.9570399138118106</v>
      </c>
      <c r="Q42" s="5">
        <f t="shared" si="21"/>
        <v>3624.9789743569222</v>
      </c>
      <c r="S42" s="4">
        <f t="shared" si="4"/>
        <v>9.6794760276807112E-2</v>
      </c>
      <c r="T42" s="4">
        <f t="shared" si="5"/>
        <v>1.5168228643366977E-2</v>
      </c>
      <c r="U42" s="4">
        <f t="shared" si="6"/>
        <v>24.999807721943398</v>
      </c>
      <c r="V42" s="6">
        <f t="shared" si="22"/>
        <v>24.999999708698358</v>
      </c>
      <c r="W42" s="86">
        <f t="shared" si="23"/>
        <v>5.2881904845358818E-4</v>
      </c>
      <c r="X42" s="9">
        <f t="shared" si="24"/>
        <v>1.0000000233041328</v>
      </c>
      <c r="Y42" s="4">
        <f t="shared" si="25"/>
        <v>25.000000000000011</v>
      </c>
      <c r="Z42" s="1">
        <f t="shared" si="26"/>
        <v>3.839724354506302E-3</v>
      </c>
      <c r="AA42" s="86">
        <f t="shared" si="27"/>
        <v>9.0408055594700665E-2</v>
      </c>
      <c r="AB42" s="86">
        <f t="shared" si="28"/>
        <v>9.0408055556357794E-2</v>
      </c>
      <c r="AC42" s="1">
        <f t="shared" si="7"/>
        <v>9.0408055594700665E-2</v>
      </c>
      <c r="AD42" s="5">
        <f t="shared" si="8"/>
        <v>3624.9999999999991</v>
      </c>
      <c r="AE42" s="5">
        <f t="shared" si="0"/>
        <v>0.22000000000680542</v>
      </c>
      <c r="AF42" s="5">
        <f t="shared" si="9"/>
        <v>5.1800000195604579</v>
      </c>
      <c r="AH42" s="22">
        <f t="shared" si="10"/>
        <v>9.0949470177292824E-13</v>
      </c>
      <c r="AI42" s="22">
        <f t="shared" si="11"/>
        <v>6.8054173407716689E-12</v>
      </c>
      <c r="AJ42" s="87">
        <f t="shared" si="29"/>
        <v>1.9560458142109383E-8</v>
      </c>
    </row>
    <row r="43" spans="1:36" x14ac:dyDescent="0.2">
      <c r="A43" s="3">
        <v>3650</v>
      </c>
      <c r="B43" s="3">
        <v>0.22</v>
      </c>
      <c r="C43" s="3">
        <v>352.23</v>
      </c>
      <c r="E43" s="1">
        <f t="shared" si="30"/>
        <v>3.8397243543875251E-3</v>
      </c>
      <c r="F43" s="1">
        <f t="shared" si="31"/>
        <v>6.1475732242996273</v>
      </c>
      <c r="H43" s="9">
        <f t="shared" si="12"/>
        <v>8.6600683796533851E-4</v>
      </c>
      <c r="I43" s="155">
        <f t="shared" si="13"/>
        <v>8.6600683796946335E-4</v>
      </c>
      <c r="J43" s="153">
        <f t="shared" si="14"/>
        <v>5.9542244213860382E-2</v>
      </c>
      <c r="K43" s="9">
        <f t="shared" si="15"/>
        <v>1.0000000624973251</v>
      </c>
      <c r="L43" s="4">
        <f t="shared" si="16"/>
        <v>9.5356193724129526E-2</v>
      </c>
      <c r="M43" s="4">
        <f t="shared" si="17"/>
        <v>-2.1556090852800163E-3</v>
      </c>
      <c r="N43" s="4">
        <f t="shared" si="18"/>
        <v>24.999817269109066</v>
      </c>
      <c r="O43" s="5">
        <f t="shared" si="19"/>
        <v>1.8866478715872066</v>
      </c>
      <c r="P43" s="5">
        <f t="shared" si="20"/>
        <v>2.9548843047265305</v>
      </c>
      <c r="Q43" s="5">
        <f t="shared" si="21"/>
        <v>3649.9787916260311</v>
      </c>
      <c r="S43" s="4">
        <f t="shared" si="4"/>
        <v>9.5356193724129623E-2</v>
      </c>
      <c r="T43" s="4">
        <f t="shared" si="5"/>
        <v>-2.1556090852801191E-3</v>
      </c>
      <c r="U43" s="4">
        <f t="shared" si="6"/>
        <v>24.999817269108917</v>
      </c>
      <c r="V43" s="6">
        <f t="shared" si="22"/>
        <v>24.999999218783358</v>
      </c>
      <c r="W43" s="86">
        <f t="shared" si="23"/>
        <v>8.660068401038501E-4</v>
      </c>
      <c r="X43" s="9">
        <f t="shared" si="24"/>
        <v>1.0000000624973253</v>
      </c>
      <c r="Y43" s="4">
        <f t="shared" si="25"/>
        <v>24.999999999999858</v>
      </c>
      <c r="Z43" s="1">
        <f t="shared" si="26"/>
        <v>3.8397243545642556E-3</v>
      </c>
      <c r="AA43" s="86">
        <f t="shared" si="27"/>
        <v>0.13561208321706664</v>
      </c>
      <c r="AB43" s="86">
        <f t="shared" si="28"/>
        <v>-0.13561208321965071</v>
      </c>
      <c r="AC43" s="1">
        <f t="shared" si="7"/>
        <v>-0.13561208321706664</v>
      </c>
      <c r="AD43" s="5">
        <f t="shared" si="8"/>
        <v>3649.9999999999991</v>
      </c>
      <c r="AE43" s="5">
        <f t="shared" si="0"/>
        <v>0.22000000001012593</v>
      </c>
      <c r="AF43" s="5">
        <f t="shared" si="9"/>
        <v>352.22999998068519</v>
      </c>
      <c r="AH43" s="22">
        <f t="shared" si="10"/>
        <v>9.0949470177292824E-13</v>
      </c>
      <c r="AI43" s="22">
        <f t="shared" si="11"/>
        <v>1.0125927873971818E-11</v>
      </c>
      <c r="AJ43" s="87">
        <f t="shared" si="29"/>
        <v>1.9314825294713955E-8</v>
      </c>
    </row>
    <row r="44" spans="1:36" x14ac:dyDescent="0.2">
      <c r="A44" s="3">
        <v>3675</v>
      </c>
      <c r="B44" s="3">
        <v>0.27</v>
      </c>
      <c r="C44" s="3">
        <v>349.2</v>
      </c>
      <c r="E44" s="1">
        <f t="shared" si="30"/>
        <v>4.7123889803846897E-3</v>
      </c>
      <c r="F44" s="1">
        <f t="shared" si="31"/>
        <v>6.0946897479641988</v>
      </c>
      <c r="H44" s="9">
        <f t="shared" si="12"/>
        <v>9.0118534387562121E-4</v>
      </c>
      <c r="I44" s="155">
        <f t="shared" si="13"/>
        <v>9.0118534388859727E-4</v>
      </c>
      <c r="J44" s="153">
        <f t="shared" si="14"/>
        <v>6.1960940115742637E-2</v>
      </c>
      <c r="K44" s="9">
        <f t="shared" si="15"/>
        <v>1.0000000676779242</v>
      </c>
      <c r="L44" s="4">
        <f t="shared" si="16"/>
        <v>0.10541705811812439</v>
      </c>
      <c r="M44" s="4">
        <f t="shared" si="17"/>
        <v>-1.7526595460304616E-2</v>
      </c>
      <c r="N44" s="4">
        <f t="shared" si="18"/>
        <v>24.999770754221153</v>
      </c>
      <c r="O44" s="5">
        <f t="shared" si="19"/>
        <v>1.992064929705331</v>
      </c>
      <c r="P44" s="5">
        <f t="shared" si="20"/>
        <v>2.9373577092662257</v>
      </c>
      <c r="Q44" s="5">
        <f t="shared" si="21"/>
        <v>3674.9785623802522</v>
      </c>
      <c r="S44" s="4">
        <f t="shared" si="4"/>
        <v>0.10541705811812441</v>
      </c>
      <c r="T44" s="4">
        <f t="shared" si="5"/>
        <v>-1.7526595460304772E-2</v>
      </c>
      <c r="U44" s="4">
        <f t="shared" si="6"/>
        <v>24.999770754221117</v>
      </c>
      <c r="V44" s="6">
        <f t="shared" si="22"/>
        <v>24.999999154025989</v>
      </c>
      <c r="W44" s="86">
        <f t="shared" si="23"/>
        <v>9.011853426867944E-4</v>
      </c>
      <c r="X44" s="9">
        <f t="shared" si="24"/>
        <v>1.0000000676779239</v>
      </c>
      <c r="Y44" s="4">
        <f t="shared" si="25"/>
        <v>24.999999999999961</v>
      </c>
      <c r="Z44" s="1">
        <f t="shared" si="26"/>
        <v>4.7123889801259367E-3</v>
      </c>
      <c r="AA44" s="86">
        <f t="shared" si="27"/>
        <v>0.18849555892764913</v>
      </c>
      <c r="AB44" s="86">
        <f t="shared" si="28"/>
        <v>-0.18849555894363734</v>
      </c>
      <c r="AC44" s="1">
        <f t="shared" si="7"/>
        <v>-0.18849555892764913</v>
      </c>
      <c r="AD44" s="5">
        <f t="shared" si="8"/>
        <v>3674.9999999999991</v>
      </c>
      <c r="AE44" s="5">
        <f t="shared" si="0"/>
        <v>0.26999999998517454</v>
      </c>
      <c r="AF44" s="5">
        <f t="shared" si="9"/>
        <v>349.20000001648617</v>
      </c>
      <c r="AH44" s="22">
        <f t="shared" si="10"/>
        <v>9.0949470177292824E-13</v>
      </c>
      <c r="AI44" s="22">
        <f t="shared" si="11"/>
        <v>1.482547418163449E-11</v>
      </c>
      <c r="AJ44" s="87">
        <f t="shared" si="29"/>
        <v>1.6486183085362427E-8</v>
      </c>
    </row>
    <row r="45" spans="1:36" x14ac:dyDescent="0.2">
      <c r="A45" s="3">
        <v>3700</v>
      </c>
      <c r="B45" s="3">
        <v>0.28000000000000003</v>
      </c>
      <c r="C45" s="3">
        <v>352.58</v>
      </c>
      <c r="E45" s="1">
        <f t="shared" si="30"/>
        <v>4.8869219055841231E-3</v>
      </c>
      <c r="F45" s="1">
        <f t="shared" si="31"/>
        <v>6.153681876681607</v>
      </c>
      <c r="H45" s="9">
        <f t="shared" si="12"/>
        <v>3.325367900162135E-4</v>
      </c>
      <c r="I45" s="155">
        <f t="shared" si="13"/>
        <v>3.3253679023713037E-4</v>
      </c>
      <c r="J45" s="153">
        <f t="shared" si="14"/>
        <v>2.2863545520908551E-2</v>
      </c>
      <c r="K45" s="9">
        <f t="shared" si="15"/>
        <v>1.0000000092150598</v>
      </c>
      <c r="L45" s="4">
        <f t="shared" si="16"/>
        <v>0.11843603508575973</v>
      </c>
      <c r="M45" s="4">
        <f t="shared" si="17"/>
        <v>-1.8926418867823612E-2</v>
      </c>
      <c r="N45" s="4">
        <f t="shared" si="18"/>
        <v>24.999712177080152</v>
      </c>
      <c r="O45" s="5">
        <f t="shared" si="19"/>
        <v>2.1105009647910906</v>
      </c>
      <c r="P45" s="5">
        <f t="shared" si="20"/>
        <v>2.9184312903984022</v>
      </c>
      <c r="Q45" s="5">
        <f t="shared" si="21"/>
        <v>3699.9782745573325</v>
      </c>
      <c r="S45" s="4">
        <f t="shared" si="4"/>
        <v>0.11843603508575962</v>
      </c>
      <c r="T45" s="4">
        <f t="shared" si="5"/>
        <v>-1.8926418867823536E-2</v>
      </c>
      <c r="U45" s="4">
        <f t="shared" si="6"/>
        <v>24.999712177080255</v>
      </c>
      <c r="V45" s="6">
        <f t="shared" si="22"/>
        <v>24.999999884811853</v>
      </c>
      <c r="W45" s="86">
        <f t="shared" si="23"/>
        <v>3.3253678552824795E-4</v>
      </c>
      <c r="X45" s="9">
        <f t="shared" si="24"/>
        <v>1.0000000092150596</v>
      </c>
      <c r="Y45" s="4">
        <f t="shared" si="25"/>
        <v>25.000000000000099</v>
      </c>
      <c r="Z45" s="1">
        <f t="shared" si="26"/>
        <v>4.8869219056764113E-3</v>
      </c>
      <c r="AA45" s="86">
        <f t="shared" si="27"/>
        <v>0.12950343064291236</v>
      </c>
      <c r="AB45" s="86">
        <f t="shared" si="28"/>
        <v>-0.12950343078037199</v>
      </c>
      <c r="AC45" s="1">
        <f t="shared" si="7"/>
        <v>-0.12950343064291236</v>
      </c>
      <c r="AD45" s="5">
        <f t="shared" si="8"/>
        <v>3699.9999999999991</v>
      </c>
      <c r="AE45" s="5">
        <f t="shared" si="0"/>
        <v>0.28000000000528774</v>
      </c>
      <c r="AF45" s="5">
        <f t="shared" si="9"/>
        <v>352.57999999169596</v>
      </c>
      <c r="AH45" s="22">
        <f t="shared" si="10"/>
        <v>9.0949470177292824E-13</v>
      </c>
      <c r="AI45" s="22">
        <f t="shared" si="11"/>
        <v>5.2877147105334643E-12</v>
      </c>
      <c r="AJ45" s="87">
        <f t="shared" si="29"/>
        <v>8.3040276876999997E-9</v>
      </c>
    </row>
    <row r="46" spans="1:36" x14ac:dyDescent="0.2">
      <c r="A46" s="3">
        <v>3725</v>
      </c>
      <c r="B46" s="3">
        <v>0.32</v>
      </c>
      <c r="C46" s="3">
        <v>4.55</v>
      </c>
      <c r="E46" s="1">
        <f t="shared" si="30"/>
        <v>5.5850536063818549E-3</v>
      </c>
      <c r="F46" s="1">
        <f t="shared" si="31"/>
        <v>7.9412480965741994E-2</v>
      </c>
      <c r="H46" s="9">
        <f t="shared" si="12"/>
        <v>1.2939507581344323E-3</v>
      </c>
      <c r="I46" s="155">
        <f t="shared" si="13"/>
        <v>1.2939507581438811E-3</v>
      </c>
      <c r="J46" s="153">
        <f t="shared" si="14"/>
        <v>8.8965500806627379E-2</v>
      </c>
      <c r="K46" s="9">
        <f t="shared" si="15"/>
        <v>1.000000139525737</v>
      </c>
      <c r="L46" s="4">
        <f t="shared" si="16"/>
        <v>0.13016756218129669</v>
      </c>
      <c r="M46" s="4">
        <f t="shared" si="17"/>
        <v>-2.3506063619522155E-3</v>
      </c>
      <c r="N46" s="4">
        <f t="shared" si="18"/>
        <v>24.999659271214863</v>
      </c>
      <c r="O46" s="5">
        <f t="shared" si="19"/>
        <v>2.2406685269723874</v>
      </c>
      <c r="P46" s="5">
        <f t="shared" si="20"/>
        <v>2.9160806840364502</v>
      </c>
      <c r="Q46" s="5">
        <f t="shared" si="21"/>
        <v>3724.9779338285475</v>
      </c>
      <c r="S46" s="4">
        <f t="shared" si="4"/>
        <v>0.13016756218129677</v>
      </c>
      <c r="T46" s="4">
        <f t="shared" si="5"/>
        <v>-2.3506063619520567E-3</v>
      </c>
      <c r="U46" s="4">
        <f t="shared" si="6"/>
        <v>24.999659271215023</v>
      </c>
      <c r="V46" s="6">
        <f t="shared" si="22"/>
        <v>24.999998255928773</v>
      </c>
      <c r="W46" s="86">
        <f t="shared" si="23"/>
        <v>1.2939507591589461E-3</v>
      </c>
      <c r="X46" s="9">
        <f t="shared" si="24"/>
        <v>1.0000001395257372</v>
      </c>
      <c r="Y46" s="4">
        <f t="shared" si="25"/>
        <v>25.000000000000163</v>
      </c>
      <c r="Z46" s="1">
        <f t="shared" si="26"/>
        <v>5.5850536064137035E-3</v>
      </c>
      <c r="AA46" s="86">
        <f t="shared" si="27"/>
        <v>7.9412481037650862E-2</v>
      </c>
      <c r="AB46" s="86">
        <f t="shared" si="28"/>
        <v>7.9412481093583481E-2</v>
      </c>
      <c r="AC46" s="1">
        <f t="shared" si="7"/>
        <v>7.9412481037650862E-2</v>
      </c>
      <c r="AD46" s="5">
        <f t="shared" si="8"/>
        <v>3724.9999999999991</v>
      </c>
      <c r="AE46" s="5">
        <f t="shared" si="0"/>
        <v>0.32000000000182482</v>
      </c>
      <c r="AF46" s="5">
        <f t="shared" si="9"/>
        <v>4.5500000041200748</v>
      </c>
      <c r="AH46" s="22">
        <f t="shared" si="10"/>
        <v>9.0949470177292824E-13</v>
      </c>
      <c r="AI46" s="22">
        <f t="shared" si="11"/>
        <v>1.8248180744251385E-12</v>
      </c>
      <c r="AJ46" s="87">
        <f t="shared" si="29"/>
        <v>4.1200749478775833E-9</v>
      </c>
    </row>
    <row r="47" spans="1:36" x14ac:dyDescent="0.2">
      <c r="A47" s="3">
        <v>3750</v>
      </c>
      <c r="B47" s="3">
        <v>0.25</v>
      </c>
      <c r="C47" s="3">
        <v>0.23</v>
      </c>
      <c r="E47" s="1">
        <f t="shared" si="30"/>
        <v>4.3633231299858239E-3</v>
      </c>
      <c r="F47" s="1">
        <f t="shared" si="31"/>
        <v>4.014257279586958E-3</v>
      </c>
      <c r="H47" s="9">
        <f t="shared" si="12"/>
        <v>1.2771436838776573E-3</v>
      </c>
      <c r="I47" s="155">
        <f t="shared" si="13"/>
        <v>1.2771436838691951E-3</v>
      </c>
      <c r="J47" s="153">
        <f t="shared" si="14"/>
        <v>8.7809931501575955E-2</v>
      </c>
      <c r="K47" s="9">
        <f t="shared" si="15"/>
        <v>1.0000001359246879</v>
      </c>
      <c r="L47" s="4">
        <f t="shared" si="16"/>
        <v>0.12413373455884136</v>
      </c>
      <c r="M47" s="4">
        <f t="shared" si="17"/>
        <v>5.7571262563921016E-3</v>
      </c>
      <c r="N47" s="4">
        <f t="shared" si="18"/>
        <v>24.99968945244181</v>
      </c>
      <c r="O47" s="5">
        <f t="shared" si="19"/>
        <v>2.3648022615312287</v>
      </c>
      <c r="P47" s="5">
        <f t="shared" si="20"/>
        <v>2.9218378102928422</v>
      </c>
      <c r="Q47" s="5">
        <f t="shared" si="21"/>
        <v>3749.9776232809895</v>
      </c>
      <c r="S47" s="4">
        <f t="shared" si="4"/>
        <v>0.12413373455884136</v>
      </c>
      <c r="T47" s="4">
        <f t="shared" si="5"/>
        <v>5.75712625639202E-3</v>
      </c>
      <c r="U47" s="4">
        <f t="shared" si="6"/>
        <v>24.999689452441999</v>
      </c>
      <c r="V47" s="6">
        <f t="shared" si="22"/>
        <v>24.9999983009419</v>
      </c>
      <c r="W47" s="86">
        <f t="shared" si="23"/>
        <v>1.2771436838900918E-3</v>
      </c>
      <c r="X47" s="9">
        <f t="shared" si="24"/>
        <v>1.0000001359246879</v>
      </c>
      <c r="Y47" s="4">
        <f t="shared" si="25"/>
        <v>25.000000000000185</v>
      </c>
      <c r="Z47" s="1">
        <f t="shared" si="26"/>
        <v>4.3633231298323416E-3</v>
      </c>
      <c r="AA47" s="86">
        <f t="shared" si="27"/>
        <v>4.0142485147989238E-3</v>
      </c>
      <c r="AB47" s="86">
        <f t="shared" si="28"/>
        <v>4.0142571873930007E-3</v>
      </c>
      <c r="AC47" s="1">
        <f t="shared" si="7"/>
        <v>4.0142485147989238E-3</v>
      </c>
      <c r="AD47" s="5">
        <f t="shared" si="8"/>
        <v>3749.9999999999991</v>
      </c>
      <c r="AE47" s="5">
        <f t="shared" si="0"/>
        <v>0.24999999999120612</v>
      </c>
      <c r="AF47" s="5">
        <f t="shared" si="9"/>
        <v>0.22999949781463733</v>
      </c>
      <c r="AH47" s="22">
        <f t="shared" si="10"/>
        <v>9.0949470177292824E-13</v>
      </c>
      <c r="AI47" s="22">
        <f t="shared" si="11"/>
        <v>8.7938822890265556E-12</v>
      </c>
      <c r="AJ47" s="87">
        <f t="shared" si="29"/>
        <v>5.0218536268298308E-7</v>
      </c>
    </row>
    <row r="48" spans="1:36" x14ac:dyDescent="0.2">
      <c r="A48" s="3">
        <v>3775</v>
      </c>
      <c r="B48" s="3">
        <v>0.56999999999999995</v>
      </c>
      <c r="C48" s="3">
        <v>15.48</v>
      </c>
      <c r="E48" s="1">
        <f t="shared" si="30"/>
        <v>9.948376736367677E-3</v>
      </c>
      <c r="F48" s="1">
        <f t="shared" si="31"/>
        <v>0.27017696820872222</v>
      </c>
      <c r="H48" s="9">
        <f t="shared" si="12"/>
        <v>5.8523331057929173E-3</v>
      </c>
      <c r="I48" s="155">
        <f t="shared" si="13"/>
        <v>5.8523331058096427E-3</v>
      </c>
      <c r="J48" s="153">
        <f t="shared" si="14"/>
        <v>0.40237678471994792</v>
      </c>
      <c r="K48" s="9">
        <f t="shared" si="15"/>
        <v>1.0000028541600072</v>
      </c>
      <c r="L48" s="4">
        <f t="shared" si="16"/>
        <v>0.17438302528195682</v>
      </c>
      <c r="M48" s="4">
        <f t="shared" si="17"/>
        <v>3.3409009634164849E-2</v>
      </c>
      <c r="N48" s="4">
        <f t="shared" si="18"/>
        <v>24.999333802257819</v>
      </c>
      <c r="O48" s="5">
        <f t="shared" si="19"/>
        <v>2.5391852868131854</v>
      </c>
      <c r="P48" s="5">
        <f t="shared" si="20"/>
        <v>2.955246819927007</v>
      </c>
      <c r="Q48" s="5">
        <f t="shared" si="21"/>
        <v>3774.9769570832473</v>
      </c>
      <c r="S48" s="4">
        <f t="shared" si="4"/>
        <v>0.17438302528195671</v>
      </c>
      <c r="T48" s="4">
        <f t="shared" si="5"/>
        <v>3.3409009634164821E-2</v>
      </c>
      <c r="U48" s="4">
        <f t="shared" si="6"/>
        <v>24.999333802257752</v>
      </c>
      <c r="V48" s="6">
        <f t="shared" si="22"/>
        <v>24.999964323137309</v>
      </c>
      <c r="W48" s="86">
        <f t="shared" si="23"/>
        <v>5.8523331402917655E-3</v>
      </c>
      <c r="X48" s="9">
        <f t="shared" si="24"/>
        <v>1.000002854160041</v>
      </c>
      <c r="Y48" s="4">
        <f t="shared" si="25"/>
        <v>25.000000000000352</v>
      </c>
      <c r="Z48" s="1">
        <f t="shared" si="26"/>
        <v>9.9483767466117534E-3</v>
      </c>
      <c r="AA48" s="86">
        <f t="shared" si="27"/>
        <v>0.27017697192697021</v>
      </c>
      <c r="AB48" s="86">
        <f t="shared" si="28"/>
        <v>0.27017697191253098</v>
      </c>
      <c r="AC48" s="1">
        <f t="shared" si="7"/>
        <v>0.27017697192697021</v>
      </c>
      <c r="AD48" s="5">
        <f t="shared" si="8"/>
        <v>3774.9999999999995</v>
      </c>
      <c r="AE48" s="5">
        <f t="shared" si="0"/>
        <v>0.57000000058694222</v>
      </c>
      <c r="AF48" s="5">
        <f t="shared" si="9"/>
        <v>15.480000213039917</v>
      </c>
      <c r="AH48" s="22">
        <f t="shared" si="10"/>
        <v>4.5474735088646412E-13</v>
      </c>
      <c r="AI48" s="22">
        <f t="shared" si="11"/>
        <v>5.8694227256239628E-10</v>
      </c>
      <c r="AJ48" s="87">
        <f t="shared" si="29"/>
        <v>2.1303991637466879E-7</v>
      </c>
    </row>
    <row r="49" spans="1:36" x14ac:dyDescent="0.2">
      <c r="A49" s="3">
        <v>3800</v>
      </c>
      <c r="B49" s="3">
        <v>0.38</v>
      </c>
      <c r="C49" s="3">
        <v>5.03</v>
      </c>
      <c r="E49" s="1">
        <f t="shared" si="30"/>
        <v>6.6322511575784525E-3</v>
      </c>
      <c r="F49" s="1">
        <f t="shared" si="31"/>
        <v>8.7790061375314782E-2</v>
      </c>
      <c r="H49" s="9">
        <f t="shared" si="12"/>
        <v>3.6311694636184111E-3</v>
      </c>
      <c r="I49" s="155">
        <f t="shared" si="13"/>
        <v>3.6311694636127069E-3</v>
      </c>
      <c r="J49" s="153">
        <f t="shared" si="14"/>
        <v>0.24966082195454148</v>
      </c>
      <c r="K49" s="9">
        <f t="shared" si="15"/>
        <v>1.0000010987840884</v>
      </c>
      <c r="L49" s="4">
        <f t="shared" si="16"/>
        <v>0.2024250913622993</v>
      </c>
      <c r="M49" s="4">
        <f t="shared" si="17"/>
        <v>4.0458689465545164E-2</v>
      </c>
      <c r="N49" s="4">
        <f t="shared" si="18"/>
        <v>24.999133993760385</v>
      </c>
      <c r="O49" s="5">
        <f t="shared" si="19"/>
        <v>2.7416103781754848</v>
      </c>
      <c r="P49" s="5">
        <f t="shared" si="20"/>
        <v>2.9957055093925522</v>
      </c>
      <c r="Q49" s="5">
        <f t="shared" si="21"/>
        <v>3799.9760910770078</v>
      </c>
      <c r="S49" s="4">
        <f t="shared" si="4"/>
        <v>0.20242509136229936</v>
      </c>
      <c r="T49" s="4">
        <f t="shared" si="5"/>
        <v>4.0458689465545206E-2</v>
      </c>
      <c r="U49" s="4">
        <f t="shared" si="6"/>
        <v>24.999133993760552</v>
      </c>
      <c r="V49" s="6">
        <f t="shared" si="22"/>
        <v>24.999986265219441</v>
      </c>
      <c r="W49" s="86">
        <f t="shared" si="23"/>
        <v>3.6311695075337269E-3</v>
      </c>
      <c r="X49" s="9">
        <f t="shared" si="24"/>
        <v>1.0000010987841148</v>
      </c>
      <c r="Y49" s="4">
        <f t="shared" si="25"/>
        <v>25.000000000000501</v>
      </c>
      <c r="Z49" s="1">
        <f t="shared" si="26"/>
        <v>6.632251154199853E-3</v>
      </c>
      <c r="AA49" s="86">
        <f t="shared" si="27"/>
        <v>8.77900555876725E-2</v>
      </c>
      <c r="AB49" s="86">
        <f t="shared" si="28"/>
        <v>8.7790055610524179E-2</v>
      </c>
      <c r="AC49" s="1">
        <f t="shared" si="7"/>
        <v>8.77900555876725E-2</v>
      </c>
      <c r="AD49" s="5">
        <f t="shared" si="8"/>
        <v>3800</v>
      </c>
      <c r="AE49" s="5">
        <f t="shared" si="0"/>
        <v>0.37999999980642052</v>
      </c>
      <c r="AF49" s="5">
        <f t="shared" si="9"/>
        <v>5.0299996683925245</v>
      </c>
      <c r="AH49" s="22">
        <f t="shared" si="10"/>
        <v>0</v>
      </c>
      <c r="AI49" s="22">
        <f t="shared" si="11"/>
        <v>1.9357948577436446E-10</v>
      </c>
      <c r="AJ49" s="87">
        <f t="shared" si="29"/>
        <v>3.3160747570093463E-7</v>
      </c>
    </row>
    <row r="50" spans="1:36" x14ac:dyDescent="0.2">
      <c r="A50" s="3">
        <v>3825</v>
      </c>
      <c r="B50" s="3">
        <v>0.4</v>
      </c>
      <c r="C50" s="3">
        <v>3.67</v>
      </c>
      <c r="E50" s="1">
        <f t="shared" si="30"/>
        <v>6.9813170079773184E-3</v>
      </c>
      <c r="F50" s="1">
        <f t="shared" si="31"/>
        <v>6.4053583548191892E-2</v>
      </c>
      <c r="H50" s="9">
        <f t="shared" si="12"/>
        <v>3.8462026105245961E-4</v>
      </c>
      <c r="I50" s="155">
        <f t="shared" si="13"/>
        <v>3.8462026104433037E-4</v>
      </c>
      <c r="J50" s="153">
        <f t="shared" si="14"/>
        <v>2.6444541208231066E-2</v>
      </c>
      <c r="K50" s="9">
        <f t="shared" si="15"/>
        <v>1.0000000123277288</v>
      </c>
      <c r="L50" s="4">
        <f t="shared" si="16"/>
        <v>0.16967006534982715</v>
      </c>
      <c r="M50" s="4">
        <f t="shared" si="17"/>
        <v>1.2854536124328826E-2</v>
      </c>
      <c r="N50" s="4">
        <f t="shared" si="18"/>
        <v>24.999420775789879</v>
      </c>
      <c r="O50" s="5">
        <f t="shared" si="19"/>
        <v>2.9112804435253121</v>
      </c>
      <c r="P50" s="5">
        <f t="shared" si="20"/>
        <v>3.0085600455168811</v>
      </c>
      <c r="Q50" s="5">
        <f t="shared" si="21"/>
        <v>3824.9755118527978</v>
      </c>
      <c r="S50" s="4">
        <f t="shared" si="4"/>
        <v>0.16967006534982731</v>
      </c>
      <c r="T50" s="4">
        <f t="shared" si="5"/>
        <v>1.2854536124328853E-2</v>
      </c>
      <c r="U50" s="4">
        <f t="shared" si="6"/>
        <v>24.999420775789986</v>
      </c>
      <c r="V50" s="6">
        <f t="shared" si="22"/>
        <v>24.999999845903492</v>
      </c>
      <c r="W50" s="86">
        <f t="shared" si="23"/>
        <v>3.8462023387264566E-4</v>
      </c>
      <c r="X50" s="9">
        <f t="shared" si="24"/>
        <v>1.0000000123277273</v>
      </c>
      <c r="Y50" s="4">
        <f t="shared" si="25"/>
        <v>25.000000000000078</v>
      </c>
      <c r="Z50" s="1">
        <f t="shared" si="26"/>
        <v>6.981317010416932E-3</v>
      </c>
      <c r="AA50" s="86">
        <f t="shared" si="27"/>
        <v>6.4053588996150657E-2</v>
      </c>
      <c r="AB50" s="86">
        <f t="shared" si="28"/>
        <v>6.4053589056641533E-2</v>
      </c>
      <c r="AC50" s="1">
        <f t="shared" si="7"/>
        <v>6.4053588996150657E-2</v>
      </c>
      <c r="AD50" s="5">
        <f t="shared" si="8"/>
        <v>3825</v>
      </c>
      <c r="AE50" s="5">
        <f t="shared" si="0"/>
        <v>0.4000000001397796</v>
      </c>
      <c r="AF50" s="5">
        <f t="shared" si="9"/>
        <v>3.670000312145044</v>
      </c>
      <c r="AH50" s="22">
        <f t="shared" si="10"/>
        <v>0</v>
      </c>
      <c r="AI50" s="22">
        <f t="shared" si="11"/>
        <v>1.3977957680211262E-10</v>
      </c>
      <c r="AJ50" s="87">
        <f t="shared" si="29"/>
        <v>3.1214504403465071E-7</v>
      </c>
    </row>
    <row r="51" spans="1:36" x14ac:dyDescent="0.2">
      <c r="A51" s="3">
        <v>3850</v>
      </c>
      <c r="B51" s="3">
        <v>0.42</v>
      </c>
      <c r="C51" s="3">
        <v>8.48</v>
      </c>
      <c r="E51" s="1">
        <f t="shared" si="30"/>
        <v>7.3303828583761842E-3</v>
      </c>
      <c r="F51" s="1">
        <f t="shared" si="31"/>
        <v>0.14800392056911915</v>
      </c>
      <c r="H51" s="9">
        <f t="shared" si="12"/>
        <v>6.9447687582413486E-4</v>
      </c>
      <c r="I51" s="155">
        <f t="shared" si="13"/>
        <v>6.9447687574538514E-4</v>
      </c>
      <c r="J51" s="153">
        <f t="shared" si="14"/>
        <v>4.7748712744984656E-2</v>
      </c>
      <c r="K51" s="9">
        <f t="shared" si="15"/>
        <v>1.0000000401915128</v>
      </c>
      <c r="L51" s="4">
        <f t="shared" si="16"/>
        <v>0.17771402455368704</v>
      </c>
      <c r="M51" s="4">
        <f t="shared" si="17"/>
        <v>1.9097852847275398E-2</v>
      </c>
      <c r="N51" s="4">
        <f t="shared" si="18"/>
        <v>24.99936054937805</v>
      </c>
      <c r="O51" s="5">
        <f t="shared" si="19"/>
        <v>3.0889944680789991</v>
      </c>
      <c r="P51" s="5">
        <f t="shared" si="20"/>
        <v>3.0276578983641564</v>
      </c>
      <c r="Q51" s="5">
        <f t="shared" si="21"/>
        <v>3849.9748724021761</v>
      </c>
      <c r="S51" s="4">
        <f t="shared" si="4"/>
        <v>0.17771402455368701</v>
      </c>
      <c r="T51" s="4">
        <f t="shared" si="5"/>
        <v>1.9097852847275387E-2</v>
      </c>
      <c r="U51" s="4">
        <f t="shared" si="6"/>
        <v>24.999360549378252</v>
      </c>
      <c r="V51" s="6">
        <f t="shared" si="22"/>
        <v>24.999999497606318</v>
      </c>
      <c r="W51" s="86">
        <f t="shared" si="23"/>
        <v>6.9447680652690025E-4</v>
      </c>
      <c r="X51" s="9">
        <f t="shared" si="24"/>
        <v>1.0000000401915048</v>
      </c>
      <c r="Y51" s="4">
        <f t="shared" si="25"/>
        <v>25.000000000000099</v>
      </c>
      <c r="Z51" s="1">
        <f t="shared" si="26"/>
        <v>7.3303828527495618E-3</v>
      </c>
      <c r="AA51" s="86">
        <f t="shared" si="27"/>
        <v>0.14800391542092539</v>
      </c>
      <c r="AB51" s="86">
        <f t="shared" si="28"/>
        <v>0.14800391542689087</v>
      </c>
      <c r="AC51" s="1">
        <f t="shared" si="7"/>
        <v>0.14800391542092539</v>
      </c>
      <c r="AD51" s="5">
        <f t="shared" si="8"/>
        <v>3850</v>
      </c>
      <c r="AE51" s="5">
        <f t="shared" si="0"/>
        <v>0.41999999967761831</v>
      </c>
      <c r="AF51" s="5">
        <f t="shared" si="9"/>
        <v>8.4799997050302256</v>
      </c>
      <c r="AH51" s="22">
        <f t="shared" si="10"/>
        <v>0</v>
      </c>
      <c r="AI51" s="22">
        <f t="shared" si="11"/>
        <v>3.2238167690934461E-10</v>
      </c>
      <c r="AJ51" s="87">
        <f t="shared" si="29"/>
        <v>2.949697748277913E-7</v>
      </c>
    </row>
    <row r="52" spans="1:36" x14ac:dyDescent="0.2">
      <c r="A52" s="3">
        <v>3875</v>
      </c>
      <c r="B52" s="3">
        <v>0.42</v>
      </c>
      <c r="C52" s="3">
        <v>6.85</v>
      </c>
      <c r="E52" s="1">
        <f t="shared" si="30"/>
        <v>7.3303828583761842E-3</v>
      </c>
      <c r="F52" s="1">
        <f t="shared" si="31"/>
        <v>0.11955505376161157</v>
      </c>
      <c r="H52" s="9">
        <f t="shared" si="12"/>
        <v>2.0853218589445E-4</v>
      </c>
      <c r="I52" s="155">
        <f t="shared" si="13"/>
        <v>2.0853218595111409E-4</v>
      </c>
      <c r="J52" s="153">
        <f t="shared" si="14"/>
        <v>1.4337616973267402E-2</v>
      </c>
      <c r="K52" s="9">
        <f t="shared" si="15"/>
        <v>1.0000000036238059</v>
      </c>
      <c r="L52" s="4">
        <f t="shared" si="16"/>
        <v>0.18160212231966852</v>
      </c>
      <c r="M52" s="4">
        <f t="shared" si="17"/>
        <v>2.44406172303087E-2</v>
      </c>
      <c r="N52" s="4">
        <f t="shared" si="18"/>
        <v>24.999328412189787</v>
      </c>
      <c r="O52" s="5">
        <f t="shared" si="19"/>
        <v>3.2705965903986676</v>
      </c>
      <c r="P52" s="5">
        <f t="shared" si="20"/>
        <v>3.0520985155944653</v>
      </c>
      <c r="Q52" s="5">
        <f t="shared" si="21"/>
        <v>3874.9742008143658</v>
      </c>
      <c r="S52" s="4">
        <f t="shared" si="4"/>
        <v>0.18160212231966844</v>
      </c>
      <c r="T52" s="4">
        <f t="shared" si="5"/>
        <v>2.4440617230308881E-2</v>
      </c>
      <c r="U52" s="4">
        <f t="shared" si="6"/>
        <v>24.999328412189698</v>
      </c>
      <c r="V52" s="6">
        <f t="shared" si="22"/>
        <v>24.999999954702332</v>
      </c>
      <c r="W52" s="86">
        <f t="shared" si="23"/>
        <v>2.0853211001004013E-4</v>
      </c>
      <c r="X52" s="9">
        <f t="shared" si="24"/>
        <v>1.0000000036238035</v>
      </c>
      <c r="Y52" s="4">
        <f t="shared" si="25"/>
        <v>24.999999999999872</v>
      </c>
      <c r="Z52" s="1">
        <f t="shared" si="26"/>
        <v>7.3303828628972223E-3</v>
      </c>
      <c r="AA52" s="86">
        <f t="shared" si="27"/>
        <v>0.11955505889557028</v>
      </c>
      <c r="AB52" s="86">
        <f t="shared" si="28"/>
        <v>0.11955505893004821</v>
      </c>
      <c r="AC52" s="1">
        <f t="shared" si="7"/>
        <v>0.11955505889557028</v>
      </c>
      <c r="AD52" s="5">
        <f t="shared" si="8"/>
        <v>3875</v>
      </c>
      <c r="AE52" s="5">
        <f t="shared" si="0"/>
        <v>0.42000000025903639</v>
      </c>
      <c r="AF52" s="5">
        <f t="shared" si="9"/>
        <v>6.8500002941541656</v>
      </c>
      <c r="AH52" s="22">
        <f t="shared" si="10"/>
        <v>0</v>
      </c>
      <c r="AI52" s="22">
        <f t="shared" si="11"/>
        <v>2.5903640343827306E-10</v>
      </c>
      <c r="AJ52" s="87">
        <f t="shared" si="29"/>
        <v>2.9415416591405119E-7</v>
      </c>
    </row>
    <row r="53" spans="1:36" x14ac:dyDescent="0.2">
      <c r="A53" s="3">
        <v>3900</v>
      </c>
      <c r="B53" s="3">
        <v>0.38</v>
      </c>
      <c r="C53" s="3">
        <v>357.23</v>
      </c>
      <c r="E53" s="1">
        <f t="shared" si="30"/>
        <v>6.6322511575784525E-3</v>
      </c>
      <c r="F53" s="1">
        <f t="shared" si="31"/>
        <v>6.2348396868993436</v>
      </c>
      <c r="H53" s="9">
        <f t="shared" si="12"/>
        <v>1.3618706506608458E-3</v>
      </c>
      <c r="I53" s="155">
        <f t="shared" si="13"/>
        <v>1.3618706506367886E-3</v>
      </c>
      <c r="J53" s="153">
        <f t="shared" si="14"/>
        <v>9.3635328630722145E-2</v>
      </c>
      <c r="K53" s="9">
        <f t="shared" si="15"/>
        <v>1.0000001545576678</v>
      </c>
      <c r="L53" s="4">
        <f t="shared" si="16"/>
        <v>0.17378059294461598</v>
      </c>
      <c r="M53" s="4">
        <f t="shared" si="17"/>
        <v>6.9222156851500996E-3</v>
      </c>
      <c r="N53" s="4">
        <f t="shared" si="18"/>
        <v>24.999393108432198</v>
      </c>
      <c r="O53" s="5">
        <f t="shared" si="19"/>
        <v>3.4443771833432835</v>
      </c>
      <c r="P53" s="5">
        <f t="shared" si="20"/>
        <v>3.0590207312796154</v>
      </c>
      <c r="Q53" s="5">
        <f t="shared" si="21"/>
        <v>3899.973593922798</v>
      </c>
      <c r="S53" s="4">
        <f t="shared" si="4"/>
        <v>0.1737805929446159</v>
      </c>
      <c r="T53" s="4">
        <f t="shared" si="5"/>
        <v>6.9222156851500571E-3</v>
      </c>
      <c r="U53" s="4">
        <f t="shared" si="6"/>
        <v>24.999393108432287</v>
      </c>
      <c r="V53" s="6">
        <f t="shared" si="22"/>
        <v>24.999998068029644</v>
      </c>
      <c r="W53" s="86">
        <f t="shared" si="23"/>
        <v>1.3618707175706568E-3</v>
      </c>
      <c r="X53" s="9">
        <f t="shared" si="24"/>
        <v>1.0000001545576831</v>
      </c>
      <c r="Y53" s="4">
        <f t="shared" si="25"/>
        <v>25.000000000000277</v>
      </c>
      <c r="Z53" s="1">
        <f t="shared" si="26"/>
        <v>6.6322511594896216E-3</v>
      </c>
      <c r="AA53" s="86">
        <f t="shared" si="27"/>
        <v>4.8345626237395578E-2</v>
      </c>
      <c r="AB53" s="86">
        <f t="shared" si="28"/>
        <v>-4.8345625988152521E-2</v>
      </c>
      <c r="AC53" s="1">
        <f t="shared" si="7"/>
        <v>-4.8345626237395578E-2</v>
      </c>
      <c r="AD53" s="5">
        <f t="shared" si="8"/>
        <v>3900.0000000000005</v>
      </c>
      <c r="AE53" s="5">
        <f t="shared" ref="AE53:AE84" si="32">DEGREES(Z53)</f>
        <v>0.38000000010950197</v>
      </c>
      <c r="AF53" s="5">
        <f t="shared" si="9"/>
        <v>357.2299996586803</v>
      </c>
      <c r="AH53" s="22">
        <f t="shared" si="10"/>
        <v>4.5474735088646412E-13</v>
      </c>
      <c r="AI53" s="22">
        <f t="shared" si="11"/>
        <v>1.0950196305259396E-10</v>
      </c>
      <c r="AJ53" s="87">
        <f t="shared" si="29"/>
        <v>3.4131971915485337E-7</v>
      </c>
    </row>
    <row r="54" spans="1:36" x14ac:dyDescent="0.2">
      <c r="A54" s="3">
        <v>3925</v>
      </c>
      <c r="B54" s="3">
        <v>0.33</v>
      </c>
      <c r="C54" s="3">
        <v>354.12</v>
      </c>
      <c r="E54" s="1">
        <f t="shared" si="30"/>
        <v>5.7595865315812874E-3</v>
      </c>
      <c r="F54" s="1">
        <f t="shared" si="31"/>
        <v>6.1805599471623198</v>
      </c>
      <c r="H54" s="9">
        <f t="shared" si="12"/>
        <v>9.3491170561033066E-4</v>
      </c>
      <c r="I54" s="155">
        <f t="shared" si="13"/>
        <v>9.3491170557899407E-4</v>
      </c>
      <c r="J54" s="153">
        <f t="shared" si="14"/>
        <v>6.4279793938619087E-2</v>
      </c>
      <c r="K54" s="9">
        <f t="shared" si="15"/>
        <v>1.0000000728383311</v>
      </c>
      <c r="L54" s="4">
        <f t="shared" si="16"/>
        <v>0.15442132262653907</v>
      </c>
      <c r="M54" s="4">
        <f t="shared" si="17"/>
        <v>-1.13819063616816E-2</v>
      </c>
      <c r="N54" s="4">
        <f t="shared" si="18"/>
        <v>24.999519575051323</v>
      </c>
      <c r="O54" s="5">
        <f t="shared" si="19"/>
        <v>3.5987985059698224</v>
      </c>
      <c r="P54" s="5">
        <f t="shared" si="20"/>
        <v>3.0476388249179336</v>
      </c>
      <c r="Q54" s="5">
        <f t="shared" si="21"/>
        <v>3924.9731134978492</v>
      </c>
      <c r="S54" s="4">
        <f t="shared" si="4"/>
        <v>0.15442132262653896</v>
      </c>
      <c r="T54" s="4">
        <f t="shared" si="5"/>
        <v>-1.1381906361681793E-2</v>
      </c>
      <c r="U54" s="4">
        <f t="shared" si="6"/>
        <v>24.999519575051181</v>
      </c>
      <c r="V54" s="6">
        <f t="shared" si="22"/>
        <v>24.999999089520809</v>
      </c>
      <c r="W54" s="86">
        <f t="shared" si="23"/>
        <v>9.3491168280479542E-4</v>
      </c>
      <c r="X54" s="9">
        <f t="shared" si="24"/>
        <v>1.0000000728383276</v>
      </c>
      <c r="Y54" s="4">
        <f t="shared" si="25"/>
        <v>24.999999999999815</v>
      </c>
      <c r="Z54" s="1">
        <f t="shared" si="26"/>
        <v>5.7595865275141822E-3</v>
      </c>
      <c r="AA54" s="86">
        <f t="shared" si="27"/>
        <v>0.10262535315973209</v>
      </c>
      <c r="AB54" s="86">
        <f t="shared" si="28"/>
        <v>-0.10262535318590936</v>
      </c>
      <c r="AC54" s="1">
        <f t="shared" ref="AC54:AC85" si="33">IF(Z54&lt;0.000001, 0, SIGN(AB54)*AA54)</f>
        <v>-0.10262535315973209</v>
      </c>
      <c r="AD54" s="5">
        <f t="shared" ref="AD54:AD85" si="34">AD53+Y54</f>
        <v>3925.0000000000005</v>
      </c>
      <c r="AE54" s="5">
        <f t="shared" si="32"/>
        <v>0.32999999976697203</v>
      </c>
      <c r="AF54" s="5">
        <f t="shared" si="9"/>
        <v>354.1200003929078</v>
      </c>
      <c r="AH54" s="22">
        <f t="shared" si="10"/>
        <v>4.5474735088646412E-13</v>
      </c>
      <c r="AI54" s="22">
        <f t="shared" si="11"/>
        <v>2.3302798579649675E-10</v>
      </c>
      <c r="AJ54" s="87">
        <f t="shared" si="29"/>
        <v>3.9290779341172311E-7</v>
      </c>
    </row>
    <row r="55" spans="1:36" x14ac:dyDescent="0.2">
      <c r="A55" s="3">
        <v>3950</v>
      </c>
      <c r="B55" s="3">
        <v>0.28000000000000003</v>
      </c>
      <c r="C55" s="3">
        <v>341.05</v>
      </c>
      <c r="E55" s="1">
        <f t="shared" si="30"/>
        <v>4.8869219055841231E-3</v>
      </c>
      <c r="F55" s="1">
        <f t="shared" si="31"/>
        <v>5.9524454139266609</v>
      </c>
      <c r="H55" s="9">
        <f t="shared" si="12"/>
        <v>1.4899112892450272E-3</v>
      </c>
      <c r="I55" s="155">
        <f t="shared" si="13"/>
        <v>1.4899112892608902E-3</v>
      </c>
      <c r="J55" s="153">
        <f t="shared" si="14"/>
        <v>0.10243875446716237</v>
      </c>
      <c r="K55" s="9">
        <f t="shared" si="15"/>
        <v>1.0000001849863451</v>
      </c>
      <c r="L55" s="4">
        <f t="shared" si="16"/>
        <v>0.12939121518151639</v>
      </c>
      <c r="M55" s="4">
        <f t="shared" si="17"/>
        <v>-2.7212833918581321E-2</v>
      </c>
      <c r="N55" s="4">
        <f t="shared" si="18"/>
        <v>24.999648032695827</v>
      </c>
      <c r="O55" s="5">
        <f t="shared" si="19"/>
        <v>3.7281897211513386</v>
      </c>
      <c r="P55" s="5">
        <f t="shared" si="20"/>
        <v>3.0204259909993523</v>
      </c>
      <c r="Q55" s="5">
        <f t="shared" si="21"/>
        <v>3949.9727615305451</v>
      </c>
      <c r="S55" s="4">
        <f t="shared" si="4"/>
        <v>0.12939121518151619</v>
      </c>
      <c r="T55" s="4">
        <f t="shared" si="5"/>
        <v>-2.7212833918581314E-2</v>
      </c>
      <c r="U55" s="4">
        <f t="shared" si="6"/>
        <v>24.999648032695859</v>
      </c>
      <c r="V55" s="6">
        <f t="shared" si="22"/>
        <v>24.999997687671293</v>
      </c>
      <c r="W55" s="86">
        <f t="shared" si="23"/>
        <v>1.4899113423738619E-3</v>
      </c>
      <c r="X55" s="9">
        <f t="shared" si="24"/>
        <v>1.0000001849863585</v>
      </c>
      <c r="Y55" s="4">
        <f t="shared" si="25"/>
        <v>25.000000000000192</v>
      </c>
      <c r="Z55" s="1">
        <f t="shared" si="26"/>
        <v>4.886921918398679E-3</v>
      </c>
      <c r="AA55" s="86">
        <f t="shared" si="27"/>
        <v>0.33073990089047967</v>
      </c>
      <c r="AB55" s="86">
        <f t="shared" si="28"/>
        <v>-0.33073990094297778</v>
      </c>
      <c r="AC55" s="1">
        <f t="shared" si="33"/>
        <v>-0.33073990089047967</v>
      </c>
      <c r="AD55" s="5">
        <f t="shared" si="34"/>
        <v>3950.0000000000005</v>
      </c>
      <c r="AE55" s="5">
        <f t="shared" si="32"/>
        <v>0.28000000073421999</v>
      </c>
      <c r="AF55" s="5">
        <f t="shared" si="9"/>
        <v>341.04999956240039</v>
      </c>
      <c r="AH55" s="22">
        <f t="shared" si="10"/>
        <v>4.5474735088646412E-13</v>
      </c>
      <c r="AI55" s="22">
        <f t="shared" si="11"/>
        <v>7.3421996260591982E-10</v>
      </c>
      <c r="AJ55" s="87">
        <f t="shared" si="29"/>
        <v>4.3759962409239961E-7</v>
      </c>
    </row>
    <row r="56" spans="1:36" x14ac:dyDescent="0.2">
      <c r="A56" s="3">
        <v>3975</v>
      </c>
      <c r="B56" s="3">
        <v>0.27</v>
      </c>
      <c r="C56" s="3">
        <v>1.1200000000000001</v>
      </c>
      <c r="E56" s="1">
        <f t="shared" si="30"/>
        <v>4.7123889803846897E-3</v>
      </c>
      <c r="F56" s="1">
        <f t="shared" si="31"/>
        <v>1.9547687622336492E-2</v>
      </c>
      <c r="H56" s="9">
        <f t="shared" si="12"/>
        <v>1.6814771681157303E-3</v>
      </c>
      <c r="I56" s="155">
        <f t="shared" si="13"/>
        <v>1.6814771681625624E-3</v>
      </c>
      <c r="J56" s="153">
        <f t="shared" si="14"/>
        <v>0.11560985409676913</v>
      </c>
      <c r="K56" s="9">
        <f t="shared" si="15"/>
        <v>1.0000002356138555</v>
      </c>
      <c r="L56" s="4">
        <f t="shared" si="16"/>
        <v>0.11666896443269273</v>
      </c>
      <c r="M56" s="4">
        <f t="shared" si="17"/>
        <v>-1.8685964692977113E-2</v>
      </c>
      <c r="N56" s="4">
        <f t="shared" si="18"/>
        <v>24.999717836984829</v>
      </c>
      <c r="O56" s="5">
        <f t="shared" si="19"/>
        <v>3.8448586855840312</v>
      </c>
      <c r="P56" s="5">
        <f t="shared" si="20"/>
        <v>3.0017400263063752</v>
      </c>
      <c r="Q56" s="5">
        <f t="shared" si="21"/>
        <v>3974.97247936753</v>
      </c>
      <c r="S56" s="4">
        <f t="shared" si="4"/>
        <v>0.11666896443269259</v>
      </c>
      <c r="T56" s="4">
        <f t="shared" si="5"/>
        <v>-1.8685964692977119E-2</v>
      </c>
      <c r="U56" s="4">
        <f t="shared" si="6"/>
        <v>24.999717836984928</v>
      </c>
      <c r="V56" s="6">
        <f t="shared" si="22"/>
        <v>24.999997054827841</v>
      </c>
      <c r="W56" s="86">
        <f t="shared" si="23"/>
        <v>1.6814772470103989E-3</v>
      </c>
      <c r="X56" s="9">
        <f t="shared" si="24"/>
        <v>1.0000002356138775</v>
      </c>
      <c r="Y56" s="4">
        <f t="shared" si="25"/>
        <v>25.000000000000377</v>
      </c>
      <c r="Z56" s="1">
        <f t="shared" si="26"/>
        <v>4.7123889811624409E-3</v>
      </c>
      <c r="AA56" s="86">
        <f t="shared" si="27"/>
        <v>1.9547696059449615E-2</v>
      </c>
      <c r="AB56" s="86">
        <f t="shared" si="28"/>
        <v>1.9547695994954362E-2</v>
      </c>
      <c r="AC56" s="1">
        <f t="shared" si="33"/>
        <v>1.9547696059449615E-2</v>
      </c>
      <c r="AD56" s="5">
        <f t="shared" si="34"/>
        <v>3975.0000000000009</v>
      </c>
      <c r="AE56" s="5">
        <f t="shared" si="32"/>
        <v>0.27000000004456187</v>
      </c>
      <c r="AF56" s="5">
        <f t="shared" si="9"/>
        <v>1.1200004834109734</v>
      </c>
      <c r="AH56" s="22">
        <f t="shared" si="10"/>
        <v>9.0949470177292824E-13</v>
      </c>
      <c r="AI56" s="22">
        <f t="shared" si="11"/>
        <v>4.4561854206648377E-11</v>
      </c>
      <c r="AJ56" s="87">
        <f t="shared" si="29"/>
        <v>4.8341097325099724E-7</v>
      </c>
    </row>
    <row r="57" spans="1:36" x14ac:dyDescent="0.2">
      <c r="A57" s="3">
        <v>4000</v>
      </c>
      <c r="B57" s="3">
        <v>0.33</v>
      </c>
      <c r="C57" s="3">
        <v>358.2</v>
      </c>
      <c r="E57" s="1">
        <f t="shared" si="30"/>
        <v>5.7595865315812874E-3</v>
      </c>
      <c r="F57" s="1">
        <f t="shared" si="31"/>
        <v>6.2517693806436885</v>
      </c>
      <c r="H57" s="9">
        <f t="shared" si="12"/>
        <v>1.0803244581283344E-3</v>
      </c>
      <c r="I57" s="155">
        <f t="shared" si="13"/>
        <v>1.0803244581635352E-3</v>
      </c>
      <c r="J57" s="153">
        <f t="shared" si="14"/>
        <v>7.4277638346613425E-2</v>
      </c>
      <c r="K57" s="9">
        <f t="shared" si="15"/>
        <v>1.0000000972584226</v>
      </c>
      <c r="L57" s="4">
        <f t="shared" si="16"/>
        <v>0.13085231193158203</v>
      </c>
      <c r="M57" s="4">
        <f t="shared" si="17"/>
        <v>-1.1100236606501131E-3</v>
      </c>
      <c r="N57" s="4">
        <f t="shared" si="18"/>
        <v>24.999656310713654</v>
      </c>
      <c r="O57" s="5">
        <f t="shared" si="19"/>
        <v>3.9757109975156131</v>
      </c>
      <c r="P57" s="5">
        <f t="shared" si="20"/>
        <v>3.0006300026457251</v>
      </c>
      <c r="Q57" s="5">
        <f t="shared" si="21"/>
        <v>3999.9721356782438</v>
      </c>
      <c r="S57" s="4">
        <f t="shared" si="4"/>
        <v>0.13085231193158187</v>
      </c>
      <c r="T57" s="4">
        <f t="shared" si="5"/>
        <v>-1.1100236606500502E-3</v>
      </c>
      <c r="U57" s="4">
        <f t="shared" si="6"/>
        <v>24.999656310713817</v>
      </c>
      <c r="V57" s="6">
        <f t="shared" si="22"/>
        <v>24.999998784270041</v>
      </c>
      <c r="W57" s="86">
        <f t="shared" si="23"/>
        <v>1.0803244779209464E-3</v>
      </c>
      <c r="X57" s="9">
        <f t="shared" si="24"/>
        <v>1.0000000972584262</v>
      </c>
      <c r="Y57" s="4">
        <f t="shared" si="25"/>
        <v>25.000000000000206</v>
      </c>
      <c r="Z57" s="1">
        <f t="shared" si="26"/>
        <v>5.7595865327570994E-3</v>
      </c>
      <c r="AA57" s="86">
        <f t="shared" si="27"/>
        <v>3.1415933035187971E-2</v>
      </c>
      <c r="AB57" s="86">
        <f t="shared" si="28"/>
        <v>-3.1415933437315774E-2</v>
      </c>
      <c r="AC57" s="1">
        <f t="shared" si="33"/>
        <v>-3.1415933035187971E-2</v>
      </c>
      <c r="AD57" s="5">
        <f t="shared" si="34"/>
        <v>4000.0000000000009</v>
      </c>
      <c r="AE57" s="5">
        <f t="shared" si="32"/>
        <v>0.33000000006736907</v>
      </c>
      <c r="AF57" s="5">
        <f t="shared" si="9"/>
        <v>358.19999962761813</v>
      </c>
      <c r="AH57" s="22">
        <f t="shared" si="10"/>
        <v>9.0949470177292824E-13</v>
      </c>
      <c r="AI57" s="22">
        <f t="shared" si="11"/>
        <v>6.7369054779220505E-11</v>
      </c>
      <c r="AJ57" s="87">
        <f t="shared" si="29"/>
        <v>3.7238186223476077E-7</v>
      </c>
    </row>
    <row r="58" spans="1:36" x14ac:dyDescent="0.2">
      <c r="A58" s="3">
        <v>4025</v>
      </c>
      <c r="B58" s="3">
        <v>0.35</v>
      </c>
      <c r="C58" s="3">
        <v>342.93</v>
      </c>
      <c r="E58" s="1">
        <f t="shared" si="30"/>
        <v>6.1086523819801532E-3</v>
      </c>
      <c r="F58" s="1">
        <f t="shared" si="31"/>
        <v>5.9852576038641541</v>
      </c>
      <c r="H58" s="9">
        <f t="shared" si="12"/>
        <v>1.6143358861386847E-3</v>
      </c>
      <c r="I58" s="155">
        <f t="shared" si="13"/>
        <v>1.6143358861128352E-3</v>
      </c>
      <c r="J58" s="153">
        <f t="shared" si="14"/>
        <v>0.11099355959071014</v>
      </c>
      <c r="K58" s="9">
        <f t="shared" si="15"/>
        <v>1.0000002171734192</v>
      </c>
      <c r="L58" s="4">
        <f t="shared" si="16"/>
        <v>0.14495282319074831</v>
      </c>
      <c r="M58" s="4">
        <f t="shared" si="17"/>
        <v>-2.4675425760979929E-2</v>
      </c>
      <c r="N58" s="4">
        <f t="shared" si="18"/>
        <v>24.999564877594818</v>
      </c>
      <c r="O58" s="5">
        <f t="shared" si="19"/>
        <v>4.1206638207063611</v>
      </c>
      <c r="P58" s="5">
        <f t="shared" si="20"/>
        <v>2.9759545768847451</v>
      </c>
      <c r="Q58" s="5">
        <f t="shared" si="21"/>
        <v>4024.9717005558387</v>
      </c>
      <c r="S58" s="4">
        <f t="shared" si="4"/>
        <v>0.14495282319074798</v>
      </c>
      <c r="T58" s="4">
        <f t="shared" si="5"/>
        <v>-2.467542576098003E-2</v>
      </c>
      <c r="U58" s="4">
        <f t="shared" si="6"/>
        <v>24.999564877594821</v>
      </c>
      <c r="V58" s="6">
        <f t="shared" si="22"/>
        <v>24.999997285333055</v>
      </c>
      <c r="W58" s="86">
        <f t="shared" si="23"/>
        <v>1.6143358116798012E-3</v>
      </c>
      <c r="X58" s="9">
        <f t="shared" si="24"/>
        <v>1.0000002171733995</v>
      </c>
      <c r="Y58" s="4">
        <f t="shared" si="25"/>
        <v>24.999999999999751</v>
      </c>
      <c r="Z58" s="1">
        <f t="shared" si="26"/>
        <v>6.1086523711044727E-3</v>
      </c>
      <c r="AA58" s="86">
        <f t="shared" si="27"/>
        <v>0.29792769751700532</v>
      </c>
      <c r="AB58" s="86">
        <f t="shared" si="28"/>
        <v>-0.29792769744866943</v>
      </c>
      <c r="AC58" s="1">
        <f t="shared" si="33"/>
        <v>-0.29792769751700532</v>
      </c>
      <c r="AD58" s="5">
        <f t="shared" si="34"/>
        <v>4025.0000000000005</v>
      </c>
      <c r="AE58" s="5">
        <f t="shared" si="32"/>
        <v>0.34999999937686938</v>
      </c>
      <c r="AF58" s="5">
        <f t="shared" si="9"/>
        <v>342.9300003322254</v>
      </c>
      <c r="AH58" s="22">
        <f t="shared" si="10"/>
        <v>4.5474735088646412E-13</v>
      </c>
      <c r="AI58" s="22">
        <f t="shared" si="11"/>
        <v>6.231306026727168E-10</v>
      </c>
      <c r="AJ58" s="87">
        <f t="shared" si="29"/>
        <v>3.3222539741473156E-7</v>
      </c>
    </row>
    <row r="59" spans="1:36" x14ac:dyDescent="0.2">
      <c r="A59" s="3">
        <v>4050</v>
      </c>
      <c r="B59" s="3">
        <v>0.33</v>
      </c>
      <c r="C59" s="3">
        <v>358.65</v>
      </c>
      <c r="E59" s="1">
        <f t="shared" si="30"/>
        <v>5.7595865315812874E-3</v>
      </c>
      <c r="F59" s="1">
        <f t="shared" si="31"/>
        <v>6.2596233622776625</v>
      </c>
      <c r="H59" s="9">
        <f t="shared" si="12"/>
        <v>1.6594346334501964E-3</v>
      </c>
      <c r="I59" s="155">
        <f t="shared" si="13"/>
        <v>1.6594346334170647E-3</v>
      </c>
      <c r="J59" s="153">
        <f t="shared" si="14"/>
        <v>0.11409432104944205</v>
      </c>
      <c r="K59" s="9">
        <f t="shared" si="15"/>
        <v>1.000000229477005</v>
      </c>
      <c r="L59" s="4">
        <f t="shared" si="16"/>
        <v>0.1449683664054992</v>
      </c>
      <c r="M59" s="4">
        <f t="shared" si="17"/>
        <v>-2.4110198051038707E-2</v>
      </c>
      <c r="N59" s="4">
        <f t="shared" si="18"/>
        <v>24.999565185179041</v>
      </c>
      <c r="O59" s="5">
        <f t="shared" si="19"/>
        <v>4.2656321871118603</v>
      </c>
      <c r="P59" s="5">
        <f t="shared" si="20"/>
        <v>2.9518443788337065</v>
      </c>
      <c r="Q59" s="5">
        <f t="shared" si="21"/>
        <v>4049.9712657410178</v>
      </c>
      <c r="S59" s="4">
        <f t="shared" si="4"/>
        <v>0.14496836640549926</v>
      </c>
      <c r="T59" s="4">
        <f t="shared" si="5"/>
        <v>-2.4110198051038534E-2</v>
      </c>
      <c r="U59" s="4">
        <f t="shared" si="6"/>
        <v>24.999565185179108</v>
      </c>
      <c r="V59" s="6">
        <f t="shared" si="22"/>
        <v>24.99999713153839</v>
      </c>
      <c r="W59" s="86">
        <f t="shared" si="23"/>
        <v>1.6594345595604132E-3</v>
      </c>
      <c r="X59" s="9">
        <f t="shared" si="24"/>
        <v>1.0000002294769847</v>
      </c>
      <c r="Y59" s="4">
        <f t="shared" si="25"/>
        <v>24.999999999999808</v>
      </c>
      <c r="Z59" s="1">
        <f t="shared" si="26"/>
        <v>5.7595865324873152E-3</v>
      </c>
      <c r="AA59" s="86">
        <f t="shared" si="27"/>
        <v>2.3561951581229312E-2</v>
      </c>
      <c r="AB59" s="86">
        <f t="shared" si="28"/>
        <v>-2.356195133320925E-2</v>
      </c>
      <c r="AC59" s="1">
        <f t="shared" si="33"/>
        <v>-2.3561951581229312E-2</v>
      </c>
      <c r="AD59" s="5">
        <f t="shared" si="34"/>
        <v>4050.0000000000005</v>
      </c>
      <c r="AE59" s="5">
        <f t="shared" si="32"/>
        <v>0.33000000005191155</v>
      </c>
      <c r="AF59" s="5">
        <f t="shared" si="9"/>
        <v>358.64999961730399</v>
      </c>
      <c r="AH59" s="22">
        <f t="shared" si="10"/>
        <v>4.5474735088646412E-13</v>
      </c>
      <c r="AI59" s="22">
        <f t="shared" si="11"/>
        <v>5.1911530629666913E-11</v>
      </c>
      <c r="AJ59" s="87">
        <f t="shared" si="29"/>
        <v>3.8269598690021667E-7</v>
      </c>
    </row>
    <row r="60" spans="1:36" x14ac:dyDescent="0.2">
      <c r="A60" s="3">
        <v>4075</v>
      </c>
      <c r="B60" s="3">
        <v>0.33</v>
      </c>
      <c r="C60" s="3">
        <v>5.52</v>
      </c>
      <c r="E60" s="1">
        <f t="shared" si="30"/>
        <v>5.7595865315812874E-3</v>
      </c>
      <c r="F60" s="1">
        <f t="shared" si="31"/>
        <v>9.6342174710086978E-2</v>
      </c>
      <c r="H60" s="9">
        <f t="shared" si="12"/>
        <v>6.9018072748905368E-4</v>
      </c>
      <c r="I60" s="155">
        <f t="shared" si="13"/>
        <v>6.9018072753929832E-4</v>
      </c>
      <c r="J60" s="153">
        <f t="shared" si="14"/>
        <v>4.7453331343669893E-2</v>
      </c>
      <c r="K60" s="9">
        <f t="shared" si="15"/>
        <v>1.0000000396957882</v>
      </c>
      <c r="L60" s="4">
        <f t="shared" si="16"/>
        <v>0.14363502828524471</v>
      </c>
      <c r="M60" s="4">
        <f t="shared" si="17"/>
        <v>5.2292036283653458E-3</v>
      </c>
      <c r="N60" s="4">
        <f t="shared" si="18"/>
        <v>24.999586333061849</v>
      </c>
      <c r="O60" s="5">
        <f t="shared" si="19"/>
        <v>4.4092672153971053</v>
      </c>
      <c r="P60" s="5">
        <f t="shared" si="20"/>
        <v>2.9570735824620717</v>
      </c>
      <c r="Q60" s="5">
        <f t="shared" si="21"/>
        <v>4074.9708520740796</v>
      </c>
      <c r="S60" s="4">
        <f t="shared" si="4"/>
        <v>0.14363502828524499</v>
      </c>
      <c r="T60" s="4">
        <f t="shared" si="5"/>
        <v>5.2292036283652088E-3</v>
      </c>
      <c r="U60" s="4">
        <f t="shared" si="6"/>
        <v>24.99958633306187</v>
      </c>
      <c r="V60" s="6">
        <f t="shared" si="22"/>
        <v>24.999999503802695</v>
      </c>
      <c r="W60" s="86">
        <f t="shared" si="23"/>
        <v>6.9018080472282861E-4</v>
      </c>
      <c r="X60" s="9">
        <f t="shared" si="24"/>
        <v>1.0000000396957973</v>
      </c>
      <c r="Y60" s="4">
        <f t="shared" si="25"/>
        <v>25.000000000000135</v>
      </c>
      <c r="Z60" s="1">
        <f t="shared" si="26"/>
        <v>5.7595865354174158E-3</v>
      </c>
      <c r="AA60" s="86">
        <f t="shared" si="27"/>
        <v>9.6342181601126731E-2</v>
      </c>
      <c r="AB60" s="86">
        <f t="shared" si="28"/>
        <v>9.6342181358001905E-2</v>
      </c>
      <c r="AC60" s="1">
        <f t="shared" si="33"/>
        <v>9.6342181601126731E-2</v>
      </c>
      <c r="AD60" s="5">
        <f t="shared" si="34"/>
        <v>4075.0000000000005</v>
      </c>
      <c r="AE60" s="5">
        <f t="shared" si="32"/>
        <v>0.33000000021979398</v>
      </c>
      <c r="AF60" s="5">
        <f t="shared" si="9"/>
        <v>5.5200003948274938</v>
      </c>
      <c r="AH60" s="22">
        <f t="shared" si="10"/>
        <v>4.5474735088646412E-13</v>
      </c>
      <c r="AI60" s="22">
        <f t="shared" si="11"/>
        <v>2.1979396080951119E-10</v>
      </c>
      <c r="AJ60" s="87">
        <f t="shared" si="29"/>
        <v>3.9482749425445718E-7</v>
      </c>
    </row>
    <row r="61" spans="1:36" x14ac:dyDescent="0.2">
      <c r="A61" s="3">
        <v>4100</v>
      </c>
      <c r="B61" s="3">
        <v>0.33</v>
      </c>
      <c r="C61" s="3">
        <v>344.7</v>
      </c>
      <c r="E61" s="1">
        <f t="shared" si="30"/>
        <v>5.7595865315812874E-3</v>
      </c>
      <c r="F61" s="1">
        <f t="shared" si="31"/>
        <v>6.0161499316244536</v>
      </c>
      <c r="H61" s="9">
        <f t="shared" si="12"/>
        <v>2.081397557525122E-3</v>
      </c>
      <c r="I61" s="155">
        <f t="shared" si="13"/>
        <v>2.0813975575224943E-3</v>
      </c>
      <c r="J61" s="153">
        <f t="shared" si="14"/>
        <v>0.14310635464203297</v>
      </c>
      <c r="K61" s="9">
        <f t="shared" si="15"/>
        <v>1.0000003610181392</v>
      </c>
      <c r="L61" s="4">
        <f t="shared" si="16"/>
        <v>0.14110338842019202</v>
      </c>
      <c r="M61" s="4">
        <f t="shared" si="17"/>
        <v>-1.2072019787034764E-2</v>
      </c>
      <c r="N61" s="4">
        <f t="shared" si="18"/>
        <v>24.999594365987384</v>
      </c>
      <c r="O61" s="5">
        <f t="shared" si="19"/>
        <v>4.5503706038172975</v>
      </c>
      <c r="P61" s="5">
        <f t="shared" si="20"/>
        <v>2.9450015626750368</v>
      </c>
      <c r="Q61" s="5">
        <f t="shared" si="21"/>
        <v>4099.9704464400675</v>
      </c>
      <c r="S61" s="4">
        <f t="shared" si="4"/>
        <v>0.14110338842019221</v>
      </c>
      <c r="T61" s="4">
        <f t="shared" si="5"/>
        <v>-1.2072019787034982E-2</v>
      </c>
      <c r="U61" s="4">
        <f t="shared" si="6"/>
        <v>24.999594365987832</v>
      </c>
      <c r="V61" s="6">
        <f t="shared" si="22"/>
        <v>24.99999548727591</v>
      </c>
      <c r="W61" s="86">
        <f t="shared" si="23"/>
        <v>2.0813976369087328E-3</v>
      </c>
      <c r="X61" s="9">
        <f t="shared" si="24"/>
        <v>1.0000003610181665</v>
      </c>
      <c r="Y61" s="4">
        <f t="shared" si="25"/>
        <v>25.000000000000792</v>
      </c>
      <c r="Z61" s="1">
        <f t="shared" si="26"/>
        <v>5.7595865419712844E-3</v>
      </c>
      <c r="AA61" s="86">
        <f t="shared" si="27"/>
        <v>0.26703538214989697</v>
      </c>
      <c r="AB61" s="86">
        <f t="shared" si="28"/>
        <v>-0.26703538223916928</v>
      </c>
      <c r="AC61" s="1">
        <f t="shared" si="33"/>
        <v>-0.26703538214989697</v>
      </c>
      <c r="AD61" s="5">
        <f t="shared" si="34"/>
        <v>4100.0000000000009</v>
      </c>
      <c r="AE61" s="5">
        <f t="shared" si="32"/>
        <v>0.33000000059530299</v>
      </c>
      <c r="AF61" s="5">
        <f t="shared" si="9"/>
        <v>344.6999996221478</v>
      </c>
      <c r="AH61" s="22">
        <f t="shared" si="10"/>
        <v>9.0949470177292824E-13</v>
      </c>
      <c r="AI61" s="22">
        <f t="shared" si="11"/>
        <v>5.9530297358278972E-10</v>
      </c>
      <c r="AJ61" s="87">
        <f t="shared" si="29"/>
        <v>3.7785218864883063E-7</v>
      </c>
    </row>
    <row r="62" spans="1:36" x14ac:dyDescent="0.2">
      <c r="A62" s="3">
        <v>4125</v>
      </c>
      <c r="B62" s="3">
        <v>0.32</v>
      </c>
      <c r="C62" s="3">
        <v>2.13</v>
      </c>
      <c r="E62" s="1">
        <f t="shared" si="30"/>
        <v>5.5850536063818549E-3</v>
      </c>
      <c r="F62" s="1">
        <f t="shared" si="31"/>
        <v>3.7175513067479217E-2</v>
      </c>
      <c r="H62" s="9">
        <f t="shared" si="12"/>
        <v>1.7275619296908129E-3</v>
      </c>
      <c r="I62" s="155">
        <f t="shared" si="13"/>
        <v>1.7275619296948986E-3</v>
      </c>
      <c r="J62" s="153">
        <f t="shared" si="14"/>
        <v>0.11877840890251182</v>
      </c>
      <c r="K62" s="9">
        <f t="shared" si="15"/>
        <v>1.0000002487059259</v>
      </c>
      <c r="L62" s="4">
        <f t="shared" si="16"/>
        <v>0.13920737102417138</v>
      </c>
      <c r="M62" s="4">
        <f t="shared" si="17"/>
        <v>-1.6402665687165835E-2</v>
      </c>
      <c r="N62" s="4">
        <f t="shared" si="18"/>
        <v>24.999603933248</v>
      </c>
      <c r="O62" s="5">
        <f t="shared" si="19"/>
        <v>4.6895779748414688</v>
      </c>
      <c r="P62" s="5">
        <f t="shared" si="20"/>
        <v>2.9285988969878711</v>
      </c>
      <c r="Q62" s="5">
        <f t="shared" si="21"/>
        <v>4124.9700503733156</v>
      </c>
      <c r="S62" s="4">
        <f t="shared" si="4"/>
        <v>0.13920737102417124</v>
      </c>
      <c r="T62" s="4">
        <f t="shared" si="5"/>
        <v>-1.6402665687165641E-2</v>
      </c>
      <c r="U62" s="4">
        <f t="shared" si="6"/>
        <v>24.999603933248181</v>
      </c>
      <c r="V62" s="6">
        <f t="shared" si="22"/>
        <v>24.999996891177148</v>
      </c>
      <c r="W62" s="86">
        <f t="shared" si="23"/>
        <v>1.7275620084085119E-3</v>
      </c>
      <c r="X62" s="9">
        <f t="shared" si="24"/>
        <v>1.0000002487059487</v>
      </c>
      <c r="Y62" s="4">
        <f t="shared" si="25"/>
        <v>25.000000000000462</v>
      </c>
      <c r="Z62" s="1">
        <f t="shared" si="26"/>
        <v>5.585053607884749E-3</v>
      </c>
      <c r="AA62" s="86">
        <f t="shared" si="27"/>
        <v>3.7175520299559395E-2</v>
      </c>
      <c r="AB62" s="86">
        <f t="shared" si="28"/>
        <v>3.7175520113050226E-2</v>
      </c>
      <c r="AC62" s="1">
        <f t="shared" si="33"/>
        <v>3.7175520299559395E-2</v>
      </c>
      <c r="AD62" s="5">
        <f t="shared" si="34"/>
        <v>4125.0000000000018</v>
      </c>
      <c r="AE62" s="5">
        <f t="shared" si="32"/>
        <v>0.32000000008610952</v>
      </c>
      <c r="AF62" s="5">
        <f t="shared" si="9"/>
        <v>2.1300004143676712</v>
      </c>
      <c r="AH62" s="22">
        <f t="shared" si="10"/>
        <v>1.8189894035458565E-12</v>
      </c>
      <c r="AI62" s="22">
        <f t="shared" si="11"/>
        <v>8.6109508412590685E-11</v>
      </c>
      <c r="AJ62" s="87">
        <f t="shared" si="29"/>
        <v>4.1436767128644192E-7</v>
      </c>
    </row>
    <row r="63" spans="1:36" x14ac:dyDescent="0.2">
      <c r="A63" s="3">
        <v>4150</v>
      </c>
      <c r="B63" s="3">
        <v>0.33</v>
      </c>
      <c r="C63" s="3">
        <v>17.62</v>
      </c>
      <c r="E63" s="1">
        <f t="shared" si="30"/>
        <v>5.7595865315812874E-3</v>
      </c>
      <c r="F63" s="1">
        <f t="shared" si="31"/>
        <v>0.30752701420140088</v>
      </c>
      <c r="H63" s="9">
        <f t="shared" si="12"/>
        <v>1.5385965686991465E-3</v>
      </c>
      <c r="I63" s="155">
        <f t="shared" si="13"/>
        <v>1.5385965687636023E-3</v>
      </c>
      <c r="J63" s="153">
        <f t="shared" si="14"/>
        <v>0.10578610771172559</v>
      </c>
      <c r="K63" s="9">
        <f t="shared" si="15"/>
        <v>1.0000001972733301</v>
      </c>
      <c r="L63" s="4">
        <f t="shared" si="16"/>
        <v>0.13838141794806455</v>
      </c>
      <c r="M63" s="4">
        <f t="shared" si="17"/>
        <v>2.438763611569272E-2</v>
      </c>
      <c r="N63" s="4">
        <f t="shared" si="18"/>
        <v>24.999602647453798</v>
      </c>
      <c r="O63" s="5">
        <f t="shared" si="19"/>
        <v>4.8279593927895332</v>
      </c>
      <c r="P63" s="5">
        <f t="shared" si="20"/>
        <v>2.9529865331035636</v>
      </c>
      <c r="Q63" s="5">
        <f t="shared" si="21"/>
        <v>4149.9696530207693</v>
      </c>
      <c r="S63" s="4">
        <f t="shared" si="4"/>
        <v>0.13838141794806447</v>
      </c>
      <c r="T63" s="4">
        <f t="shared" si="5"/>
        <v>2.4387636115692501E-2</v>
      </c>
      <c r="U63" s="4">
        <f t="shared" si="6"/>
        <v>24.999602647453685</v>
      </c>
      <c r="V63" s="6">
        <f t="shared" si="22"/>
        <v>24.999997534083917</v>
      </c>
      <c r="W63" s="86">
        <f t="shared" si="23"/>
        <v>1.5385964882148606E-3</v>
      </c>
      <c r="X63" s="9">
        <f t="shared" si="24"/>
        <v>1.0000001972733095</v>
      </c>
      <c r="Y63" s="4">
        <f t="shared" si="25"/>
        <v>24.999999999999631</v>
      </c>
      <c r="Z63" s="1">
        <f t="shared" si="26"/>
        <v>5.7595865193795781E-3</v>
      </c>
      <c r="AA63" s="86">
        <f t="shared" si="27"/>
        <v>0.30752700753130879</v>
      </c>
      <c r="AB63" s="86">
        <f t="shared" si="28"/>
        <v>0.30752700751101941</v>
      </c>
      <c r="AC63" s="1">
        <f t="shared" si="33"/>
        <v>0.30752700753130879</v>
      </c>
      <c r="AD63" s="5">
        <f t="shared" si="34"/>
        <v>4150.0000000000018</v>
      </c>
      <c r="AE63" s="5">
        <f t="shared" si="32"/>
        <v>0.32999999930089358</v>
      </c>
      <c r="AF63" s="5">
        <f t="shared" si="9"/>
        <v>17.619999617831876</v>
      </c>
      <c r="AH63" s="22">
        <f t="shared" si="10"/>
        <v>1.8189894035458565E-12</v>
      </c>
      <c r="AI63" s="22">
        <f t="shared" si="11"/>
        <v>6.9910643940573891E-10</v>
      </c>
      <c r="AJ63" s="87">
        <f t="shared" si="29"/>
        <v>3.8216812470182049E-7</v>
      </c>
    </row>
    <row r="64" spans="1:36" x14ac:dyDescent="0.2">
      <c r="A64" s="3">
        <v>4175</v>
      </c>
      <c r="B64" s="3">
        <v>0.28000000000000003</v>
      </c>
      <c r="C64" s="3">
        <v>16.93</v>
      </c>
      <c r="E64" s="1">
        <f t="shared" si="30"/>
        <v>4.8869219055841231E-3</v>
      </c>
      <c r="F64" s="1">
        <f t="shared" si="31"/>
        <v>0.29548424236263998</v>
      </c>
      <c r="H64" s="9">
        <f t="shared" si="12"/>
        <v>8.7500029947951141E-4</v>
      </c>
      <c r="I64" s="155">
        <f t="shared" si="13"/>
        <v>8.7500029947633687E-4</v>
      </c>
      <c r="J64" s="153">
        <f t="shared" si="14"/>
        <v>6.0160589079430907E-2</v>
      </c>
      <c r="K64" s="9">
        <f t="shared" si="15"/>
        <v>1.000000063802132</v>
      </c>
      <c r="L64" s="4">
        <f t="shared" si="16"/>
        <v>0.12705570448475326</v>
      </c>
      <c r="M64" s="4">
        <f t="shared" si="17"/>
        <v>3.9581421415807207E-2</v>
      </c>
      <c r="N64" s="4">
        <f t="shared" si="18"/>
        <v>24.999645003133711</v>
      </c>
      <c r="O64" s="5">
        <f t="shared" si="19"/>
        <v>4.9550150972742868</v>
      </c>
      <c r="P64" s="5">
        <f t="shared" si="20"/>
        <v>2.9925679545193709</v>
      </c>
      <c r="Q64" s="5">
        <f t="shared" si="21"/>
        <v>4174.9692980239033</v>
      </c>
      <c r="S64" s="4">
        <f t="shared" si="4"/>
        <v>0.12705570448475356</v>
      </c>
      <c r="T64" s="4">
        <f t="shared" si="5"/>
        <v>3.9581421415807228E-2</v>
      </c>
      <c r="U64" s="4">
        <f t="shared" si="6"/>
        <v>24.999645003133992</v>
      </c>
      <c r="V64" s="6">
        <f t="shared" si="22"/>
        <v>24.999999202473703</v>
      </c>
      <c r="W64" s="86">
        <f t="shared" si="23"/>
        <v>8.7500027029685512E-4</v>
      </c>
      <c r="X64" s="9">
        <f t="shared" si="24"/>
        <v>1.0000000638021276</v>
      </c>
      <c r="Y64" s="4">
        <f t="shared" si="25"/>
        <v>25.000000000000227</v>
      </c>
      <c r="Z64" s="1">
        <f t="shared" si="26"/>
        <v>4.8869219172629208E-3</v>
      </c>
      <c r="AA64" s="86">
        <f t="shared" si="27"/>
        <v>0.29548425021343427</v>
      </c>
      <c r="AB64" s="86">
        <f t="shared" si="28"/>
        <v>0.29548425025699793</v>
      </c>
      <c r="AC64" s="1">
        <f t="shared" si="33"/>
        <v>0.29548425021343427</v>
      </c>
      <c r="AD64" s="5">
        <f t="shared" si="34"/>
        <v>4175.0000000000018</v>
      </c>
      <c r="AE64" s="5">
        <f t="shared" si="32"/>
        <v>0.28000000066914582</v>
      </c>
      <c r="AF64" s="5">
        <f t="shared" si="9"/>
        <v>16.930000449817378</v>
      </c>
      <c r="AH64" s="22">
        <f t="shared" si="10"/>
        <v>1.8189894035458565E-12</v>
      </c>
      <c r="AI64" s="22">
        <f t="shared" si="11"/>
        <v>6.6914579432975074E-10</v>
      </c>
      <c r="AJ64" s="87">
        <f>IF(B64=0, 0, ABS(AF64-C64))</f>
        <v>4.498173780120851E-7</v>
      </c>
    </row>
    <row r="65" spans="1:36" x14ac:dyDescent="0.2">
      <c r="A65" s="3">
        <v>4200</v>
      </c>
      <c r="B65" s="3">
        <v>0.28000000000000003</v>
      </c>
      <c r="C65" s="3">
        <v>33.85</v>
      </c>
      <c r="E65" s="1">
        <f t="shared" si="30"/>
        <v>4.8869219055841231E-3</v>
      </c>
      <c r="F65" s="1">
        <f t="shared" si="31"/>
        <v>0.59079395180008054</v>
      </c>
      <c r="H65" s="9">
        <f t="shared" si="12"/>
        <v>1.4379116665008684E-3</v>
      </c>
      <c r="I65" s="155">
        <f t="shared" si="13"/>
        <v>1.4379116664707994E-3</v>
      </c>
      <c r="J65" s="153">
        <f t="shared" si="14"/>
        <v>9.8863523763747019E-2</v>
      </c>
      <c r="K65" s="9">
        <f t="shared" si="15"/>
        <v>1.0000001722991991</v>
      </c>
      <c r="L65" s="4">
        <f t="shared" si="16"/>
        <v>0.10917097221170796</v>
      </c>
      <c r="M65" s="4">
        <f t="shared" si="17"/>
        <v>5.1814840826155464E-2</v>
      </c>
      <c r="N65" s="4">
        <f t="shared" si="18"/>
        <v>24.999705782951267</v>
      </c>
      <c r="O65" s="5">
        <f t="shared" si="19"/>
        <v>5.064186069485995</v>
      </c>
      <c r="P65" s="5">
        <f t="shared" si="20"/>
        <v>3.0443827953455265</v>
      </c>
      <c r="Q65" s="5">
        <f t="shared" si="21"/>
        <v>4199.9690038068547</v>
      </c>
      <c r="S65" s="4">
        <f t="shared" si="4"/>
        <v>0.10917097221170824</v>
      </c>
      <c r="T65" s="4">
        <f t="shared" si="5"/>
        <v>5.1814840826155617E-2</v>
      </c>
      <c r="U65" s="4">
        <f t="shared" si="6"/>
        <v>24.999705782951423</v>
      </c>
      <c r="V65" s="6">
        <f t="shared" si="22"/>
        <v>24.999997846260673</v>
      </c>
      <c r="W65" s="86">
        <f t="shared" si="23"/>
        <v>1.4379115939777698E-3</v>
      </c>
      <c r="X65" s="9">
        <f t="shared" si="24"/>
        <v>1.0000001722991816</v>
      </c>
      <c r="Y65" s="4">
        <f t="shared" si="25"/>
        <v>24.999999999999947</v>
      </c>
      <c r="Z65" s="1">
        <f t="shared" si="26"/>
        <v>4.8869218832763295E-3</v>
      </c>
      <c r="AA65" s="86">
        <f t="shared" si="27"/>
        <v>0.59079394499418425</v>
      </c>
      <c r="AB65" s="86">
        <f t="shared" si="28"/>
        <v>0.59079394498034554</v>
      </c>
      <c r="AC65" s="1">
        <f t="shared" si="33"/>
        <v>0.59079394499418425</v>
      </c>
      <c r="AD65" s="5">
        <f t="shared" si="34"/>
        <v>4200.0000000000018</v>
      </c>
      <c r="AE65" s="5">
        <f t="shared" si="32"/>
        <v>0.2799999987218576</v>
      </c>
      <c r="AF65" s="5">
        <f t="shared" si="9"/>
        <v>33.849999610050865</v>
      </c>
      <c r="AH65" s="22">
        <f t="shared" si="10"/>
        <v>1.8189894035458565E-12</v>
      </c>
      <c r="AI65" s="22">
        <f t="shared" si="11"/>
        <v>1.2781424252317208E-9</v>
      </c>
      <c r="AJ65" s="87">
        <f t="shared" si="29"/>
        <v>3.8994913609258219E-7</v>
      </c>
    </row>
    <row r="66" spans="1:36" x14ac:dyDescent="0.2">
      <c r="A66" s="3">
        <v>4225</v>
      </c>
      <c r="B66" s="3">
        <v>0.22</v>
      </c>
      <c r="C66" s="3">
        <v>66.38</v>
      </c>
      <c r="E66" s="1">
        <f t="shared" si="30"/>
        <v>3.8397243543875251E-3</v>
      </c>
      <c r="F66" s="1">
        <f t="shared" si="31"/>
        <v>1.1585495574738358</v>
      </c>
      <c r="H66" s="9">
        <f t="shared" si="12"/>
        <v>2.6428190531559981E-3</v>
      </c>
      <c r="I66" s="155">
        <f t="shared" si="13"/>
        <v>2.6428190531626681E-3</v>
      </c>
      <c r="J66" s="153">
        <f t="shared" si="14"/>
        <v>0.18170685331511888</v>
      </c>
      <c r="K66" s="9">
        <f t="shared" si="15"/>
        <v>1.0000005820414521</v>
      </c>
      <c r="L66" s="4">
        <f t="shared" si="16"/>
        <v>6.9962795416891391E-2</v>
      </c>
      <c r="M66" s="4">
        <f t="shared" si="17"/>
        <v>7.8001796004050869E-2</v>
      </c>
      <c r="N66" s="4">
        <f t="shared" si="18"/>
        <v>24.999773142000883</v>
      </c>
      <c r="O66" s="5">
        <f t="shared" si="19"/>
        <v>5.1341488649028868</v>
      </c>
      <c r="P66" s="5">
        <f t="shared" si="20"/>
        <v>3.1223845913495771</v>
      </c>
      <c r="Q66" s="5">
        <f t="shared" si="21"/>
        <v>4224.9687769488555</v>
      </c>
      <c r="S66" s="4">
        <f t="shared" si="4"/>
        <v>6.9962795416891765E-2</v>
      </c>
      <c r="T66" s="4">
        <f t="shared" si="5"/>
        <v>7.8001796004050661E-2</v>
      </c>
      <c r="U66" s="4">
        <f t="shared" si="6"/>
        <v>24.999773142000777</v>
      </c>
      <c r="V66" s="6">
        <f t="shared" si="22"/>
        <v>24.999992724487456</v>
      </c>
      <c r="W66" s="86">
        <f t="shared" si="23"/>
        <v>2.6428190770917404E-3</v>
      </c>
      <c r="X66" s="9">
        <f t="shared" si="24"/>
        <v>1.0000005820414628</v>
      </c>
      <c r="Y66" s="4">
        <f t="shared" si="25"/>
        <v>25.000000000000025</v>
      </c>
      <c r="Z66" s="1">
        <f t="shared" si="26"/>
        <v>3.8397243911116874E-3</v>
      </c>
      <c r="AA66" s="86">
        <f t="shared" si="27"/>
        <v>1.1585495616563266</v>
      </c>
      <c r="AB66" s="86">
        <f t="shared" si="28"/>
        <v>1.1585495616342263</v>
      </c>
      <c r="AC66" s="1">
        <f t="shared" si="33"/>
        <v>1.1585495616563266</v>
      </c>
      <c r="AD66" s="5">
        <f t="shared" si="34"/>
        <v>4225.0000000000018</v>
      </c>
      <c r="AE66" s="5">
        <f t="shared" si="32"/>
        <v>0.2200000021041395</v>
      </c>
      <c r="AF66" s="5">
        <f t="shared" si="9"/>
        <v>66.38000023963906</v>
      </c>
      <c r="AH66" s="22">
        <f t="shared" si="10"/>
        <v>1.8189894035458565E-12</v>
      </c>
      <c r="AI66" s="22">
        <f t="shared" si="11"/>
        <v>2.1041395015242159E-9</v>
      </c>
      <c r="AJ66" s="87">
        <f t="shared" si="29"/>
        <v>2.3963906414792291E-7</v>
      </c>
    </row>
    <row r="67" spans="1:36" x14ac:dyDescent="0.2">
      <c r="A67" s="3">
        <v>4250</v>
      </c>
      <c r="B67" s="3">
        <v>0.13</v>
      </c>
      <c r="C67" s="3">
        <v>90.82</v>
      </c>
      <c r="E67" s="1">
        <f t="shared" si="30"/>
        <v>2.2689280275926286E-3</v>
      </c>
      <c r="F67" s="1">
        <f t="shared" si="31"/>
        <v>1.5851080266612501</v>
      </c>
      <c r="H67" s="9">
        <f t="shared" si="12"/>
        <v>2.007158206342563E-3</v>
      </c>
      <c r="I67" s="155">
        <f t="shared" si="13"/>
        <v>2.0071582063396383E-3</v>
      </c>
      <c r="J67" s="153">
        <f t="shared" si="14"/>
        <v>0.13800203284617274</v>
      </c>
      <c r="K67" s="9">
        <f t="shared" si="15"/>
        <v>1.0000003357238074</v>
      </c>
      <c r="L67" s="4">
        <f t="shared" si="16"/>
        <v>1.8824796221890608E-2</v>
      </c>
      <c r="M67" s="4">
        <f t="shared" si="17"/>
        <v>7.2334131225841466E-2</v>
      </c>
      <c r="N67" s="4">
        <f t="shared" si="18"/>
        <v>24.999884071196014</v>
      </c>
      <c r="O67" s="5">
        <f t="shared" si="19"/>
        <v>5.1529736611247774</v>
      </c>
      <c r="P67" s="5">
        <f t="shared" si="20"/>
        <v>3.1947187225754186</v>
      </c>
      <c r="Q67" s="5">
        <f t="shared" si="21"/>
        <v>4249.9686610200515</v>
      </c>
      <c r="S67" s="4">
        <f t="shared" si="4"/>
        <v>1.8824796221890594E-2</v>
      </c>
      <c r="T67" s="4">
        <f t="shared" si="5"/>
        <v>7.2334131225841425E-2</v>
      </c>
      <c r="U67" s="4">
        <f t="shared" si="6"/>
        <v>24.999884071195993</v>
      </c>
      <c r="V67" s="6">
        <f t="shared" si="22"/>
        <v>24.99999580345429</v>
      </c>
      <c r="W67" s="86">
        <f t="shared" si="23"/>
        <v>2.0071582561009826E-3</v>
      </c>
      <c r="X67" s="9">
        <f t="shared" si="24"/>
        <v>1.0000003357238239</v>
      </c>
      <c r="Y67" s="4">
        <f t="shared" si="25"/>
        <v>25.000000000000188</v>
      </c>
      <c r="Z67" s="1">
        <f t="shared" si="26"/>
        <v>2.2689279872731838E-3</v>
      </c>
      <c r="AA67" s="86">
        <f t="shared" si="27"/>
        <v>1.5851080269155937</v>
      </c>
      <c r="AB67" s="86">
        <f t="shared" si="28"/>
        <v>1.5564846341111842</v>
      </c>
      <c r="AC67" s="1">
        <f t="shared" si="33"/>
        <v>1.5851080269155937</v>
      </c>
      <c r="AD67" s="5">
        <f t="shared" si="34"/>
        <v>4250.0000000000018</v>
      </c>
      <c r="AE67" s="5">
        <f t="shared" si="32"/>
        <v>0.129999997689866</v>
      </c>
      <c r="AF67" s="5">
        <f t="shared" si="9"/>
        <v>90.820000014572813</v>
      </c>
      <c r="AH67" s="22">
        <f t="shared" si="10"/>
        <v>1.8189894035458565E-12</v>
      </c>
      <c r="AI67" s="22">
        <f t="shared" si="11"/>
        <v>2.3101340007603E-9</v>
      </c>
      <c r="AJ67" s="87">
        <f t="shared" si="29"/>
        <v>1.4572819395652914E-8</v>
      </c>
    </row>
    <row r="68" spans="1:36" x14ac:dyDescent="0.2">
      <c r="A68" s="3">
        <v>4275</v>
      </c>
      <c r="B68" s="3">
        <v>0.22</v>
      </c>
      <c r="C68" s="3">
        <v>147.27000000000001</v>
      </c>
      <c r="E68" s="1">
        <f t="shared" si="30"/>
        <v>3.8397243543875251E-3</v>
      </c>
      <c r="F68" s="1">
        <f t="shared" si="31"/>
        <v>2.5703463894120495</v>
      </c>
      <c r="H68" s="9">
        <f t="shared" si="12"/>
        <v>3.2034059597949582E-3</v>
      </c>
      <c r="I68" s="155">
        <f t="shared" si="13"/>
        <v>3.2034059597966019E-3</v>
      </c>
      <c r="J68" s="153">
        <f t="shared" si="14"/>
        <v>0.22024996987596693</v>
      </c>
      <c r="K68" s="9">
        <f t="shared" si="15"/>
        <v>1.0000008551516895</v>
      </c>
      <c r="L68" s="4">
        <f t="shared" si="16"/>
        <v>-4.0781859935592295E-2</v>
      </c>
      <c r="M68" s="4">
        <f t="shared" si="17"/>
        <v>5.4309472505152771E-2</v>
      </c>
      <c r="N68" s="4">
        <f t="shared" si="18"/>
        <v>24.999897056828488</v>
      </c>
      <c r="O68" s="5">
        <f t="shared" si="19"/>
        <v>5.1121918011891854</v>
      </c>
      <c r="P68" s="5">
        <f t="shared" si="20"/>
        <v>3.2490281950805713</v>
      </c>
      <c r="Q68" s="5">
        <f t="shared" si="21"/>
        <v>4274.9685580768801</v>
      </c>
      <c r="S68" s="4">
        <f t="shared" si="4"/>
        <v>-4.0781859935592024E-2</v>
      </c>
      <c r="T68" s="4">
        <f t="shared" si="5"/>
        <v>5.4309472505152723E-2</v>
      </c>
      <c r="U68" s="4">
        <f t="shared" si="6"/>
        <v>24.999897056828559</v>
      </c>
      <c r="V68" s="6">
        <f t="shared" si="22"/>
        <v>24.999989310616293</v>
      </c>
      <c r="W68" s="86">
        <f t="shared" si="23"/>
        <v>3.2034059550940519E-3</v>
      </c>
      <c r="X68" s="9">
        <f t="shared" si="24"/>
        <v>1.000000855151687</v>
      </c>
      <c r="Y68" s="4">
        <f t="shared" si="25"/>
        <v>25.000000000000036</v>
      </c>
      <c r="Z68" s="1">
        <f t="shared" si="26"/>
        <v>3.8397243762497979E-3</v>
      </c>
      <c r="AA68" s="86">
        <f t="shared" si="27"/>
        <v>2.5703463805534228</v>
      </c>
      <c r="AB68" s="86">
        <f t="shared" si="28"/>
        <v>0.5712462730020117</v>
      </c>
      <c r="AC68" s="1">
        <f t="shared" si="33"/>
        <v>2.5703463805534228</v>
      </c>
      <c r="AD68" s="5">
        <f t="shared" si="34"/>
        <v>4275.0000000000018</v>
      </c>
      <c r="AE68" s="5">
        <f t="shared" si="32"/>
        <v>0.22000000125261598</v>
      </c>
      <c r="AF68" s="5">
        <f t="shared" si="9"/>
        <v>147.2699994924381</v>
      </c>
      <c r="AH68" s="22">
        <f t="shared" si="10"/>
        <v>1.8189894035458565E-12</v>
      </c>
      <c r="AI68" s="22">
        <f t="shared" si="11"/>
        <v>1.2526159831605099E-9</v>
      </c>
      <c r="AJ68" s="87">
        <f t="shared" si="29"/>
        <v>5.0756190717038407E-7</v>
      </c>
    </row>
    <row r="69" spans="1:36" x14ac:dyDescent="0.2">
      <c r="A69" s="3">
        <v>4300</v>
      </c>
      <c r="B69" s="3">
        <v>0.28000000000000003</v>
      </c>
      <c r="C69" s="3">
        <v>173.22</v>
      </c>
      <c r="E69" s="1">
        <f t="shared" si="30"/>
        <v>4.8869219055841231E-3</v>
      </c>
      <c r="F69" s="1">
        <f t="shared" si="31"/>
        <v>3.0232593303045778</v>
      </c>
      <c r="H69" s="9">
        <f t="shared" si="12"/>
        <v>2.2091629782823308E-3</v>
      </c>
      <c r="I69" s="155">
        <f t="shared" si="13"/>
        <v>2.20916297830214E-3</v>
      </c>
      <c r="J69" s="153">
        <f t="shared" si="14"/>
        <v>0.15189085789455442</v>
      </c>
      <c r="K69" s="9">
        <f t="shared" si="15"/>
        <v>1.0000004067002872</v>
      </c>
      <c r="L69" s="4">
        <f t="shared" si="16"/>
        <v>-0.10103506842203125</v>
      </c>
      <c r="M69" s="4">
        <f t="shared" si="17"/>
        <v>3.3162452529580042E-2</v>
      </c>
      <c r="N69" s="4">
        <f t="shared" si="18"/>
        <v>24.99976875851409</v>
      </c>
      <c r="O69" s="5">
        <f t="shared" si="19"/>
        <v>5.0111567327671542</v>
      </c>
      <c r="P69" s="5">
        <f t="shared" si="20"/>
        <v>3.2821906476101512</v>
      </c>
      <c r="Q69" s="5">
        <f t="shared" si="21"/>
        <v>4299.9683268353938</v>
      </c>
      <c r="S69" s="4">
        <f t="shared" si="4"/>
        <v>-0.10103506842203114</v>
      </c>
      <c r="T69" s="4">
        <f t="shared" si="5"/>
        <v>3.3162452529579944E-2</v>
      </c>
      <c r="U69" s="4">
        <f t="shared" si="6"/>
        <v>24.99976875851371</v>
      </c>
      <c r="V69" s="6">
        <f t="shared" si="22"/>
        <v>24.99999491624882</v>
      </c>
      <c r="W69" s="86">
        <f t="shared" si="23"/>
        <v>2.2091630328966438E-3</v>
      </c>
      <c r="X69" s="9">
        <f t="shared" si="24"/>
        <v>1.0000004067003074</v>
      </c>
      <c r="Y69" s="4">
        <f t="shared" si="25"/>
        <v>24.999999999999872</v>
      </c>
      <c r="Z69" s="1">
        <f t="shared" si="26"/>
        <v>4.8869219007694475E-3</v>
      </c>
      <c r="AA69" s="86">
        <f t="shared" si="27"/>
        <v>3.0232593385912101</v>
      </c>
      <c r="AB69" s="86">
        <f t="shared" si="28"/>
        <v>0.1183333150700205</v>
      </c>
      <c r="AC69" s="1">
        <f t="shared" si="33"/>
        <v>3.0232593385912101</v>
      </c>
      <c r="AD69" s="5">
        <f t="shared" si="34"/>
        <v>4300.0000000000018</v>
      </c>
      <c r="AE69" s="5">
        <f t="shared" si="32"/>
        <v>0.27999999972413941</v>
      </c>
      <c r="AF69" s="5">
        <f t="shared" si="9"/>
        <v>173.22000047478906</v>
      </c>
      <c r="AH69" s="22">
        <f t="shared" si="10"/>
        <v>1.8189894035458565E-12</v>
      </c>
      <c r="AI69" s="22">
        <f t="shared" si="11"/>
        <v>2.7586061213114021E-10</v>
      </c>
      <c r="AJ69" s="87">
        <f t="shared" si="29"/>
        <v>4.7478906139986066E-7</v>
      </c>
    </row>
    <row r="70" spans="1:36" x14ac:dyDescent="0.2">
      <c r="A70" s="3">
        <v>4325</v>
      </c>
      <c r="B70" s="3">
        <v>0.5</v>
      </c>
      <c r="C70" s="3">
        <v>191.95</v>
      </c>
      <c r="E70" s="1">
        <f t="shared" si="30"/>
        <v>8.7266462599716477E-3</v>
      </c>
      <c r="F70" s="1">
        <f t="shared" si="31"/>
        <v>3.3501594992031154</v>
      </c>
      <c r="H70" s="9">
        <f t="shared" si="12"/>
        <v>4.3886600838975998E-3</v>
      </c>
      <c r="I70" s="155">
        <f t="shared" si="13"/>
        <v>4.3886600838981323E-3</v>
      </c>
      <c r="J70" s="153">
        <f t="shared" si="14"/>
        <v>0.30174204062983473</v>
      </c>
      <c r="K70" s="9">
        <f t="shared" si="15"/>
        <v>1.0000016050312022</v>
      </c>
      <c r="L70" s="4">
        <f t="shared" si="16"/>
        <v>-0.16737710727266236</v>
      </c>
      <c r="M70" s="4">
        <f t="shared" si="17"/>
        <v>-1.5374579402023344E-2</v>
      </c>
      <c r="N70" s="4">
        <f t="shared" si="18"/>
        <v>24.999414900840055</v>
      </c>
      <c r="O70" s="5">
        <f t="shared" si="19"/>
        <v>4.8437796254944923</v>
      </c>
      <c r="P70" s="5">
        <f t="shared" si="20"/>
        <v>3.266816068208128</v>
      </c>
      <c r="Q70" s="5">
        <f t="shared" si="21"/>
        <v>4324.9677417362336</v>
      </c>
      <c r="S70" s="4">
        <f t="shared" si="4"/>
        <v>-0.16737710727266197</v>
      </c>
      <c r="T70" s="4">
        <f t="shared" si="5"/>
        <v>-1.5374579402023247E-2</v>
      </c>
      <c r="U70" s="4">
        <f t="shared" si="6"/>
        <v>24.999414900839838</v>
      </c>
      <c r="V70" s="6">
        <f t="shared" si="22"/>
        <v>24.999979937153224</v>
      </c>
      <c r="W70" s="86">
        <f t="shared" si="23"/>
        <v>4.388660039524428E-3</v>
      </c>
      <c r="X70" s="9">
        <f t="shared" si="24"/>
        <v>1.00000160503117</v>
      </c>
      <c r="Y70" s="4">
        <f t="shared" si="25"/>
        <v>24.999999999999375</v>
      </c>
      <c r="Z70" s="1">
        <f t="shared" si="26"/>
        <v>8.726646251534298E-3</v>
      </c>
      <c r="AA70" s="86">
        <f t="shared" si="27"/>
        <v>2.9330258125450825</v>
      </c>
      <c r="AB70" s="86">
        <f t="shared" si="28"/>
        <v>-0.20856684104119719</v>
      </c>
      <c r="AC70" s="1">
        <f t="shared" si="33"/>
        <v>-2.9330258125450825</v>
      </c>
      <c r="AD70" s="5">
        <f t="shared" si="34"/>
        <v>4325.0000000000009</v>
      </c>
      <c r="AE70" s="5">
        <f t="shared" si="32"/>
        <v>0.49999999951657548</v>
      </c>
      <c r="AF70" s="5">
        <f t="shared" si="9"/>
        <v>191.94999973823784</v>
      </c>
      <c r="AH70" s="22">
        <f t="shared" si="10"/>
        <v>9.0949470177292824E-13</v>
      </c>
      <c r="AI70" s="22">
        <f t="shared" si="11"/>
        <v>4.8342452263483437E-10</v>
      </c>
      <c r="AJ70" s="87">
        <f t="shared" si="29"/>
        <v>2.6176215328632679E-7</v>
      </c>
    </row>
    <row r="71" spans="1:36" x14ac:dyDescent="0.2">
      <c r="A71" s="3">
        <v>4350</v>
      </c>
      <c r="B71" s="3">
        <v>0.28000000000000003</v>
      </c>
      <c r="C71" s="3">
        <v>44.52</v>
      </c>
      <c r="E71" s="1">
        <f t="shared" si="30"/>
        <v>4.8869219055841231E-3</v>
      </c>
      <c r="F71" s="1">
        <f t="shared" si="31"/>
        <v>0.77702058298787557</v>
      </c>
      <c r="H71" s="9">
        <f t="shared" si="12"/>
        <v>1.3111652273658958E-2</v>
      </c>
      <c r="I71" s="155">
        <f t="shared" si="13"/>
        <v>1.3111652273659841E-2</v>
      </c>
      <c r="J71" s="153">
        <f t="shared" si="14"/>
        <v>0.90149080526852177</v>
      </c>
      <c r="K71" s="9">
        <f t="shared" si="15"/>
        <v>1.0000143265317407</v>
      </c>
      <c r="L71" s="4">
        <f t="shared" si="16"/>
        <v>-6.3163783863051146E-2</v>
      </c>
      <c r="M71" s="4">
        <f t="shared" si="17"/>
        <v>2.0245197023600052E-2</v>
      </c>
      <c r="N71" s="4">
        <f t="shared" si="18"/>
        <v>24.999732930399734</v>
      </c>
      <c r="O71" s="5">
        <f t="shared" si="19"/>
        <v>4.780615841631441</v>
      </c>
      <c r="P71" s="5">
        <f t="shared" si="20"/>
        <v>3.2870612652317281</v>
      </c>
      <c r="Q71" s="5">
        <f t="shared" si="21"/>
        <v>4349.9674746666333</v>
      </c>
      <c r="S71" s="4">
        <f t="shared" si="4"/>
        <v>-6.3163783863051215E-2</v>
      </c>
      <c r="T71" s="4">
        <f t="shared" si="5"/>
        <v>2.024519702360017E-2</v>
      </c>
      <c r="U71" s="4">
        <f t="shared" si="6"/>
        <v>24.999732930399659</v>
      </c>
      <c r="V71" s="6">
        <f t="shared" si="22"/>
        <v>24.999820921816692</v>
      </c>
      <c r="W71" s="86">
        <f t="shared" si="23"/>
        <v>1.3111652241152072E-2</v>
      </c>
      <c r="X71" s="9">
        <f t="shared" si="24"/>
        <v>1.0000143265316697</v>
      </c>
      <c r="Y71" s="4">
        <f t="shared" si="25"/>
        <v>24.999999999999044</v>
      </c>
      <c r="Z71" s="1">
        <f t="shared" si="26"/>
        <v>4.8869218770968281E-3</v>
      </c>
      <c r="AA71" s="86">
        <f t="shared" si="27"/>
        <v>0.77702057706005201</v>
      </c>
      <c r="AB71" s="86">
        <f t="shared" si="28"/>
        <v>0.77702057702497729</v>
      </c>
      <c r="AC71" s="1">
        <f t="shared" si="33"/>
        <v>0.77702057706005201</v>
      </c>
      <c r="AD71" s="5">
        <f t="shared" si="34"/>
        <v>4350</v>
      </c>
      <c r="AE71" s="5">
        <f t="shared" si="32"/>
        <v>0.27999999836779826</v>
      </c>
      <c r="AF71" s="5">
        <f t="shared" si="9"/>
        <v>44.519999660360732</v>
      </c>
      <c r="AH71" s="22">
        <f t="shared" si="10"/>
        <v>0</v>
      </c>
      <c r="AI71" s="22">
        <f t="shared" si="11"/>
        <v>1.6322017626357876E-9</v>
      </c>
      <c r="AJ71" s="87">
        <f t="shared" si="29"/>
        <v>3.3963927137392602E-7</v>
      </c>
    </row>
    <row r="72" spans="1:36" x14ac:dyDescent="0.2">
      <c r="A72" s="3">
        <v>4375</v>
      </c>
      <c r="B72" s="3">
        <v>0.28000000000000003</v>
      </c>
      <c r="C72" s="3">
        <v>128.77000000000001</v>
      </c>
      <c r="E72" s="1">
        <f t="shared" si="30"/>
        <v>4.8869219055841231E-3</v>
      </c>
      <c r="F72" s="1">
        <f t="shared" si="31"/>
        <v>2.2474604777930982</v>
      </c>
      <c r="H72" s="9">
        <f t="shared" si="12"/>
        <v>6.5557943450353928E-3</v>
      </c>
      <c r="I72" s="155">
        <f t="shared" si="13"/>
        <v>6.5557943450375465E-3</v>
      </c>
      <c r="J72" s="153">
        <f t="shared" si="14"/>
        <v>0.45074321679151175</v>
      </c>
      <c r="K72" s="9">
        <f t="shared" si="15"/>
        <v>1.0000035815520174</v>
      </c>
      <c r="L72" s="4">
        <f t="shared" si="16"/>
        <v>5.3029237297385788E-3</v>
      </c>
      <c r="M72" s="4">
        <f t="shared" si="17"/>
        <v>9.0458363029576896E-2</v>
      </c>
      <c r="N72" s="4">
        <f t="shared" si="18"/>
        <v>24.999791013253976</v>
      </c>
      <c r="O72" s="5">
        <f t="shared" si="19"/>
        <v>4.7859187653611794</v>
      </c>
      <c r="P72" s="5">
        <f t="shared" si="20"/>
        <v>3.3775196282613051</v>
      </c>
      <c r="Q72" s="5">
        <f t="shared" si="21"/>
        <v>4374.9672656798875</v>
      </c>
      <c r="S72" s="4">
        <f t="shared" si="4"/>
        <v>5.3029237297383958E-3</v>
      </c>
      <c r="T72" s="4">
        <f t="shared" si="5"/>
        <v>9.0458363029576994E-2</v>
      </c>
      <c r="U72" s="4">
        <f t="shared" si="6"/>
        <v>24.999791013254253</v>
      </c>
      <c r="V72" s="6">
        <f t="shared" si="22"/>
        <v>24.999955230816518</v>
      </c>
      <c r="W72" s="86">
        <f t="shared" si="23"/>
        <v>6.555794349785149E-3</v>
      </c>
      <c r="X72" s="9">
        <f t="shared" si="24"/>
        <v>1.0000035815520227</v>
      </c>
      <c r="Y72" s="4">
        <f t="shared" si="25"/>
        <v>25.000000000000341</v>
      </c>
      <c r="Z72" s="1">
        <f t="shared" si="26"/>
        <v>4.8869219373459671E-3</v>
      </c>
      <c r="AA72" s="86">
        <f t="shared" si="27"/>
        <v>2.2474604725732026</v>
      </c>
      <c r="AB72" s="86">
        <f t="shared" si="28"/>
        <v>0.89413218098114944</v>
      </c>
      <c r="AC72" s="1">
        <f t="shared" si="33"/>
        <v>2.2474604725732026</v>
      </c>
      <c r="AD72" s="5">
        <f t="shared" si="34"/>
        <v>4375</v>
      </c>
      <c r="AE72" s="5">
        <f t="shared" si="32"/>
        <v>0.28000000181981965</v>
      </c>
      <c r="AF72" s="5">
        <f t="shared" si="9"/>
        <v>128.76999970092203</v>
      </c>
      <c r="AH72" s="22">
        <f t="shared" si="10"/>
        <v>0</v>
      </c>
      <c r="AI72" s="22">
        <f t="shared" si="11"/>
        <v>1.8198196283236712E-9</v>
      </c>
      <c r="AJ72" s="87">
        <f t="shared" si="29"/>
        <v>2.9907798193562485E-7</v>
      </c>
    </row>
    <row r="73" spans="1:36" x14ac:dyDescent="0.2">
      <c r="A73" s="3">
        <v>4400</v>
      </c>
      <c r="B73" s="3">
        <v>0.53</v>
      </c>
      <c r="C73" s="3">
        <v>223.58</v>
      </c>
      <c r="E73" s="1">
        <f t="shared" si="30"/>
        <v>9.250245035569947E-3</v>
      </c>
      <c r="F73" s="1">
        <f t="shared" si="31"/>
        <v>3.9022071416089221</v>
      </c>
      <c r="H73" s="9">
        <f t="shared" si="12"/>
        <v>1.0818014520830088E-2</v>
      </c>
      <c r="I73" s="155">
        <f t="shared" si="13"/>
        <v>1.0818014520831852E-2</v>
      </c>
      <c r="J73" s="153">
        <f t="shared" si="14"/>
        <v>0.74379188970576438</v>
      </c>
      <c r="K73" s="9">
        <f t="shared" si="15"/>
        <v>1.0000097525673148</v>
      </c>
      <c r="L73" s="4">
        <f t="shared" si="16"/>
        <v>-0.12201437831848275</v>
      </c>
      <c r="M73" s="4">
        <f t="shared" si="17"/>
        <v>-3.208242151956682E-2</v>
      </c>
      <c r="N73" s="4">
        <f t="shared" si="18"/>
        <v>24.999559755128736</v>
      </c>
      <c r="O73" s="5">
        <f t="shared" si="19"/>
        <v>4.6639043870426971</v>
      </c>
      <c r="P73" s="5">
        <f t="shared" si="20"/>
        <v>3.3454372067417384</v>
      </c>
      <c r="Q73" s="5">
        <f t="shared" si="21"/>
        <v>4399.9668254350163</v>
      </c>
      <c r="S73" s="4">
        <f t="shared" si="4"/>
        <v>-0.12201437831848239</v>
      </c>
      <c r="T73" s="4">
        <f t="shared" si="5"/>
        <v>-3.2082421519566751E-2</v>
      </c>
      <c r="U73" s="4">
        <f t="shared" si="6"/>
        <v>24.999559755128757</v>
      </c>
      <c r="V73" s="6">
        <f t="shared" si="22"/>
        <v>24.999878094513591</v>
      </c>
      <c r="W73" s="86">
        <f t="shared" si="23"/>
        <v>1.0818014597602232E-2</v>
      </c>
      <c r="X73" s="9">
        <f t="shared" si="24"/>
        <v>1.0000097525674534</v>
      </c>
      <c r="Y73" s="4">
        <f t="shared" si="25"/>
        <v>25.000000000001755</v>
      </c>
      <c r="Z73" s="1">
        <f t="shared" si="26"/>
        <v>9.250245063729734E-3</v>
      </c>
      <c r="AA73" s="86">
        <f t="shared" si="27"/>
        <v>2.3809781623714024</v>
      </c>
      <c r="AB73" s="86">
        <f t="shared" si="28"/>
        <v>-0.76061449120152369</v>
      </c>
      <c r="AC73" s="1">
        <f t="shared" si="33"/>
        <v>-2.3809781623714024</v>
      </c>
      <c r="AD73" s="5">
        <f t="shared" si="34"/>
        <v>4400.0000000000018</v>
      </c>
      <c r="AE73" s="5">
        <f t="shared" si="32"/>
        <v>0.53000000161343697</v>
      </c>
      <c r="AF73" s="5">
        <f t="shared" si="9"/>
        <v>223.58000018330421</v>
      </c>
      <c r="AH73" s="22">
        <f t="shared" si="10"/>
        <v>1.8189894035458565E-12</v>
      </c>
      <c r="AI73" s="22">
        <f t="shared" si="11"/>
        <v>1.6134369396070269E-9</v>
      </c>
      <c r="AJ73" s="87">
        <f t="shared" si="29"/>
        <v>1.8330419493395311E-7</v>
      </c>
    </row>
    <row r="74" spans="1:36" x14ac:dyDescent="0.2">
      <c r="A74" s="3">
        <v>4452</v>
      </c>
      <c r="B74" s="3">
        <v>0.35</v>
      </c>
      <c r="C74" s="3">
        <v>225.7</v>
      </c>
      <c r="E74" s="1">
        <f t="shared" si="30"/>
        <v>6.1086523819801532E-3</v>
      </c>
      <c r="F74" s="1">
        <f t="shared" si="31"/>
        <v>3.9392081217512014</v>
      </c>
      <c r="H74" s="9">
        <f t="shared" si="12"/>
        <v>3.153879461659459E-3</v>
      </c>
      <c r="I74" s="155">
        <f t="shared" si="13"/>
        <v>3.153879461685554E-3</v>
      </c>
      <c r="J74" s="153">
        <f t="shared" si="14"/>
        <v>0.10425229744966105</v>
      </c>
      <c r="K74" s="9">
        <f t="shared" si="15"/>
        <v>1.000000828913796</v>
      </c>
      <c r="L74" s="4">
        <f t="shared" si="16"/>
        <v>-0.28514867398895938</v>
      </c>
      <c r="M74" s="4">
        <f t="shared" si="17"/>
        <v>-0.27946411904033641</v>
      </c>
      <c r="N74" s="4">
        <f t="shared" si="18"/>
        <v>51.998445636960717</v>
      </c>
      <c r="O74" s="5">
        <f t="shared" si="19"/>
        <v>4.3787557130537378</v>
      </c>
      <c r="P74" s="5">
        <f t="shared" si="20"/>
        <v>3.0659730877014022</v>
      </c>
      <c r="Q74" s="5">
        <f t="shared" si="21"/>
        <v>4451.9652710719774</v>
      </c>
      <c r="S74" s="4">
        <f t="shared" si="4"/>
        <v>-0.28514867398895927</v>
      </c>
      <c r="T74" s="4">
        <f t="shared" si="5"/>
        <v>-0.27946411904033619</v>
      </c>
      <c r="U74" s="4">
        <f t="shared" si="6"/>
        <v>51.998445636961151</v>
      </c>
      <c r="V74" s="6">
        <f t="shared" si="22"/>
        <v>51.99997844826585</v>
      </c>
      <c r="W74" s="86">
        <f t="shared" si="23"/>
        <v>3.1538795136643039E-3</v>
      </c>
      <c r="X74" s="9">
        <f t="shared" si="24"/>
        <v>1.0000008289138234</v>
      </c>
      <c r="Y74" s="4">
        <f t="shared" si="25"/>
        <v>52.000000000001144</v>
      </c>
      <c r="Z74" s="1">
        <f t="shared" si="26"/>
        <v>6.1086523527478231E-3</v>
      </c>
      <c r="AA74" s="86">
        <f t="shared" si="27"/>
        <v>2.3439771900986175</v>
      </c>
      <c r="AB74" s="86">
        <f t="shared" si="28"/>
        <v>-0.79761546349018309</v>
      </c>
      <c r="AC74" s="1">
        <f t="shared" si="33"/>
        <v>-2.3439771900986175</v>
      </c>
      <c r="AD74" s="5">
        <f t="shared" si="34"/>
        <v>4452.0000000000027</v>
      </c>
      <c r="AE74" s="5">
        <f t="shared" si="32"/>
        <v>0.34999999832511086</v>
      </c>
      <c r="AF74" s="5">
        <f t="shared" si="9"/>
        <v>225.69999973241536</v>
      </c>
      <c r="AH74" s="22">
        <f t="shared" si="10"/>
        <v>2.7284841053187847E-12</v>
      </c>
      <c r="AI74" s="22">
        <f t="shared" si="11"/>
        <v>1.6748891162876589E-9</v>
      </c>
      <c r="AJ74" s="87">
        <f t="shared" si="29"/>
        <v>2.6758462468023936E-7</v>
      </c>
    </row>
    <row r="75" spans="1:36" x14ac:dyDescent="0.2">
      <c r="A75" s="3">
        <v>4500</v>
      </c>
      <c r="B75" s="3">
        <v>0.27</v>
      </c>
      <c r="C75" s="3">
        <v>220.78</v>
      </c>
      <c r="E75" s="1">
        <f t="shared" si="30"/>
        <v>4.7123889803846897E-3</v>
      </c>
      <c r="F75" s="1">
        <f t="shared" si="31"/>
        <v>3.8533379225530808</v>
      </c>
      <c r="H75" s="9">
        <f t="shared" si="12"/>
        <v>1.4702655142504462E-3</v>
      </c>
      <c r="I75" s="155">
        <f t="shared" si="13"/>
        <v>1.4702655142859922E-3</v>
      </c>
      <c r="J75" s="153">
        <f t="shared" si="14"/>
        <v>5.2650005456363842E-2</v>
      </c>
      <c r="K75" s="9">
        <f t="shared" si="15"/>
        <v>1.0000001801400957</v>
      </c>
      <c r="L75" s="4">
        <f t="shared" si="16"/>
        <v>-0.18803202342656708</v>
      </c>
      <c r="M75" s="4">
        <f t="shared" si="17"/>
        <v>-0.178795381007611</v>
      </c>
      <c r="N75" s="4">
        <f t="shared" si="18"/>
        <v>47.9992943815556</v>
      </c>
      <c r="O75" s="5">
        <f t="shared" si="19"/>
        <v>4.1907236896271707</v>
      </c>
      <c r="P75" s="5">
        <f t="shared" si="20"/>
        <v>2.8871777066937914</v>
      </c>
      <c r="Q75" s="5">
        <f t="shared" si="21"/>
        <v>4499.9645654535334</v>
      </c>
      <c r="S75" s="4">
        <f t="shared" si="4"/>
        <v>-0.18803202342656711</v>
      </c>
      <c r="T75" s="4">
        <f t="shared" si="5"/>
        <v>-0.17879538100761083</v>
      </c>
      <c r="U75" s="4">
        <f t="shared" si="6"/>
        <v>47.999294381555956</v>
      </c>
      <c r="V75" s="6">
        <f t="shared" si="22"/>
        <v>47.999995676639109</v>
      </c>
      <c r="W75" s="86">
        <f t="shared" si="23"/>
        <v>1.470265442869767E-3</v>
      </c>
      <c r="X75" s="9">
        <f t="shared" si="24"/>
        <v>1.0000001801400784</v>
      </c>
      <c r="Y75" s="4">
        <f t="shared" si="25"/>
        <v>47.999999999999936</v>
      </c>
      <c r="Z75" s="1">
        <f t="shared" si="26"/>
        <v>4.7123890072195973E-3</v>
      </c>
      <c r="AA75" s="86">
        <f t="shared" si="27"/>
        <v>2.4298473780241605</v>
      </c>
      <c r="AB75" s="86">
        <f t="shared" si="28"/>
        <v>-0.71174527549823408</v>
      </c>
      <c r="AC75" s="1">
        <f t="shared" si="33"/>
        <v>-2.4298473780241605</v>
      </c>
      <c r="AD75" s="5">
        <f t="shared" si="34"/>
        <v>4500.0000000000027</v>
      </c>
      <c r="AE75" s="5">
        <f t="shared" si="32"/>
        <v>0.27000000153752696</v>
      </c>
      <c r="AF75" s="5">
        <f t="shared" si="9"/>
        <v>220.7800003782865</v>
      </c>
      <c r="AH75" s="22">
        <f t="shared" si="10"/>
        <v>2.7284841053187847E-12</v>
      </c>
      <c r="AI75" s="22">
        <f t="shared" si="11"/>
        <v>1.5375269390993651E-9</v>
      </c>
      <c r="AJ75" s="87">
        <f t="shared" si="29"/>
        <v>3.7828650079063664E-7</v>
      </c>
    </row>
    <row r="76" spans="1:36" x14ac:dyDescent="0.2">
      <c r="A76" s="3">
        <v>4550</v>
      </c>
      <c r="B76" s="3">
        <v>0.08</v>
      </c>
      <c r="C76" s="3">
        <v>306.22000000000003</v>
      </c>
      <c r="E76" s="1">
        <f t="shared" si="30"/>
        <v>1.3962634015954637E-3</v>
      </c>
      <c r="F76" s="1">
        <f t="shared" si="31"/>
        <v>5.3445472354570365</v>
      </c>
      <c r="H76" s="9">
        <f t="shared" si="12"/>
        <v>4.8072787745510048E-3</v>
      </c>
      <c r="I76" s="155">
        <f t="shared" si="13"/>
        <v>4.807278774533099E-3</v>
      </c>
      <c r="J76" s="153">
        <f t="shared" si="14"/>
        <v>0.16526207083475697</v>
      </c>
      <c r="K76" s="9">
        <f t="shared" si="15"/>
        <v>1.0000019258318853</v>
      </c>
      <c r="L76" s="4">
        <f t="shared" si="16"/>
        <v>-6.8582194711607203E-2</v>
      </c>
      <c r="M76" s="4">
        <f t="shared" si="17"/>
        <v>-0.10510910565377596</v>
      </c>
      <c r="N76" s="4">
        <f t="shared" si="18"/>
        <v>49.999794339513031</v>
      </c>
      <c r="O76" s="5">
        <f t="shared" si="19"/>
        <v>4.1221414949155637</v>
      </c>
      <c r="P76" s="5">
        <f t="shared" si="20"/>
        <v>2.7820686010400153</v>
      </c>
      <c r="Q76" s="5">
        <f t="shared" si="21"/>
        <v>4549.9643597930462</v>
      </c>
      <c r="S76" s="4">
        <f t="shared" si="4"/>
        <v>-6.8582194711606981E-2</v>
      </c>
      <c r="T76" s="4">
        <f t="shared" si="5"/>
        <v>-0.10510910565377607</v>
      </c>
      <c r="U76" s="4">
        <f t="shared" si="6"/>
        <v>49.999794339512846</v>
      </c>
      <c r="V76" s="6">
        <f t="shared" si="22"/>
        <v>49.999951854327854</v>
      </c>
      <c r="W76" s="86">
        <f t="shared" si="23"/>
        <v>4.8072788079487339E-3</v>
      </c>
      <c r="X76" s="9">
        <f t="shared" si="24"/>
        <v>1.0000019258319122</v>
      </c>
      <c r="Y76" s="4">
        <f t="shared" si="25"/>
        <v>50.000000000000483</v>
      </c>
      <c r="Z76" s="1">
        <f t="shared" si="26"/>
        <v>1.3962633688096027E-3</v>
      </c>
      <c r="AA76" s="86">
        <f t="shared" si="27"/>
        <v>0.93863805452575944</v>
      </c>
      <c r="AB76" s="86">
        <f t="shared" si="28"/>
        <v>-0.93863805398207156</v>
      </c>
      <c r="AC76" s="1">
        <f t="shared" si="33"/>
        <v>-0.93863805452575944</v>
      </c>
      <c r="AD76" s="5">
        <f t="shared" si="34"/>
        <v>4550.0000000000036</v>
      </c>
      <c r="AE76" s="5">
        <f t="shared" si="32"/>
        <v>7.9999998121508542E-2</v>
      </c>
      <c r="AF76" s="5">
        <f t="shared" si="9"/>
        <v>306.22000098530356</v>
      </c>
      <c r="AH76" s="22">
        <f t="shared" si="10"/>
        <v>3.637978807091713E-12</v>
      </c>
      <c r="AI76" s="22">
        <f t="shared" si="11"/>
        <v>1.8784914596059465E-9</v>
      </c>
      <c r="AJ76" s="87">
        <f t="shared" si="29"/>
        <v>9.8530352943271282E-7</v>
      </c>
    </row>
    <row r="77" spans="1:36" x14ac:dyDescent="0.2">
      <c r="A77" s="3">
        <v>4600</v>
      </c>
      <c r="B77" s="3">
        <v>0.08</v>
      </c>
      <c r="C77" s="3">
        <v>207.42</v>
      </c>
      <c r="E77" s="1">
        <f t="shared" si="30"/>
        <v>1.3962634015954637E-3</v>
      </c>
      <c r="F77" s="1">
        <f t="shared" si="31"/>
        <v>3.6201619344866383</v>
      </c>
      <c r="H77" s="9">
        <f t="shared" si="12"/>
        <v>2.1202851848456383E-3</v>
      </c>
      <c r="I77" s="155">
        <f t="shared" si="13"/>
        <v>2.1202851848578039E-3</v>
      </c>
      <c r="J77" s="153">
        <f t="shared" si="14"/>
        <v>7.2890035473462414E-2</v>
      </c>
      <c r="K77" s="9">
        <f t="shared" si="15"/>
        <v>1.0000003746342738</v>
      </c>
      <c r="L77" s="4">
        <f t="shared" si="16"/>
        <v>-1.0359136200802055E-2</v>
      </c>
      <c r="M77" s="4">
        <f t="shared" si="17"/>
        <v>-4.4235852596909368E-2</v>
      </c>
      <c r="N77" s="4">
        <f t="shared" si="18"/>
        <v>49.999969992916192</v>
      </c>
      <c r="O77" s="5">
        <f t="shared" si="19"/>
        <v>4.1117823587147617</v>
      </c>
      <c r="P77" s="5">
        <f t="shared" si="20"/>
        <v>2.7378327484431058</v>
      </c>
      <c r="Q77" s="5">
        <f t="shared" si="21"/>
        <v>4599.964329785962</v>
      </c>
      <c r="S77" s="4">
        <f t="shared" si="4"/>
        <v>-1.0359136200801977E-2</v>
      </c>
      <c r="T77" s="4">
        <f t="shared" si="5"/>
        <v>-4.4235852596909542E-2</v>
      </c>
      <c r="U77" s="4">
        <f t="shared" si="6"/>
        <v>49.999969992915794</v>
      </c>
      <c r="V77" s="6">
        <f t="shared" si="22"/>
        <v>49.999990634147501</v>
      </c>
      <c r="W77" s="86">
        <f t="shared" si="23"/>
        <v>2.1202851664794409E-3</v>
      </c>
      <c r="X77" s="9">
        <f t="shared" si="24"/>
        <v>1.0000003746342674</v>
      </c>
      <c r="Y77" s="4">
        <f t="shared" si="25"/>
        <v>49.999999999999453</v>
      </c>
      <c r="Z77" s="1">
        <f t="shared" si="26"/>
        <v>1.3962634206527991E-3</v>
      </c>
      <c r="AA77" s="86">
        <f t="shared" si="27"/>
        <v>2.6630233463817961</v>
      </c>
      <c r="AB77" s="86">
        <f t="shared" si="28"/>
        <v>-0.47856930660445829</v>
      </c>
      <c r="AC77" s="1">
        <f t="shared" si="33"/>
        <v>-2.6630233463817961</v>
      </c>
      <c r="AD77" s="5">
        <f t="shared" si="34"/>
        <v>4600.0000000000027</v>
      </c>
      <c r="AE77" s="5">
        <f t="shared" si="32"/>
        <v>8.0000001091904888E-2</v>
      </c>
      <c r="AF77" s="5">
        <f t="shared" si="9"/>
        <v>207.42000150751795</v>
      </c>
      <c r="AH77" s="22">
        <f t="shared" si="10"/>
        <v>2.7284841053187847E-12</v>
      </c>
      <c r="AI77" s="22">
        <f t="shared" si="11"/>
        <v>1.091904885952566E-9</v>
      </c>
      <c r="AJ77" s="87">
        <f t="shared" si="29"/>
        <v>1.5075179646828474E-6</v>
      </c>
    </row>
    <row r="78" spans="1:36" x14ac:dyDescent="0.2">
      <c r="A78" s="3">
        <v>4650</v>
      </c>
      <c r="B78" s="3">
        <v>0.18</v>
      </c>
      <c r="C78" s="3">
        <v>190.18</v>
      </c>
      <c r="E78" s="1">
        <f t="shared" si="30"/>
        <v>3.1415926535897929E-3</v>
      </c>
      <c r="F78" s="1">
        <f t="shared" si="31"/>
        <v>3.3192671714428159</v>
      </c>
      <c r="H78" s="9">
        <f t="shared" si="12"/>
        <v>1.8548123649273496E-3</v>
      </c>
      <c r="I78" s="155">
        <f t="shared" si="13"/>
        <v>1.8548123649027909E-3</v>
      </c>
      <c r="J78" s="153">
        <f t="shared" si="14"/>
        <v>6.3763752179409716E-2</v>
      </c>
      <c r="K78" s="9">
        <f t="shared" si="15"/>
        <v>1.0000002866941744</v>
      </c>
      <c r="L78" s="4">
        <f t="shared" si="16"/>
        <v>-0.10828828023867799</v>
      </c>
      <c r="M78" s="4">
        <f t="shared" si="17"/>
        <v>-2.9956020089777973E-2</v>
      </c>
      <c r="N78" s="4">
        <f t="shared" si="18"/>
        <v>49.999866595323198</v>
      </c>
      <c r="O78" s="5">
        <f t="shared" si="19"/>
        <v>4.0034940784760833</v>
      </c>
      <c r="P78" s="5">
        <f t="shared" si="20"/>
        <v>2.7078767283533276</v>
      </c>
      <c r="Q78" s="5">
        <f t="shared" si="21"/>
        <v>4649.9641963812855</v>
      </c>
      <c r="S78" s="4">
        <f t="shared" si="4"/>
        <v>-0.10828828023867842</v>
      </c>
      <c r="T78" s="4">
        <f t="shared" si="5"/>
        <v>-2.9956020089778157E-2</v>
      </c>
      <c r="U78" s="4">
        <f t="shared" si="6"/>
        <v>49.99986659532351</v>
      </c>
      <c r="V78" s="6">
        <f t="shared" si="22"/>
        <v>49.999992832648729</v>
      </c>
      <c r="W78" s="86">
        <f t="shared" si="23"/>
        <v>1.8548123688479912E-3</v>
      </c>
      <c r="X78" s="9">
        <f t="shared" si="24"/>
        <v>1.0000002866941755</v>
      </c>
      <c r="Y78" s="4">
        <f t="shared" si="25"/>
        <v>50.000000000000348</v>
      </c>
      <c r="Z78" s="1">
        <f t="shared" si="26"/>
        <v>3.141592646188851E-3</v>
      </c>
      <c r="AA78" s="86">
        <f t="shared" si="27"/>
        <v>2.9639181488587258</v>
      </c>
      <c r="AB78" s="86">
        <f t="shared" si="28"/>
        <v>-0.17767450489171335</v>
      </c>
      <c r="AC78" s="1">
        <f t="shared" si="33"/>
        <v>-2.9639181488587258</v>
      </c>
      <c r="AD78" s="5">
        <f t="shared" si="34"/>
        <v>4650.0000000000027</v>
      </c>
      <c r="AE78" s="5">
        <f t="shared" si="32"/>
        <v>0.17999999957595725</v>
      </c>
      <c r="AF78" s="5">
        <f t="shared" si="9"/>
        <v>190.17999924816732</v>
      </c>
      <c r="AH78" s="22">
        <f t="shared" si="10"/>
        <v>2.7284841053187847E-12</v>
      </c>
      <c r="AI78" s="22">
        <f t="shared" si="11"/>
        <v>4.2404274536167463E-10</v>
      </c>
      <c r="AJ78" s="87">
        <f t="shared" si="29"/>
        <v>7.5183268677392334E-7</v>
      </c>
    </row>
    <row r="79" spans="1:36" x14ac:dyDescent="0.2">
      <c r="A79" s="3">
        <v>4700</v>
      </c>
      <c r="B79" s="3">
        <v>0.27</v>
      </c>
      <c r="C79" s="3">
        <v>195.47</v>
      </c>
      <c r="E79" s="1">
        <f t="shared" si="30"/>
        <v>4.7123889803846897E-3</v>
      </c>
      <c r="F79" s="1">
        <f t="shared" si="31"/>
        <v>3.411595088873316</v>
      </c>
      <c r="H79" s="9">
        <f t="shared" si="12"/>
        <v>1.6104378896635296E-3</v>
      </c>
      <c r="I79" s="155">
        <f t="shared" si="13"/>
        <v>1.6104378896715373E-3</v>
      </c>
      <c r="J79" s="153">
        <f t="shared" si="14"/>
        <v>5.5362776547405117E-2</v>
      </c>
      <c r="K79" s="9">
        <f t="shared" si="15"/>
        <v>1.0000002161259056</v>
      </c>
      <c r="L79" s="4">
        <f t="shared" si="16"/>
        <v>-0.19084439358653305</v>
      </c>
      <c r="M79" s="4">
        <f t="shared" si="17"/>
        <v>-4.530492408851626E-2</v>
      </c>
      <c r="N79" s="4">
        <f t="shared" si="18"/>
        <v>49.999609854144978</v>
      </c>
      <c r="O79" s="5">
        <f t="shared" si="19"/>
        <v>3.8126496848895504</v>
      </c>
      <c r="P79" s="5">
        <f t="shared" si="20"/>
        <v>2.6625718042648114</v>
      </c>
      <c r="Q79" s="5">
        <f t="shared" si="21"/>
        <v>4699.9638062354306</v>
      </c>
      <c r="S79" s="4">
        <f t="shared" si="4"/>
        <v>-0.19084439358653293</v>
      </c>
      <c r="T79" s="4">
        <f t="shared" si="5"/>
        <v>-4.5304924088516163E-2</v>
      </c>
      <c r="U79" s="4">
        <f t="shared" si="6"/>
        <v>49.999609854145092</v>
      </c>
      <c r="V79" s="6">
        <f t="shared" si="22"/>
        <v>49.999994596854037</v>
      </c>
      <c r="W79" s="86">
        <f t="shared" si="23"/>
        <v>1.6104379261125956E-3</v>
      </c>
      <c r="X79" s="9">
        <f t="shared" si="24"/>
        <v>1.0000002161259154</v>
      </c>
      <c r="Y79" s="4">
        <f t="shared" si="25"/>
        <v>50.000000000000355</v>
      </c>
      <c r="Z79" s="1">
        <f t="shared" si="26"/>
        <v>4.7123889915288153E-3</v>
      </c>
      <c r="AA79" s="86">
        <f t="shared" si="27"/>
        <v>2.8715902097602317</v>
      </c>
      <c r="AB79" s="86">
        <f t="shared" si="28"/>
        <v>-0.27000244385097816</v>
      </c>
      <c r="AC79" s="1">
        <f t="shared" si="33"/>
        <v>-2.8715902097602317</v>
      </c>
      <c r="AD79" s="5">
        <f t="shared" si="34"/>
        <v>4700.0000000000027</v>
      </c>
      <c r="AE79" s="5">
        <f t="shared" si="32"/>
        <v>0.27000000063851137</v>
      </c>
      <c r="AF79" s="5">
        <f t="shared" si="9"/>
        <v>195.47000048965194</v>
      </c>
      <c r="AH79" s="22">
        <f t="shared" si="10"/>
        <v>2.7284841053187847E-12</v>
      </c>
      <c r="AI79" s="22">
        <f t="shared" si="11"/>
        <v>6.3851135490011757E-10</v>
      </c>
      <c r="AJ79" s="87">
        <f t="shared" si="29"/>
        <v>4.8965193855110556E-7</v>
      </c>
    </row>
    <row r="80" spans="1:36" x14ac:dyDescent="0.2">
      <c r="A80" s="3">
        <v>4750</v>
      </c>
      <c r="B80" s="3">
        <v>0.08</v>
      </c>
      <c r="C80" s="3">
        <v>151.69999999999999</v>
      </c>
      <c r="E80" s="1">
        <f t="shared" si="30"/>
        <v>1.3962634015954637E-3</v>
      </c>
      <c r="F80" s="1">
        <f t="shared" si="31"/>
        <v>2.6476644752753979</v>
      </c>
      <c r="H80" s="9">
        <f t="shared" si="12"/>
        <v>3.8279763353883389E-3</v>
      </c>
      <c r="I80" s="155">
        <f t="shared" si="13"/>
        <v>3.8279763353871628E-3</v>
      </c>
      <c r="J80" s="153">
        <f t="shared" si="14"/>
        <v>0.13159613285622426</v>
      </c>
      <c r="K80" s="9">
        <f t="shared" si="15"/>
        <v>1.0000012211186913</v>
      </c>
      <c r="L80" s="4">
        <f t="shared" si="16"/>
        <v>-0.14427571084456531</v>
      </c>
      <c r="M80" s="4">
        <f t="shared" si="17"/>
        <v>-1.487494043320485E-2</v>
      </c>
      <c r="N80" s="4">
        <f t="shared" si="18"/>
        <v>49.999759104066122</v>
      </c>
      <c r="O80" s="5">
        <f t="shared" si="19"/>
        <v>3.668373974044985</v>
      </c>
      <c r="P80" s="5">
        <f t="shared" si="20"/>
        <v>2.6476968638316065</v>
      </c>
      <c r="Q80" s="5">
        <f t="shared" si="21"/>
        <v>4749.9635653394971</v>
      </c>
      <c r="S80" s="4">
        <f t="shared" si="4"/>
        <v>-0.14427571084456536</v>
      </c>
      <c r="T80" s="4">
        <f t="shared" si="5"/>
        <v>-1.487494043320492E-2</v>
      </c>
      <c r="U80" s="4">
        <f t="shared" si="6"/>
        <v>49.99975910406647</v>
      </c>
      <c r="V80" s="6">
        <f t="shared" si="22"/>
        <v>49.999969472083386</v>
      </c>
      <c r="W80" s="86">
        <f t="shared" si="23"/>
        <v>3.8279763772424147E-3</v>
      </c>
      <c r="X80" s="9">
        <f t="shared" si="24"/>
        <v>1.0000012211187181</v>
      </c>
      <c r="Y80" s="4">
        <f t="shared" si="25"/>
        <v>50.000000000001009</v>
      </c>
      <c r="Z80" s="1">
        <f t="shared" si="26"/>
        <v>1.3962634214479408E-3</v>
      </c>
      <c r="AA80" s="86">
        <f t="shared" si="27"/>
        <v>2.6476644488713128</v>
      </c>
      <c r="AB80" s="86">
        <f t="shared" si="28"/>
        <v>0.49392820464783749</v>
      </c>
      <c r="AC80" s="1">
        <f t="shared" si="33"/>
        <v>2.6476644488713128</v>
      </c>
      <c r="AD80" s="5">
        <f t="shared" si="34"/>
        <v>4750.0000000000036</v>
      </c>
      <c r="AE80" s="5">
        <f t="shared" si="32"/>
        <v>8.0000001137463153E-2</v>
      </c>
      <c r="AF80" s="5">
        <f t="shared" si="9"/>
        <v>151.69999848715736</v>
      </c>
      <c r="AH80" s="22">
        <f t="shared" si="10"/>
        <v>3.637978807091713E-12</v>
      </c>
      <c r="AI80" s="22">
        <f t="shared" si="11"/>
        <v>1.1374631514460276E-9</v>
      </c>
      <c r="AJ80" s="87">
        <f t="shared" si="29"/>
        <v>1.5128426298360864E-6</v>
      </c>
    </row>
    <row r="81" spans="1:36" x14ac:dyDescent="0.2">
      <c r="A81" s="3">
        <v>4800</v>
      </c>
      <c r="B81" s="3">
        <v>0.08</v>
      </c>
      <c r="C81" s="3">
        <v>231.32</v>
      </c>
      <c r="E81" s="1">
        <f t="shared" si="30"/>
        <v>1.3962634015954637E-3</v>
      </c>
      <c r="F81" s="1">
        <f t="shared" si="31"/>
        <v>4.0372956257132833</v>
      </c>
      <c r="H81" s="9">
        <f t="shared" si="12"/>
        <v>1.7878975748153447E-3</v>
      </c>
      <c r="I81" s="155">
        <f t="shared" si="13"/>
        <v>1.7878975748364548E-3</v>
      </c>
      <c r="J81" s="153">
        <f t="shared" si="14"/>
        <v>6.1463391143156763E-2</v>
      </c>
      <c r="K81" s="9">
        <f t="shared" si="15"/>
        <v>1.0000002663815633</v>
      </c>
      <c r="L81" s="4">
        <f t="shared" si="16"/>
        <v>-5.2550029856085895E-2</v>
      </c>
      <c r="M81" s="4">
        <f t="shared" si="17"/>
        <v>-1.0700976101829376E-2</v>
      </c>
      <c r="N81" s="4">
        <f t="shared" si="18"/>
        <v>49.999964580285933</v>
      </c>
      <c r="O81" s="5">
        <f t="shared" si="19"/>
        <v>3.6158239441888993</v>
      </c>
      <c r="P81" s="5">
        <f t="shared" si="20"/>
        <v>2.636995887729777</v>
      </c>
      <c r="Q81" s="5">
        <f t="shared" si="21"/>
        <v>4799.9635299197835</v>
      </c>
      <c r="S81" s="4">
        <f t="shared" si="4"/>
        <v>-5.25500298560857E-2</v>
      </c>
      <c r="T81" s="4">
        <f t="shared" si="5"/>
        <v>-1.0700976101829518E-2</v>
      </c>
      <c r="U81" s="4">
        <f t="shared" si="6"/>
        <v>49.99996458028636</v>
      </c>
      <c r="V81" s="6">
        <f t="shared" si="22"/>
        <v>49.999993340463739</v>
      </c>
      <c r="W81" s="86">
        <f t="shared" si="23"/>
        <v>1.7878976570844252E-3</v>
      </c>
      <c r="X81" s="9">
        <f t="shared" si="24"/>
        <v>1.0000002663815879</v>
      </c>
      <c r="Y81" s="4">
        <f t="shared" si="25"/>
        <v>50.000000000001044</v>
      </c>
      <c r="Z81" s="1">
        <f t="shared" si="26"/>
        <v>1.3962634346471603E-3</v>
      </c>
      <c r="AA81" s="86">
        <f t="shared" si="27"/>
        <v>2.2458896625140183</v>
      </c>
      <c r="AB81" s="86">
        <f t="shared" si="28"/>
        <v>-0.89570299054000024</v>
      </c>
      <c r="AC81" s="1">
        <f t="shared" si="33"/>
        <v>-2.2458896625140183</v>
      </c>
      <c r="AD81" s="5">
        <f t="shared" si="34"/>
        <v>4800.0000000000045</v>
      </c>
      <c r="AE81" s="5">
        <f t="shared" si="32"/>
        <v>8.0000001893722722E-2</v>
      </c>
      <c r="AF81" s="5">
        <f t="shared" si="9"/>
        <v>231.32000108588593</v>
      </c>
      <c r="AH81" s="22">
        <f t="shared" si="10"/>
        <v>4.5474735088646412E-12</v>
      </c>
      <c r="AI81" s="22">
        <f t="shared" si="11"/>
        <v>1.8937227203030815E-9</v>
      </c>
      <c r="AJ81" s="87">
        <f t="shared" si="29"/>
        <v>1.085885941165543E-6</v>
      </c>
    </row>
    <row r="82" spans="1:36" x14ac:dyDescent="0.2">
      <c r="A82" s="3">
        <v>4850</v>
      </c>
      <c r="B82" s="3">
        <v>0.08</v>
      </c>
      <c r="C82" s="3">
        <v>309.37</v>
      </c>
      <c r="E82" s="1">
        <f t="shared" si="30"/>
        <v>1.3962634015954637E-3</v>
      </c>
      <c r="F82" s="1">
        <f t="shared" si="31"/>
        <v>5.3995251068948571</v>
      </c>
      <c r="H82" s="9">
        <f t="shared" si="12"/>
        <v>1.7583404764554E-3</v>
      </c>
      <c r="I82" s="155">
        <f t="shared" si="13"/>
        <v>1.7583404764561065E-3</v>
      </c>
      <c r="J82" s="153">
        <f t="shared" si="14"/>
        <v>6.0447292948750037E-2</v>
      </c>
      <c r="K82" s="9">
        <f t="shared" si="15"/>
        <v>1.000000257646849</v>
      </c>
      <c r="L82" s="4">
        <f t="shared" si="16"/>
        <v>3.2657297500568309E-4</v>
      </c>
      <c r="M82" s="4">
        <f t="shared" si="17"/>
        <v>-5.4234860961712095E-2</v>
      </c>
      <c r="N82" s="4">
        <f t="shared" si="18"/>
        <v>49.999964143550642</v>
      </c>
      <c r="O82" s="5">
        <f t="shared" si="19"/>
        <v>3.6161505171639048</v>
      </c>
      <c r="P82" s="5">
        <f t="shared" si="20"/>
        <v>2.5827610267680647</v>
      </c>
      <c r="Q82" s="5">
        <f t="shared" si="21"/>
        <v>4849.9634940633341</v>
      </c>
      <c r="S82" s="4">
        <f t="shared" si="4"/>
        <v>3.2657297500549021E-4</v>
      </c>
      <c r="T82" s="4">
        <f t="shared" si="5"/>
        <v>-5.4234860961712261E-2</v>
      </c>
      <c r="U82" s="4">
        <f t="shared" si="6"/>
        <v>49.999964143550642</v>
      </c>
      <c r="V82" s="6">
        <f t="shared" si="22"/>
        <v>49.999993558831022</v>
      </c>
      <c r="W82" s="86">
        <f t="shared" si="23"/>
        <v>1.7583404772372191E-3</v>
      </c>
      <c r="X82" s="9">
        <f t="shared" si="24"/>
        <v>1.0000002576468492</v>
      </c>
      <c r="Y82" s="4">
        <f t="shared" si="25"/>
        <v>50.000000000000014</v>
      </c>
      <c r="Z82" s="1">
        <f t="shared" si="26"/>
        <v>1.3962633692867765E-3</v>
      </c>
      <c r="AA82" s="86">
        <f t="shared" si="27"/>
        <v>0.88366018129951751</v>
      </c>
      <c r="AB82" s="86">
        <f t="shared" si="28"/>
        <v>-0.88366018068047336</v>
      </c>
      <c r="AC82" s="1">
        <f t="shared" si="33"/>
        <v>-0.88366018129951751</v>
      </c>
      <c r="AD82" s="5">
        <f t="shared" si="34"/>
        <v>4850.0000000000045</v>
      </c>
      <c r="AE82" s="5">
        <f t="shared" si="32"/>
        <v>7.9999998148848589E-2</v>
      </c>
      <c r="AF82" s="5">
        <f t="shared" si="9"/>
        <v>309.37000108777249</v>
      </c>
      <c r="AH82" s="22">
        <f t="shared" si="10"/>
        <v>4.5474735088646412E-12</v>
      </c>
      <c r="AI82" s="22">
        <f t="shared" si="11"/>
        <v>1.8511514127128592E-9</v>
      </c>
      <c r="AJ82" s="87">
        <f t="shared" si="29"/>
        <v>1.087772488972405E-6</v>
      </c>
    </row>
    <row r="83" spans="1:36" x14ac:dyDescent="0.2">
      <c r="A83" s="3">
        <v>4900</v>
      </c>
      <c r="B83" s="3">
        <v>0.08</v>
      </c>
      <c r="C83" s="3">
        <v>294.97000000000003</v>
      </c>
      <c r="E83" s="1">
        <f t="shared" si="30"/>
        <v>1.3962634015954637E-3</v>
      </c>
      <c r="F83" s="1">
        <f t="shared" si="31"/>
        <v>5.1481976946076742</v>
      </c>
      <c r="H83" s="9">
        <f t="shared" si="12"/>
        <v>3.4999630207455112E-4</v>
      </c>
      <c r="I83" s="155">
        <f t="shared" si="13"/>
        <v>3.4999630212264888E-4</v>
      </c>
      <c r="J83" s="153">
        <f t="shared" si="14"/>
        <v>1.2031986572434584E-2</v>
      </c>
      <c r="K83" s="9">
        <f t="shared" si="15"/>
        <v>1.0000000102081177</v>
      </c>
      <c r="L83" s="4">
        <f t="shared" si="16"/>
        <v>3.6877730350566684E-2</v>
      </c>
      <c r="M83" s="4">
        <f t="shared" si="17"/>
        <v>-5.8628898761822201E-2</v>
      </c>
      <c r="N83" s="4">
        <f t="shared" si="18"/>
        <v>49.999951771626137</v>
      </c>
      <c r="O83" s="5">
        <f t="shared" si="19"/>
        <v>3.6530282475144715</v>
      </c>
      <c r="P83" s="5">
        <f t="shared" si="20"/>
        <v>2.5241321280062428</v>
      </c>
      <c r="Q83" s="5">
        <f t="shared" si="21"/>
        <v>4899.9634458349601</v>
      </c>
      <c r="S83" s="4">
        <f t="shared" si="4"/>
        <v>3.687773035056674E-2</v>
      </c>
      <c r="T83" s="4">
        <f t="shared" si="5"/>
        <v>-5.8628898761821979E-2</v>
      </c>
      <c r="U83" s="4">
        <f t="shared" si="6"/>
        <v>49.999951771626002</v>
      </c>
      <c r="V83" s="6">
        <f t="shared" si="22"/>
        <v>49.999999744796916</v>
      </c>
      <c r="W83" s="86">
        <f t="shared" si="23"/>
        <v>3.4999634672994162E-4</v>
      </c>
      <c r="X83" s="9">
        <f t="shared" si="24"/>
        <v>1.0000000102081203</v>
      </c>
      <c r="Y83" s="4">
        <f t="shared" si="25"/>
        <v>49.999999999999922</v>
      </c>
      <c r="Z83" s="1">
        <f t="shared" si="26"/>
        <v>1.3962634394180107E-3</v>
      </c>
      <c r="AA83" s="86">
        <f t="shared" si="27"/>
        <v>1.1349876251849711</v>
      </c>
      <c r="AB83" s="86">
        <f t="shared" si="28"/>
        <v>-1.1349876253037319</v>
      </c>
      <c r="AC83" s="1">
        <f t="shared" si="33"/>
        <v>-1.1349876251849711</v>
      </c>
      <c r="AD83" s="5">
        <f t="shared" si="34"/>
        <v>4900.0000000000045</v>
      </c>
      <c r="AE83" s="5">
        <f t="shared" si="32"/>
        <v>8.0000002167072315E-2</v>
      </c>
      <c r="AF83" s="5">
        <f t="shared" si="9"/>
        <v>294.96999927732497</v>
      </c>
      <c r="AH83" s="22">
        <f t="shared" si="10"/>
        <v>4.5474735088646412E-12</v>
      </c>
      <c r="AI83" s="22">
        <f t="shared" si="11"/>
        <v>2.1670723132638514E-9</v>
      </c>
      <c r="AJ83" s="87">
        <f t="shared" si="29"/>
        <v>7.2267505402123788E-7</v>
      </c>
    </row>
    <row r="84" spans="1:36" x14ac:dyDescent="0.2">
      <c r="A84" s="3">
        <v>4950</v>
      </c>
      <c r="B84" s="3">
        <v>0.08</v>
      </c>
      <c r="C84" s="3">
        <v>177.18</v>
      </c>
      <c r="E84" s="1">
        <f t="shared" si="30"/>
        <v>1.3962634015954637E-3</v>
      </c>
      <c r="F84" s="1">
        <f t="shared" si="31"/>
        <v>3.0923743686835534</v>
      </c>
      <c r="H84" s="9">
        <f t="shared" si="12"/>
        <v>2.3910226919485744E-3</v>
      </c>
      <c r="I84" s="155">
        <f t="shared" si="13"/>
        <v>2.3910226919488238E-3</v>
      </c>
      <c r="J84" s="153">
        <f t="shared" si="14"/>
        <v>8.2197305381197253E-2</v>
      </c>
      <c r="K84" s="9">
        <f t="shared" si="15"/>
        <v>1.000000476416065</v>
      </c>
      <c r="L84" s="4">
        <f t="shared" si="16"/>
        <v>-2.0128723434023912E-2</v>
      </c>
      <c r="M84" s="4">
        <f t="shared" si="17"/>
        <v>-2.9926485560840155E-2</v>
      </c>
      <c r="N84" s="4">
        <f t="shared" si="18"/>
        <v>49.999975082000788</v>
      </c>
      <c r="O84" s="5">
        <f t="shared" si="19"/>
        <v>3.6328995240804476</v>
      </c>
      <c r="P84" s="5">
        <f t="shared" si="20"/>
        <v>2.4942056424454027</v>
      </c>
      <c r="Q84" s="5">
        <f t="shared" si="21"/>
        <v>4949.9634209169608</v>
      </c>
      <c r="S84" s="4">
        <f t="shared" si="4"/>
        <v>-2.0128723434023943E-2</v>
      </c>
      <c r="T84" s="4">
        <f t="shared" si="5"/>
        <v>-2.9926485560840099E-2</v>
      </c>
      <c r="U84" s="4">
        <f t="shared" si="6"/>
        <v>49.999975082000674</v>
      </c>
      <c r="V84" s="6">
        <f t="shared" si="22"/>
        <v>49.999988089605914</v>
      </c>
      <c r="W84" s="86">
        <f t="shared" si="23"/>
        <v>2.391022738580606E-3</v>
      </c>
      <c r="X84" s="9">
        <f t="shared" si="24"/>
        <v>1.0000004764160837</v>
      </c>
      <c r="Y84" s="4">
        <f t="shared" si="25"/>
        <v>50.000000000000348</v>
      </c>
      <c r="Z84" s="1">
        <f t="shared" si="26"/>
        <v>1.3962634037958388E-3</v>
      </c>
      <c r="AA84" s="86">
        <f t="shared" si="27"/>
        <v>3.0923743367126217</v>
      </c>
      <c r="AB84" s="86">
        <f t="shared" si="28"/>
        <v>4.9218314745795626E-2</v>
      </c>
      <c r="AC84" s="1">
        <f t="shared" si="33"/>
        <v>3.0923743367126217</v>
      </c>
      <c r="AD84" s="5">
        <f t="shared" si="34"/>
        <v>4950.0000000000045</v>
      </c>
      <c r="AE84" s="5">
        <f t="shared" si="32"/>
        <v>8.000000012607221E-2</v>
      </c>
      <c r="AF84" s="5">
        <f t="shared" si="9"/>
        <v>177.17999816820057</v>
      </c>
      <c r="AH84" s="22">
        <f t="shared" si="10"/>
        <v>4.5474735088646412E-12</v>
      </c>
      <c r="AI84" s="22">
        <f t="shared" si="11"/>
        <v>1.2607220822857812E-10</v>
      </c>
      <c r="AJ84" s="87">
        <f t="shared" si="29"/>
        <v>1.8317994374683622E-6</v>
      </c>
    </row>
    <row r="85" spans="1:36" x14ac:dyDescent="0.2">
      <c r="A85" s="3">
        <v>5000</v>
      </c>
      <c r="B85" s="3">
        <v>0.27</v>
      </c>
      <c r="C85" s="3">
        <v>237.65</v>
      </c>
      <c r="E85" s="1">
        <f t="shared" si="30"/>
        <v>4.7123889803846897E-3</v>
      </c>
      <c r="F85" s="1">
        <f t="shared" si="31"/>
        <v>4.1477749673645246</v>
      </c>
      <c r="H85" s="9">
        <f t="shared" si="12"/>
        <v>4.2035841897198889E-3</v>
      </c>
      <c r="I85" s="155">
        <f t="shared" si="13"/>
        <v>4.2035841897155521E-3</v>
      </c>
      <c r="J85" s="153">
        <f t="shared" si="14"/>
        <v>0.14450857973932174</v>
      </c>
      <c r="K85" s="9">
        <f t="shared" si="15"/>
        <v>1.0000014725126054</v>
      </c>
      <c r="L85" s="4">
        <f t="shared" si="16"/>
        <v>-9.7902992640370501E-2</v>
      </c>
      <c r="M85" s="4">
        <f t="shared" si="17"/>
        <v>-9.7807517440288511E-2</v>
      </c>
      <c r="N85" s="4">
        <f t="shared" si="18"/>
        <v>49.99977167368592</v>
      </c>
      <c r="O85" s="5">
        <f t="shared" si="19"/>
        <v>3.5349965314400773</v>
      </c>
      <c r="P85" s="5">
        <f t="shared" si="20"/>
        <v>2.3963981250051143</v>
      </c>
      <c r="Q85" s="5">
        <f t="shared" si="21"/>
        <v>4999.9631925906469</v>
      </c>
      <c r="S85" s="4">
        <f t="shared" si="4"/>
        <v>-9.7902992640370279E-2</v>
      </c>
      <c r="T85" s="4">
        <f t="shared" si="5"/>
        <v>-9.7807517440288372E-2</v>
      </c>
      <c r="U85" s="4">
        <f t="shared" si="6"/>
        <v>49.999771673686155</v>
      </c>
      <c r="V85" s="6">
        <f t="shared" si="22"/>
        <v>49.999963187258288</v>
      </c>
      <c r="W85" s="86">
        <f t="shared" si="23"/>
        <v>4.2035842758010311E-3</v>
      </c>
      <c r="X85" s="9">
        <f t="shared" si="24"/>
        <v>1.0000014725126656</v>
      </c>
      <c r="Y85" s="4">
        <f t="shared" si="25"/>
        <v>50.000000000001748</v>
      </c>
      <c r="Z85" s="1">
        <f t="shared" si="26"/>
        <v>4.7123890181042238E-3</v>
      </c>
      <c r="AA85" s="86">
        <f t="shared" si="27"/>
        <v>2.1354103347447153</v>
      </c>
      <c r="AB85" s="86">
        <f t="shared" si="28"/>
        <v>-1.0061823188623804</v>
      </c>
      <c r="AC85" s="1">
        <f t="shared" si="33"/>
        <v>-2.1354103347447153</v>
      </c>
      <c r="AD85" s="5">
        <f t="shared" si="34"/>
        <v>5000.0000000000064</v>
      </c>
      <c r="AE85" s="5">
        <f t="shared" ref="AE85:AE116" si="35">DEGREES(Z85)</f>
        <v>0.27000000216117009</v>
      </c>
      <c r="AF85" s="5">
        <f t="shared" si="9"/>
        <v>237.65000029050947</v>
      </c>
      <c r="AH85" s="22">
        <f t="shared" si="10"/>
        <v>6.3664629124104977E-12</v>
      </c>
      <c r="AI85" s="22">
        <f t="shared" si="11"/>
        <v>2.1611700762314001E-9</v>
      </c>
      <c r="AJ85" s="87">
        <f t="shared" si="29"/>
        <v>2.9050946181996551E-7</v>
      </c>
    </row>
    <row r="86" spans="1:36" x14ac:dyDescent="0.2">
      <c r="A86" s="3">
        <v>5050</v>
      </c>
      <c r="B86" s="3">
        <v>0.35</v>
      </c>
      <c r="C86" s="3">
        <v>228.17</v>
      </c>
      <c r="E86" s="1">
        <f t="shared" si="30"/>
        <v>6.1086523819801532E-3</v>
      </c>
      <c r="F86" s="1">
        <f t="shared" si="31"/>
        <v>3.9823177542754613</v>
      </c>
      <c r="H86" s="9">
        <f t="shared" si="12"/>
        <v>1.654027022351956E-3</v>
      </c>
      <c r="I86" s="155">
        <f t="shared" si="13"/>
        <v>1.6540270223636339E-3</v>
      </c>
      <c r="J86" s="153">
        <f t="shared" si="14"/>
        <v>5.6861260548814657E-2</v>
      </c>
      <c r="K86" s="9">
        <f t="shared" si="15"/>
        <v>1.0000002279838449</v>
      </c>
      <c r="L86" s="4">
        <f t="shared" si="16"/>
        <v>-0.16488792483951761</v>
      </c>
      <c r="M86" s="4">
        <f t="shared" si="17"/>
        <v>-0.2133170930814367</v>
      </c>
      <c r="N86" s="4">
        <f t="shared" si="18"/>
        <v>49.999267372938945</v>
      </c>
      <c r="O86" s="5">
        <f t="shared" si="19"/>
        <v>3.3701086066005597</v>
      </c>
      <c r="P86" s="5">
        <f t="shared" si="20"/>
        <v>2.1830810319236775</v>
      </c>
      <c r="Q86" s="5">
        <f t="shared" si="21"/>
        <v>5049.9624599635863</v>
      </c>
      <c r="S86" s="4">
        <f t="shared" ref="S86:S149" si="36">O86-O85</f>
        <v>-0.16488792483951764</v>
      </c>
      <c r="T86" s="4">
        <f t="shared" ref="T86:T149" si="37">P86-P85</f>
        <v>-0.21331709308143676</v>
      </c>
      <c r="U86" s="4">
        <f t="shared" ref="U86:U149" si="38">Q86-Q85</f>
        <v>49.999267372939357</v>
      </c>
      <c r="V86" s="6">
        <f t="shared" si="22"/>
        <v>49.999994300406037</v>
      </c>
      <c r="W86" s="86">
        <f t="shared" si="23"/>
        <v>1.654026991224633E-3</v>
      </c>
      <c r="X86" s="9">
        <f t="shared" si="24"/>
        <v>1.0000002279838363</v>
      </c>
      <c r="Y86" s="4">
        <f t="shared" si="25"/>
        <v>50.000000000000185</v>
      </c>
      <c r="Z86" s="1">
        <f t="shared" si="26"/>
        <v>6.1086523485678335E-3</v>
      </c>
      <c r="AA86" s="86">
        <f t="shared" si="27"/>
        <v>2.3008675578000908</v>
      </c>
      <c r="AB86" s="86">
        <f t="shared" si="28"/>
        <v>-0.84072509583683452</v>
      </c>
      <c r="AC86" s="1">
        <f t="shared" ref="AC86:AC117" si="39">IF(Z86&lt;0.000001, 0, SIGN(AB86)*AA86)</f>
        <v>-2.3008675578000908</v>
      </c>
      <c r="AD86" s="5">
        <f t="shared" ref="AD86:AD117" si="40">AD85+Y86</f>
        <v>5050.0000000000064</v>
      </c>
      <c r="AE86" s="5">
        <f t="shared" si="35"/>
        <v>0.3499999980856151</v>
      </c>
      <c r="AF86" s="5">
        <f t="shared" ref="AF86:AF137" si="41">MOD(DEGREES(AC86),360)</f>
        <v>228.16999971948181</v>
      </c>
      <c r="AH86" s="22">
        <f t="shared" ref="AH86:AH149" si="42">ABS(AD86-A86)</f>
        <v>6.3664629124104977E-12</v>
      </c>
      <c r="AI86" s="22">
        <f t="shared" ref="AI86:AI149" si="43">ABS(AE86-B86)</f>
        <v>1.9143848728475632E-9</v>
      </c>
      <c r="AJ86" s="87">
        <f t="shared" si="29"/>
        <v>2.8051817935192958E-7</v>
      </c>
    </row>
    <row r="87" spans="1:36" x14ac:dyDescent="0.2">
      <c r="A87" s="3">
        <v>5100</v>
      </c>
      <c r="B87" s="3">
        <v>0</v>
      </c>
      <c r="C87" s="3">
        <v>243.63</v>
      </c>
      <c r="E87" s="1">
        <f t="shared" si="30"/>
        <v>0</v>
      </c>
      <c r="F87" s="1">
        <f t="shared" si="31"/>
        <v>4.2521456566337852</v>
      </c>
      <c r="H87" s="9">
        <f t="shared" ref="H87:H137" si="44">ACOS(MAX(-1,MIN(1, COS(E87-E86)-SIN(E86)*SIN(E87)*(1-COS(F87-F86)))))</f>
        <v>6.10865238197289E-3</v>
      </c>
      <c r="I87" s="155">
        <f t="shared" ref="I87:I150" si="45">2*ASIN(SQRT( SIN((E87-E86)/2)^2 + SIN(E86)*SIN(E87)*SIN((F87-F86)/2)^2) )</f>
        <v>6.1086523819801532E-3</v>
      </c>
      <c r="J87" s="153">
        <f t="shared" ref="J87:J150" si="46">IF(LEFT(E$6,1)="m", 30*DEGREES(H87)/(A87-A86), 100*DEGREES(H87)/(A87-A86))</f>
        <v>0.2099999999997503</v>
      </c>
      <c r="K87" s="9">
        <f t="shared" ref="K87:K137" si="47">IF(H87=0, 1, 2*TAN(H87/2)/H87)</f>
        <v>1.0000031096477642</v>
      </c>
      <c r="L87" s="4">
        <f t="shared" ref="L87:L137" si="48">0.5*(A87-A86)*K87 * (SIN(E86)*COS(F86) + SIN(E87)*COS(F87))</f>
        <v>-0.10184965818558966</v>
      </c>
      <c r="M87" s="4">
        <f t="shared" ref="M87:M137" si="49">0.5*(A87-A86)*K87 * (SIN(E86)*SIN(F86) + SIN(E87)*SIN(F87))</f>
        <v>-0.11379267675359704</v>
      </c>
      <c r="N87" s="4">
        <f t="shared" ref="N87:N137" si="50">0.5*(A87-A86)*K87 * (COS(E86) + COS(E87))</f>
        <v>49.999689036964156</v>
      </c>
      <c r="O87" s="5">
        <f t="shared" ref="O87:O137" si="51">O86+L87</f>
        <v>3.26825894841497</v>
      </c>
      <c r="P87" s="5">
        <f t="shared" ref="P87:P137" si="52">P86+M87</f>
        <v>2.0692883551700807</v>
      </c>
      <c r="Q87" s="5">
        <f t="shared" ref="Q87:Q137" si="53">Q86+N87</f>
        <v>5099.9621490005502</v>
      </c>
      <c r="S87" s="4">
        <f t="shared" si="36"/>
        <v>-0.10184965818558966</v>
      </c>
      <c r="T87" s="4">
        <f t="shared" si="37"/>
        <v>-0.11379267675359683</v>
      </c>
      <c r="U87" s="4">
        <f t="shared" si="38"/>
        <v>49.9996890369639</v>
      </c>
      <c r="V87" s="6">
        <f t="shared" ref="V87:V137" si="54">SQRT(S87^2+T87^2+U87^2)</f>
        <v>49.999922259131992</v>
      </c>
      <c r="W87" s="86">
        <f t="shared" ref="W87:W150" si="55">2*ACOS(MAX(-1,MIN(1, (S87*SIN(Z86)*COS(AC86) + T87*SIN(Z86)*SIN(AC86) + U87*COS(Z86))/V87)))</f>
        <v>6.1086523150346572E-3</v>
      </c>
      <c r="X87" s="9">
        <f t="shared" ref="X87:X137" si="56">IF(W87=0, 1, 2*TAN(W87/2)/W87)</f>
        <v>1.000003109647696</v>
      </c>
      <c r="Y87" s="4">
        <f t="shared" ref="Y87:Y137" si="57">IF(W87=0, V87, 0.5*W87*V87/SIN(W87/2))</f>
        <v>49.999999999998032</v>
      </c>
      <c r="Z87" s="1">
        <f t="shared" ref="Z87:Z137" si="58">ACOS(MAX(-1,MIN(1, U87/(0.5*Y87*X87) - COS(Z86))))</f>
        <v>0</v>
      </c>
      <c r="AA87" s="86">
        <f t="shared" ref="AA87:AA150" si="59">IF(Z87&lt;0.000001, 0, ACOS(MAX(-1,MIN(1, (S87/(0.5*Y87*X87) - SIN(Z86)*COS(AC86))/SIN(Z87)))))</f>
        <v>0</v>
      </c>
      <c r="AB87" s="86">
        <f t="shared" ref="AB87:AB150" si="60">IF(Z87&lt;0.000001, 0, ASIN(MAX(-1,MIN(1, (T87/(0.5*Y87*X87) - SIN(Z86)*SIN(AC86))/SIN(Z87)))))</f>
        <v>0</v>
      </c>
      <c r="AC87" s="1">
        <f t="shared" si="39"/>
        <v>0</v>
      </c>
      <c r="AD87" s="5">
        <f t="shared" si="40"/>
        <v>5100.0000000000045</v>
      </c>
      <c r="AE87" s="5">
        <f t="shared" si="35"/>
        <v>0</v>
      </c>
      <c r="AF87" s="5">
        <f t="shared" si="41"/>
        <v>0</v>
      </c>
      <c r="AH87" s="22">
        <f t="shared" si="42"/>
        <v>4.5474735088646412E-12</v>
      </c>
      <c r="AI87" s="22">
        <f t="shared" si="43"/>
        <v>0</v>
      </c>
      <c r="AJ87" s="87">
        <f t="shared" ref="AJ87:AJ150" si="61">IF(B87=0, 0, ABS(AF87-C87))</f>
        <v>0</v>
      </c>
    </row>
    <row r="88" spans="1:36" x14ac:dyDescent="0.2">
      <c r="A88" s="3">
        <v>5150</v>
      </c>
      <c r="B88" s="3">
        <v>0.27</v>
      </c>
      <c r="C88" s="3">
        <v>160.66999999999999</v>
      </c>
      <c r="E88" s="1">
        <f t="shared" si="30"/>
        <v>4.7123889803846897E-3</v>
      </c>
      <c r="F88" s="1">
        <f t="shared" si="31"/>
        <v>2.8042205091792889</v>
      </c>
      <c r="H88" s="9">
        <f t="shared" si="44"/>
        <v>4.7123889803850627E-3</v>
      </c>
      <c r="I88" s="155">
        <f t="shared" si="45"/>
        <v>4.7123889803846897E-3</v>
      </c>
      <c r="J88" s="153">
        <f t="shared" si="46"/>
        <v>0.16200000000001283</v>
      </c>
      <c r="K88" s="9">
        <f t="shared" si="47"/>
        <v>1.0000018505549346</v>
      </c>
      <c r="L88" s="4">
        <f t="shared" si="48"/>
        <v>-0.11116832134506537</v>
      </c>
      <c r="M88" s="4">
        <f t="shared" si="49"/>
        <v>3.8995950435428466E-2</v>
      </c>
      <c r="N88" s="4">
        <f t="shared" si="50"/>
        <v>49.999814945122949</v>
      </c>
      <c r="O88" s="5">
        <f t="shared" si="51"/>
        <v>3.1570906270699046</v>
      </c>
      <c r="P88" s="5">
        <f t="shared" si="52"/>
        <v>2.1082843056055092</v>
      </c>
      <c r="Q88" s="5">
        <f t="shared" si="53"/>
        <v>5149.9619639456732</v>
      </c>
      <c r="S88" s="4">
        <f t="shared" si="36"/>
        <v>-0.11116832134506538</v>
      </c>
      <c r="T88" s="4">
        <f t="shared" si="37"/>
        <v>3.8995950435428473E-2</v>
      </c>
      <c r="U88" s="4">
        <f t="shared" si="38"/>
        <v>49.999814945123035</v>
      </c>
      <c r="V88" s="6">
        <f t="shared" si="54"/>
        <v>49.99995373624229</v>
      </c>
      <c r="W88" s="86">
        <f t="shared" si="55"/>
        <v>4.712388980346649E-3</v>
      </c>
      <c r="X88" s="9">
        <f t="shared" si="56"/>
        <v>1.0000018505549346</v>
      </c>
      <c r="Y88" s="4">
        <f t="shared" si="57"/>
        <v>50.000000000000078</v>
      </c>
      <c r="Z88" s="1">
        <f t="shared" si="58"/>
        <v>4.7123889803144525E-3</v>
      </c>
      <c r="AA88" s="86">
        <f t="shared" si="59"/>
        <v>2.804220509221774</v>
      </c>
      <c r="AB88" s="86">
        <f t="shared" si="60"/>
        <v>0.33737214441573221</v>
      </c>
      <c r="AC88" s="1">
        <f t="shared" si="39"/>
        <v>2.804220509221774</v>
      </c>
      <c r="AD88" s="5">
        <f t="shared" si="40"/>
        <v>5150.0000000000045</v>
      </c>
      <c r="AE88" s="5">
        <f t="shared" si="35"/>
        <v>0.26999999999597568</v>
      </c>
      <c r="AF88" s="5">
        <f t="shared" si="41"/>
        <v>160.67000000243419</v>
      </c>
      <c r="AH88" s="22">
        <f t="shared" si="42"/>
        <v>4.5474735088646412E-12</v>
      </c>
      <c r="AI88" s="22">
        <f t="shared" si="43"/>
        <v>4.0243364196612674E-12</v>
      </c>
      <c r="AJ88" s="87">
        <f t="shared" si="61"/>
        <v>2.4342057258763816E-9</v>
      </c>
    </row>
    <row r="89" spans="1:36" x14ac:dyDescent="0.2">
      <c r="A89" s="3">
        <v>5200</v>
      </c>
      <c r="B89" s="3">
        <v>0.35</v>
      </c>
      <c r="C89" s="3">
        <v>96.32</v>
      </c>
      <c r="E89" s="1">
        <f t="shared" si="30"/>
        <v>6.1086523819801532E-3</v>
      </c>
      <c r="F89" s="1">
        <f t="shared" si="31"/>
        <v>1.6811011355209382</v>
      </c>
      <c r="H89" s="9">
        <f t="shared" si="44"/>
        <v>5.8822087184566829E-3</v>
      </c>
      <c r="I89" s="155">
        <f t="shared" si="45"/>
        <v>5.8822087184537209E-3</v>
      </c>
      <c r="J89" s="153">
        <f t="shared" si="46"/>
        <v>0.20221544026957478</v>
      </c>
      <c r="K89" s="9">
        <f t="shared" si="47"/>
        <v>1.0000028833749273</v>
      </c>
      <c r="L89" s="4">
        <f t="shared" si="48"/>
        <v>-0.12797958419867925</v>
      </c>
      <c r="M89" s="4">
        <f t="shared" si="49"/>
        <v>0.19078367434409998</v>
      </c>
      <c r="N89" s="4">
        <f t="shared" si="50"/>
        <v>49.99940014051738</v>
      </c>
      <c r="O89" s="5">
        <f t="shared" si="51"/>
        <v>3.0291110428712256</v>
      </c>
      <c r="P89" s="5">
        <f t="shared" si="52"/>
        <v>2.299067979949609</v>
      </c>
      <c r="Q89" s="5">
        <f t="shared" si="53"/>
        <v>5199.9613640861908</v>
      </c>
      <c r="S89" s="4">
        <f t="shared" si="36"/>
        <v>-0.12797958419867905</v>
      </c>
      <c r="T89" s="4">
        <f t="shared" si="37"/>
        <v>0.19078367434409982</v>
      </c>
      <c r="U89" s="4">
        <f t="shared" si="38"/>
        <v>49.999400140517537</v>
      </c>
      <c r="V89" s="6">
        <f t="shared" si="54"/>
        <v>49.99992791590757</v>
      </c>
      <c r="W89" s="86">
        <f t="shared" si="55"/>
        <v>5.8822087188250549E-3</v>
      </c>
      <c r="X89" s="9">
        <f t="shared" si="56"/>
        <v>1.0000028833749277</v>
      </c>
      <c r="Y89" s="4">
        <f t="shared" si="57"/>
        <v>50.000000000000171</v>
      </c>
      <c r="Z89" s="1">
        <f t="shared" si="58"/>
        <v>6.1086523822999617E-3</v>
      </c>
      <c r="AA89" s="86">
        <f t="shared" si="59"/>
        <v>1.6811011355151364</v>
      </c>
      <c r="AB89" s="86">
        <f t="shared" si="60"/>
        <v>1.4604915179116273</v>
      </c>
      <c r="AC89" s="1">
        <f t="shared" si="39"/>
        <v>1.6811011355151364</v>
      </c>
      <c r="AD89" s="5">
        <f t="shared" si="40"/>
        <v>5200.0000000000045</v>
      </c>
      <c r="AE89" s="5">
        <f t="shared" si="35"/>
        <v>0.35000000001832365</v>
      </c>
      <c r="AF89" s="5">
        <f t="shared" si="41"/>
        <v>96.319999999667587</v>
      </c>
      <c r="AH89" s="22">
        <f t="shared" si="42"/>
        <v>4.5474735088646412E-12</v>
      </c>
      <c r="AI89" s="22">
        <f t="shared" si="43"/>
        <v>1.8323675909925896E-11</v>
      </c>
      <c r="AJ89" s="87">
        <f t="shared" si="61"/>
        <v>3.3240610264329007E-10</v>
      </c>
    </row>
    <row r="90" spans="1:36" x14ac:dyDescent="0.2">
      <c r="A90" s="3">
        <v>5250</v>
      </c>
      <c r="B90" s="3">
        <v>0.43</v>
      </c>
      <c r="C90" s="3">
        <v>114.6</v>
      </c>
      <c r="E90" s="1">
        <f t="shared" si="30"/>
        <v>7.5049157835756167E-3</v>
      </c>
      <c r="F90" s="1">
        <f t="shared" si="31"/>
        <v>2.0001473227855016</v>
      </c>
      <c r="H90" s="9">
        <f t="shared" si="44"/>
        <v>2.5644898752024137E-3</v>
      </c>
      <c r="I90" s="155">
        <f t="shared" si="45"/>
        <v>2.5644898752175058E-3</v>
      </c>
      <c r="J90" s="153">
        <f t="shared" si="46"/>
        <v>8.8160667871877707E-2</v>
      </c>
      <c r="K90" s="9">
        <f t="shared" si="47"/>
        <v>1.0000005480510539</v>
      </c>
      <c r="L90" s="4">
        <f t="shared" si="48"/>
        <v>-9.491422560663669E-2</v>
      </c>
      <c r="M90" s="4">
        <f t="shared" si="49"/>
        <v>0.32237933189140949</v>
      </c>
      <c r="N90" s="4">
        <f t="shared" si="50"/>
        <v>49.998856914230693</v>
      </c>
      <c r="O90" s="5">
        <f t="shared" si="51"/>
        <v>2.9341968172645889</v>
      </c>
      <c r="P90" s="5">
        <f t="shared" si="52"/>
        <v>2.6214473118410186</v>
      </c>
      <c r="Q90" s="5">
        <f t="shared" si="53"/>
        <v>5249.9602210004214</v>
      </c>
      <c r="S90" s="4">
        <f t="shared" si="36"/>
        <v>-9.4914225606636649E-2</v>
      </c>
      <c r="T90" s="4">
        <f t="shared" si="37"/>
        <v>0.32237933189140966</v>
      </c>
      <c r="U90" s="4">
        <f t="shared" si="38"/>
        <v>49.998856914230601</v>
      </c>
      <c r="V90" s="6">
        <f t="shared" si="54"/>
        <v>49.99998629873371</v>
      </c>
      <c r="W90" s="86">
        <f t="shared" si="55"/>
        <v>2.5644898751466805E-3</v>
      </c>
      <c r="X90" s="9">
        <f t="shared" si="56"/>
        <v>1.0000005480510539</v>
      </c>
      <c r="Y90" s="4">
        <f t="shared" si="57"/>
        <v>49.999999999999915</v>
      </c>
      <c r="Z90" s="1">
        <f t="shared" si="58"/>
        <v>7.5049157833639857E-3</v>
      </c>
      <c r="AA90" s="86">
        <f t="shared" si="59"/>
        <v>2.0001473227984157</v>
      </c>
      <c r="AB90" s="86">
        <f t="shared" si="60"/>
        <v>1.1414453307628998</v>
      </c>
      <c r="AC90" s="1">
        <f t="shared" si="39"/>
        <v>2.0001473227984157</v>
      </c>
      <c r="AD90" s="5">
        <f t="shared" si="40"/>
        <v>5250.0000000000045</v>
      </c>
      <c r="AE90" s="5">
        <f t="shared" si="35"/>
        <v>0.42999999998787442</v>
      </c>
      <c r="AF90" s="5">
        <f t="shared" si="41"/>
        <v>114.60000000073993</v>
      </c>
      <c r="AH90" s="22">
        <f t="shared" si="42"/>
        <v>4.5474735088646412E-12</v>
      </c>
      <c r="AI90" s="22">
        <f t="shared" si="43"/>
        <v>1.2125578319199803E-11</v>
      </c>
      <c r="AJ90" s="87">
        <f t="shared" si="61"/>
        <v>7.3993078331113793E-10</v>
      </c>
    </row>
    <row r="91" spans="1:36" x14ac:dyDescent="0.2">
      <c r="A91" s="3">
        <v>5300</v>
      </c>
      <c r="B91" s="3">
        <v>0.53</v>
      </c>
      <c r="C91" s="3">
        <v>144.13</v>
      </c>
      <c r="E91" s="1">
        <f t="shared" si="30"/>
        <v>9.250245035569947E-3</v>
      </c>
      <c r="F91" s="1">
        <f t="shared" si="31"/>
        <v>2.515543050899427</v>
      </c>
      <c r="H91" s="9">
        <f t="shared" si="44"/>
        <v>4.5915153558242494E-3</v>
      </c>
      <c r="I91" s="155">
        <f t="shared" si="45"/>
        <v>4.591515355823291E-3</v>
      </c>
      <c r="J91" s="153">
        <f t="shared" si="46"/>
        <v>0.15784467087494275</v>
      </c>
      <c r="K91" s="9">
        <f t="shared" si="47"/>
        <v>1.0000017568381423</v>
      </c>
      <c r="L91" s="4">
        <f t="shared" si="48"/>
        <v>-0.26549893500021221</v>
      </c>
      <c r="M91" s="4">
        <f t="shared" si="49"/>
        <v>0.30609461128442372</v>
      </c>
      <c r="N91" s="4">
        <f t="shared" si="50"/>
        <v>49.998314214795748</v>
      </c>
      <c r="O91" s="5">
        <f t="shared" si="51"/>
        <v>2.6686978822643765</v>
      </c>
      <c r="P91" s="5">
        <f t="shared" si="52"/>
        <v>2.9275419231254425</v>
      </c>
      <c r="Q91" s="5">
        <f t="shared" si="53"/>
        <v>5299.9585352152171</v>
      </c>
      <c r="S91" s="4">
        <f t="shared" si="36"/>
        <v>-0.26549893500021238</v>
      </c>
      <c r="T91" s="4">
        <f t="shared" si="37"/>
        <v>0.30609461128442383</v>
      </c>
      <c r="U91" s="4">
        <f t="shared" si="38"/>
        <v>49.998314214795755</v>
      </c>
      <c r="V91" s="6">
        <f t="shared" si="54"/>
        <v>49.999956079150621</v>
      </c>
      <c r="W91" s="86">
        <f t="shared" si="55"/>
        <v>4.5915153557807287E-3</v>
      </c>
      <c r="X91" s="9">
        <f t="shared" si="56"/>
        <v>1.0000017568381423</v>
      </c>
      <c r="Y91" s="4">
        <f t="shared" si="57"/>
        <v>50.000000000000007</v>
      </c>
      <c r="Z91" s="1">
        <f t="shared" si="58"/>
        <v>9.2502450357405674E-3</v>
      </c>
      <c r="AA91" s="86">
        <f t="shared" si="59"/>
        <v>2.5155430508739149</v>
      </c>
      <c r="AB91" s="86">
        <f t="shared" si="60"/>
        <v>0.62604960270808208</v>
      </c>
      <c r="AC91" s="1">
        <f t="shared" si="39"/>
        <v>2.5155430508739149</v>
      </c>
      <c r="AD91" s="5">
        <f t="shared" si="40"/>
        <v>5300.0000000000045</v>
      </c>
      <c r="AE91" s="5">
        <f t="shared" si="35"/>
        <v>0.53000000000977587</v>
      </c>
      <c r="AF91" s="5">
        <f t="shared" si="41"/>
        <v>144.12999999853827</v>
      </c>
      <c r="AH91" s="22">
        <f t="shared" si="42"/>
        <v>4.5474735088646412E-12</v>
      </c>
      <c r="AI91" s="22">
        <f t="shared" si="43"/>
        <v>9.7758467987318909E-12</v>
      </c>
      <c r="AJ91" s="87">
        <f t="shared" si="61"/>
        <v>1.4617285160056781E-9</v>
      </c>
    </row>
    <row r="92" spans="1:36" x14ac:dyDescent="0.2">
      <c r="A92" s="3">
        <v>5350</v>
      </c>
      <c r="B92" s="3">
        <v>0.53</v>
      </c>
      <c r="C92" s="3">
        <v>142.03</v>
      </c>
      <c r="E92" s="1">
        <f t="shared" ref="E92:E137" si="62">RADIANS(B92)</f>
        <v>9.250245035569947E-3</v>
      </c>
      <c r="F92" s="1">
        <f t="shared" ref="F92:F137" si="63">RADIANS(C92)</f>
        <v>2.4788911366075461</v>
      </c>
      <c r="H92" s="9">
        <f t="shared" si="44"/>
        <v>3.3901537810043791E-4</v>
      </c>
      <c r="I92" s="155">
        <f t="shared" si="45"/>
        <v>3.3901537816646962E-4</v>
      </c>
      <c r="J92" s="153">
        <f t="shared" si="46"/>
        <v>1.1654490213112158E-2</v>
      </c>
      <c r="K92" s="9">
        <f t="shared" si="47"/>
        <v>1.0000000095776189</v>
      </c>
      <c r="L92" s="4">
        <f t="shared" si="48"/>
        <v>-0.36969963486632984</v>
      </c>
      <c r="M92" s="4">
        <f t="shared" si="49"/>
        <v>0.27778018939215648</v>
      </c>
      <c r="N92" s="4">
        <f t="shared" si="50"/>
        <v>49.99786131828354</v>
      </c>
      <c r="O92" s="5">
        <f t="shared" si="51"/>
        <v>2.2989982473980466</v>
      </c>
      <c r="P92" s="5">
        <f t="shared" si="52"/>
        <v>3.205322112517599</v>
      </c>
      <c r="Q92" s="5">
        <f t="shared" si="53"/>
        <v>5349.956396533501</v>
      </c>
      <c r="S92" s="4">
        <f t="shared" si="36"/>
        <v>-0.36969963486632995</v>
      </c>
      <c r="T92" s="4">
        <f t="shared" si="37"/>
        <v>0.27778018939215654</v>
      </c>
      <c r="U92" s="4">
        <f t="shared" si="38"/>
        <v>49.997861318283867</v>
      </c>
      <c r="V92" s="6">
        <f t="shared" si="54"/>
        <v>49.999999760559845</v>
      </c>
      <c r="W92" s="86">
        <f t="shared" si="55"/>
        <v>3.3901537655500746E-4</v>
      </c>
      <c r="X92" s="9">
        <f t="shared" si="56"/>
        <v>1.0000000095776189</v>
      </c>
      <c r="Y92" s="4">
        <f t="shared" si="57"/>
        <v>50.000000000000313</v>
      </c>
      <c r="Z92" s="1">
        <f t="shared" si="58"/>
        <v>9.2502450353564303E-3</v>
      </c>
      <c r="AA92" s="86">
        <f t="shared" si="59"/>
        <v>2.4788911366371096</v>
      </c>
      <c r="AB92" s="86">
        <f t="shared" si="60"/>
        <v>0.66270151696031787</v>
      </c>
      <c r="AC92" s="1">
        <f t="shared" si="39"/>
        <v>2.4788911366371096</v>
      </c>
      <c r="AD92" s="5">
        <f t="shared" si="40"/>
        <v>5350.0000000000045</v>
      </c>
      <c r="AE92" s="5">
        <f t="shared" si="35"/>
        <v>0.52999999998776648</v>
      </c>
      <c r="AF92" s="5">
        <f t="shared" si="41"/>
        <v>142.03000000169385</v>
      </c>
      <c r="AH92" s="22">
        <f t="shared" si="42"/>
        <v>4.5474735088646412E-12</v>
      </c>
      <c r="AI92" s="22">
        <f t="shared" si="43"/>
        <v>1.22335475083446E-11</v>
      </c>
      <c r="AJ92" s="87">
        <f t="shared" si="61"/>
        <v>1.6938486169237876E-9</v>
      </c>
    </row>
    <row r="93" spans="1:36" x14ac:dyDescent="0.2">
      <c r="A93" s="3">
        <v>5413</v>
      </c>
      <c r="B93" s="3">
        <v>0.53</v>
      </c>
      <c r="C93" s="3">
        <v>137.47</v>
      </c>
      <c r="E93" s="1">
        <f t="shared" si="62"/>
        <v>9.250245035569947E-3</v>
      </c>
      <c r="F93" s="1">
        <f t="shared" si="63"/>
        <v>2.3993041227166048</v>
      </c>
      <c r="H93" s="9">
        <f t="shared" si="44"/>
        <v>7.3599461771789443E-4</v>
      </c>
      <c r="I93" s="155">
        <f t="shared" si="45"/>
        <v>7.3599461775239808E-4</v>
      </c>
      <c r="J93" s="153">
        <f t="shared" si="46"/>
        <v>2.0080659685514184E-2</v>
      </c>
      <c r="K93" s="9">
        <f t="shared" si="47"/>
        <v>1.0000000451406756</v>
      </c>
      <c r="L93" s="4">
        <f t="shared" si="48"/>
        <v>-0.44442706830511197</v>
      </c>
      <c r="M93" s="4">
        <f t="shared" si="49"/>
        <v>0.37623528532030964</v>
      </c>
      <c r="N93" s="4">
        <f t="shared" si="50"/>
        <v>62.997307501413978</v>
      </c>
      <c r="O93" s="5">
        <f t="shared" si="51"/>
        <v>1.8545711790929347</v>
      </c>
      <c r="P93" s="5">
        <f t="shared" si="52"/>
        <v>3.5815573978379085</v>
      </c>
      <c r="Q93" s="5">
        <f t="shared" si="53"/>
        <v>5412.9537040349151</v>
      </c>
      <c r="S93" s="4">
        <f t="shared" si="36"/>
        <v>-0.44442706830511192</v>
      </c>
      <c r="T93" s="4">
        <f t="shared" si="37"/>
        <v>0.37623528532030948</v>
      </c>
      <c r="U93" s="4">
        <f t="shared" si="38"/>
        <v>62.99730750141407</v>
      </c>
      <c r="V93" s="6">
        <f t="shared" si="54"/>
        <v>62.999998578068904</v>
      </c>
      <c r="W93" s="86">
        <f t="shared" si="55"/>
        <v>7.3599461838247393E-4</v>
      </c>
      <c r="X93" s="9">
        <f t="shared" si="56"/>
        <v>1.0000000451406756</v>
      </c>
      <c r="Y93" s="4">
        <f t="shared" si="57"/>
        <v>63.000000000000107</v>
      </c>
      <c r="Z93" s="1">
        <f t="shared" si="58"/>
        <v>9.2502450358364907E-3</v>
      </c>
      <c r="AA93" s="86">
        <f t="shared" si="59"/>
        <v>2.3993041226851988</v>
      </c>
      <c r="AB93" s="86">
        <f t="shared" si="60"/>
        <v>0.7422885308976499</v>
      </c>
      <c r="AC93" s="1">
        <f t="shared" si="39"/>
        <v>2.3993041226851988</v>
      </c>
      <c r="AD93" s="5">
        <f t="shared" si="40"/>
        <v>5413.0000000000045</v>
      </c>
      <c r="AE93" s="5">
        <f t="shared" si="35"/>
        <v>0.53000000001527181</v>
      </c>
      <c r="AF93" s="5">
        <f t="shared" si="41"/>
        <v>137.46999999820056</v>
      </c>
      <c r="AH93" s="22">
        <f t="shared" si="42"/>
        <v>4.5474735088646412E-12</v>
      </c>
      <c r="AI93" s="22">
        <f t="shared" si="43"/>
        <v>1.5271783837533803E-11</v>
      </c>
      <c r="AJ93" s="87">
        <f t="shared" si="61"/>
        <v>1.7994352674577385E-9</v>
      </c>
    </row>
    <row r="94" spans="1:36" x14ac:dyDescent="0.2">
      <c r="A94" s="3">
        <v>5466</v>
      </c>
      <c r="B94" s="3">
        <v>0.35</v>
      </c>
      <c r="C94" s="3">
        <v>122.68</v>
      </c>
      <c r="E94" s="1">
        <f t="shared" si="62"/>
        <v>6.1086523819801532E-3</v>
      </c>
      <c r="F94" s="1">
        <f t="shared" si="63"/>
        <v>2.1411699263466435</v>
      </c>
      <c r="H94" s="9">
        <f t="shared" si="44"/>
        <v>3.6897003445375276E-3</v>
      </c>
      <c r="I94" s="155">
        <f t="shared" si="45"/>
        <v>3.6897003445385706E-3</v>
      </c>
      <c r="J94" s="153">
        <f t="shared" si="46"/>
        <v>0.11966278721318833</v>
      </c>
      <c r="K94" s="9">
        <f t="shared" si="47"/>
        <v>1.0000011344922639</v>
      </c>
      <c r="L94" s="4">
        <f t="shared" si="48"/>
        <v>-0.26804650414298103</v>
      </c>
      <c r="M94" s="4">
        <f t="shared" si="49"/>
        <v>0.301953860986717</v>
      </c>
      <c r="N94" s="4">
        <f t="shared" si="50"/>
        <v>52.998431940525066</v>
      </c>
      <c r="O94" s="5">
        <f t="shared" si="51"/>
        <v>1.5865246749499535</v>
      </c>
      <c r="P94" s="5">
        <f t="shared" si="52"/>
        <v>3.8835112588246257</v>
      </c>
      <c r="Q94" s="5">
        <f t="shared" si="53"/>
        <v>5465.9521359754399</v>
      </c>
      <c r="S94" s="4">
        <f t="shared" si="36"/>
        <v>-0.26804650414298115</v>
      </c>
      <c r="T94" s="4">
        <f t="shared" si="37"/>
        <v>0.30195386098671717</v>
      </c>
      <c r="U94" s="4">
        <f t="shared" si="38"/>
        <v>52.998431940524824</v>
      </c>
      <c r="V94" s="6">
        <f t="shared" si="54"/>
        <v>52.999969936000817</v>
      </c>
      <c r="W94" s="86">
        <f t="shared" si="55"/>
        <v>3.6897003448093102E-3</v>
      </c>
      <c r="X94" s="9">
        <f t="shared" si="56"/>
        <v>1.0000011344922639</v>
      </c>
      <c r="Y94" s="4">
        <f t="shared" si="57"/>
        <v>52.999999999999766</v>
      </c>
      <c r="Z94" s="1">
        <f t="shared" si="58"/>
        <v>6.1086523816094029E-3</v>
      </c>
      <c r="AA94" s="86">
        <f t="shared" si="59"/>
        <v>2.1411699263855795</v>
      </c>
      <c r="AB94" s="86">
        <f t="shared" si="60"/>
        <v>1.0004227272182453</v>
      </c>
      <c r="AC94" s="1">
        <f t="shared" si="39"/>
        <v>2.1411699263855795</v>
      </c>
      <c r="AD94" s="5">
        <f t="shared" si="40"/>
        <v>5466.0000000000045</v>
      </c>
      <c r="AE94" s="5">
        <f t="shared" si="35"/>
        <v>0.34999999997875758</v>
      </c>
      <c r="AF94" s="5">
        <f t="shared" si="41"/>
        <v>122.68000000223087</v>
      </c>
      <c r="AH94" s="22">
        <f t="shared" si="42"/>
        <v>4.5474735088646412E-12</v>
      </c>
      <c r="AI94" s="22">
        <f t="shared" si="43"/>
        <v>2.1242396730514201E-11</v>
      </c>
      <c r="AJ94" s="87">
        <f t="shared" si="61"/>
        <v>2.2308626057565561E-9</v>
      </c>
    </row>
    <row r="95" spans="1:36" x14ac:dyDescent="0.2">
      <c r="A95" s="3">
        <v>5512</v>
      </c>
      <c r="B95" s="3">
        <v>0.43</v>
      </c>
      <c r="C95" s="3">
        <v>188.78</v>
      </c>
      <c r="E95" s="1">
        <f t="shared" si="62"/>
        <v>7.5049157835756167E-3</v>
      </c>
      <c r="F95" s="1">
        <f t="shared" si="63"/>
        <v>3.2948325619148955</v>
      </c>
      <c r="H95" s="9">
        <f t="shared" si="44"/>
        <v>7.5160788062103023E-3</v>
      </c>
      <c r="I95" s="155">
        <f t="shared" si="45"/>
        <v>7.5160788062137336E-3</v>
      </c>
      <c r="J95" s="153">
        <f t="shared" si="46"/>
        <v>0.28085190918494118</v>
      </c>
      <c r="K95" s="9">
        <f t="shared" si="47"/>
        <v>1.0000047076466461</v>
      </c>
      <c r="L95" s="4">
        <f t="shared" si="48"/>
        <v>-0.24645137461299868</v>
      </c>
      <c r="M95" s="4">
        <f t="shared" si="49"/>
        <v>9.1910051789815941E-2</v>
      </c>
      <c r="N95" s="4">
        <f t="shared" si="50"/>
        <v>45.999139698010218</v>
      </c>
      <c r="O95" s="5">
        <f t="shared" si="51"/>
        <v>1.3400733003369549</v>
      </c>
      <c r="P95" s="5">
        <f t="shared" si="52"/>
        <v>3.9754213106144416</v>
      </c>
      <c r="Q95" s="5">
        <f t="shared" si="53"/>
        <v>5511.9512756734503</v>
      </c>
      <c r="S95" s="4">
        <f t="shared" si="36"/>
        <v>-0.2464513746129986</v>
      </c>
      <c r="T95" s="4">
        <f t="shared" si="37"/>
        <v>9.1910051789815927E-2</v>
      </c>
      <c r="U95" s="4">
        <f t="shared" si="38"/>
        <v>45.999139698010367</v>
      </c>
      <c r="V95" s="6">
        <f t="shared" si="54"/>
        <v>45.99989172481542</v>
      </c>
      <c r="W95" s="86">
        <f t="shared" si="55"/>
        <v>7.5160788055432803E-3</v>
      </c>
      <c r="X95" s="9">
        <f t="shared" si="56"/>
        <v>1.0000047076466452</v>
      </c>
      <c r="Y95" s="4">
        <f t="shared" si="57"/>
        <v>46.000000000000135</v>
      </c>
      <c r="Z95" s="1">
        <f t="shared" si="58"/>
        <v>7.5049157836006852E-3</v>
      </c>
      <c r="AA95" s="86">
        <f t="shared" si="59"/>
        <v>2.9883527452430316</v>
      </c>
      <c r="AB95" s="86">
        <f t="shared" si="60"/>
        <v>-0.15323990826519918</v>
      </c>
      <c r="AC95" s="1">
        <f t="shared" si="39"/>
        <v>-2.9883527452430316</v>
      </c>
      <c r="AD95" s="5">
        <f t="shared" si="40"/>
        <v>5512.0000000000045</v>
      </c>
      <c r="AE95" s="5">
        <f t="shared" si="35"/>
        <v>0.43000000000143629</v>
      </c>
      <c r="AF95" s="5">
        <f t="shared" si="41"/>
        <v>188.78000000124098</v>
      </c>
      <c r="AH95" s="22">
        <f t="shared" si="42"/>
        <v>4.5474735088646412E-12</v>
      </c>
      <c r="AI95" s="22">
        <f t="shared" si="43"/>
        <v>1.436295526957565E-12</v>
      </c>
      <c r="AJ95" s="87">
        <f t="shared" si="61"/>
        <v>1.2409770988597302E-9</v>
      </c>
    </row>
    <row r="96" spans="1:36" x14ac:dyDescent="0.2">
      <c r="A96" s="3">
        <v>5608</v>
      </c>
      <c r="B96" s="3">
        <v>2.98</v>
      </c>
      <c r="C96" s="3">
        <v>271.39999999999998</v>
      </c>
      <c r="E96" s="1">
        <f t="shared" si="62"/>
        <v>5.2010811709431018E-2</v>
      </c>
      <c r="F96" s="1">
        <f t="shared" si="63"/>
        <v>4.7368235899126097</v>
      </c>
      <c r="H96" s="9">
        <f t="shared" si="44"/>
        <v>5.1586056916258949E-2</v>
      </c>
      <c r="I96" s="155">
        <f t="shared" si="45"/>
        <v>5.1586056916258845E-2</v>
      </c>
      <c r="J96" s="153">
        <f t="shared" si="46"/>
        <v>0.92364479469477756</v>
      </c>
      <c r="K96" s="9">
        <f t="shared" si="47"/>
        <v>1.0002218191346293</v>
      </c>
      <c r="L96" s="4">
        <f t="shared" si="48"/>
        <v>-0.2951088175314468</v>
      </c>
      <c r="M96" s="4">
        <f t="shared" si="49"/>
        <v>-2.5502004196931054</v>
      </c>
      <c r="N96" s="4">
        <f t="shared" si="50"/>
        <v>95.955019820490605</v>
      </c>
      <c r="O96" s="5">
        <f t="shared" si="51"/>
        <v>1.0449644828055082</v>
      </c>
      <c r="P96" s="5">
        <f t="shared" si="52"/>
        <v>1.4252208909213362</v>
      </c>
      <c r="Q96" s="5">
        <f t="shared" si="53"/>
        <v>5607.9062954939409</v>
      </c>
      <c r="S96" s="4">
        <f t="shared" si="36"/>
        <v>-0.29510881753144669</v>
      </c>
      <c r="T96" s="4">
        <f t="shared" si="37"/>
        <v>-2.5502004196931054</v>
      </c>
      <c r="U96" s="4">
        <f t="shared" si="38"/>
        <v>95.955019820490634</v>
      </c>
      <c r="V96" s="6">
        <f t="shared" si="54"/>
        <v>95.989355869000065</v>
      </c>
      <c r="W96" s="86">
        <f t="shared" si="55"/>
        <v>5.1586056915931433E-2</v>
      </c>
      <c r="X96" s="9">
        <f t="shared" si="56"/>
        <v>1.0002218191346266</v>
      </c>
      <c r="Y96" s="4">
        <f t="shared" si="57"/>
        <v>95.999999999999886</v>
      </c>
      <c r="Z96" s="1">
        <f t="shared" si="58"/>
        <v>5.2010811709268134E-2</v>
      </c>
      <c r="AA96" s="86">
        <f t="shared" si="59"/>
        <v>1.5463617172669015</v>
      </c>
      <c r="AB96" s="86">
        <f t="shared" si="60"/>
        <v>-1.5463617172656663</v>
      </c>
      <c r="AC96" s="1">
        <f t="shared" si="39"/>
        <v>-1.5463617172669015</v>
      </c>
      <c r="AD96" s="5">
        <f t="shared" si="40"/>
        <v>5608.0000000000045</v>
      </c>
      <c r="AE96" s="5">
        <f t="shared" si="35"/>
        <v>2.9799999999906674</v>
      </c>
      <c r="AF96" s="5">
        <f t="shared" si="41"/>
        <v>271.4000000000043</v>
      </c>
      <c r="AH96" s="22">
        <f t="shared" si="42"/>
        <v>4.5474735088646412E-12</v>
      </c>
      <c r="AI96" s="22">
        <f t="shared" si="43"/>
        <v>9.3325347449990659E-12</v>
      </c>
      <c r="AJ96" s="87">
        <f t="shared" si="61"/>
        <v>4.3200998334214091E-12</v>
      </c>
    </row>
    <row r="97" spans="1:36" x14ac:dyDescent="0.2">
      <c r="A97" s="3">
        <v>5705</v>
      </c>
      <c r="B97" s="3">
        <v>7.12</v>
      </c>
      <c r="C97" s="3">
        <v>272.82</v>
      </c>
      <c r="E97" s="1">
        <f t="shared" si="62"/>
        <v>0.12426744274199626</v>
      </c>
      <c r="F97" s="1">
        <f t="shared" si="63"/>
        <v>4.7616072652909294</v>
      </c>
      <c r="H97" s="9">
        <f t="shared" si="44"/>
        <v>7.2284036303233323E-2</v>
      </c>
      <c r="I97" s="155">
        <f t="shared" si="45"/>
        <v>7.2284036303233962E-2</v>
      </c>
      <c r="J97" s="153">
        <f t="shared" si="46"/>
        <v>1.280898001962586</v>
      </c>
      <c r="K97" s="9">
        <f t="shared" si="47"/>
        <v>1.0004356427826722</v>
      </c>
      <c r="L97" s="4">
        <f t="shared" si="48"/>
        <v>0.35751351947823784</v>
      </c>
      <c r="M97" s="4">
        <f t="shared" si="49"/>
        <v>-8.5285397394735796</v>
      </c>
      <c r="N97" s="4">
        <f t="shared" si="50"/>
        <v>96.602484886405207</v>
      </c>
      <c r="O97" s="5">
        <f t="shared" si="51"/>
        <v>1.402478002283746</v>
      </c>
      <c r="P97" s="5">
        <f t="shared" si="52"/>
        <v>-7.1033188485522434</v>
      </c>
      <c r="Q97" s="5">
        <f t="shared" si="53"/>
        <v>5704.5087803803463</v>
      </c>
      <c r="S97" s="4">
        <f t="shared" si="36"/>
        <v>0.35751351947823773</v>
      </c>
      <c r="T97" s="4">
        <f t="shared" si="37"/>
        <v>-8.5285397394735796</v>
      </c>
      <c r="U97" s="4">
        <f t="shared" si="38"/>
        <v>96.602484886405364</v>
      </c>
      <c r="V97" s="6">
        <f t="shared" si="54"/>
        <v>96.97888374400155</v>
      </c>
      <c r="W97" s="86">
        <f t="shared" si="55"/>
        <v>7.2284036303567945E-2</v>
      </c>
      <c r="X97" s="9">
        <f t="shared" si="56"/>
        <v>1.0004356427826762</v>
      </c>
      <c r="Y97" s="4">
        <f t="shared" si="57"/>
        <v>97.000000000000369</v>
      </c>
      <c r="Z97" s="1">
        <f t="shared" si="58"/>
        <v>0.12426744274216261</v>
      </c>
      <c r="AA97" s="86">
        <f t="shared" si="59"/>
        <v>1.5215780418887226</v>
      </c>
      <c r="AB97" s="86">
        <f t="shared" si="60"/>
        <v>-1.5215780418880762</v>
      </c>
      <c r="AC97" s="1">
        <f t="shared" si="39"/>
        <v>-1.5215780418887226</v>
      </c>
      <c r="AD97" s="5">
        <f t="shared" si="40"/>
        <v>5705.0000000000045</v>
      </c>
      <c r="AE97" s="5">
        <f t="shared" si="35"/>
        <v>7.1200000000095311</v>
      </c>
      <c r="AF97" s="5">
        <f t="shared" si="41"/>
        <v>272.81999999999618</v>
      </c>
      <c r="AH97" s="22">
        <f t="shared" si="42"/>
        <v>4.5474735088646412E-12</v>
      </c>
      <c r="AI97" s="22">
        <f t="shared" si="43"/>
        <v>9.5310426218020439E-12</v>
      </c>
      <c r="AJ97" s="87">
        <f t="shared" si="61"/>
        <v>3.808509063674137E-12</v>
      </c>
    </row>
    <row r="98" spans="1:36" x14ac:dyDescent="0.2">
      <c r="A98" s="3">
        <v>5801</v>
      </c>
      <c r="B98" s="3">
        <v>9.23</v>
      </c>
      <c r="C98" s="3">
        <v>265.43</v>
      </c>
      <c r="E98" s="1">
        <f t="shared" si="62"/>
        <v>0.16109388995907661</v>
      </c>
      <c r="F98" s="1">
        <f t="shared" si="63"/>
        <v>4.6326274335685493</v>
      </c>
      <c r="H98" s="9">
        <f t="shared" si="44"/>
        <v>4.1067613451125196E-2</v>
      </c>
      <c r="I98" s="155">
        <f t="shared" si="45"/>
        <v>4.1067613451125709E-2</v>
      </c>
      <c r="J98" s="153">
        <f t="shared" si="46"/>
        <v>0.73531278919505094</v>
      </c>
      <c r="K98" s="9">
        <f t="shared" si="47"/>
        <v>1.0001405694473193</v>
      </c>
      <c r="L98" s="4">
        <f t="shared" si="48"/>
        <v>-0.320780877302283</v>
      </c>
      <c r="M98" s="4">
        <f t="shared" si="49"/>
        <v>-13.618834523240954</v>
      </c>
      <c r="N98" s="4">
        <f t="shared" si="50"/>
        <v>95.021730404877999</v>
      </c>
      <c r="O98" s="5">
        <f t="shared" si="51"/>
        <v>1.0816971249814631</v>
      </c>
      <c r="P98" s="5">
        <f t="shared" si="52"/>
        <v>-20.722153371793198</v>
      </c>
      <c r="Q98" s="5">
        <f t="shared" si="53"/>
        <v>5799.5305107852246</v>
      </c>
      <c r="S98" s="4">
        <f t="shared" si="36"/>
        <v>-0.32078087730228289</v>
      </c>
      <c r="T98" s="4">
        <f t="shared" si="37"/>
        <v>-13.618834523240954</v>
      </c>
      <c r="U98" s="4">
        <f t="shared" si="38"/>
        <v>95.021730404878326</v>
      </c>
      <c r="V98" s="6">
        <f t="shared" si="54"/>
        <v>95.993253946722945</v>
      </c>
      <c r="W98" s="86">
        <f t="shared" si="55"/>
        <v>4.1067613450823881E-2</v>
      </c>
      <c r="X98" s="9">
        <f t="shared" si="56"/>
        <v>1.0001405694473173</v>
      </c>
      <c r="Y98" s="4">
        <f t="shared" si="57"/>
        <v>96.000000000000199</v>
      </c>
      <c r="Z98" s="1">
        <f t="shared" si="58"/>
        <v>0.1610938899589065</v>
      </c>
      <c r="AA98" s="86">
        <f t="shared" si="59"/>
        <v>1.6505578736111208</v>
      </c>
      <c r="AB98" s="86">
        <f t="shared" si="60"/>
        <v>-1.4910347799789179</v>
      </c>
      <c r="AC98" s="1">
        <f t="shared" si="39"/>
        <v>-1.6505578736111208</v>
      </c>
      <c r="AD98" s="5">
        <f t="shared" si="40"/>
        <v>5801.0000000000045</v>
      </c>
      <c r="AE98" s="5">
        <f t="shared" si="35"/>
        <v>9.2299999999902536</v>
      </c>
      <c r="AF98" s="5">
        <f t="shared" si="41"/>
        <v>265.42999999999523</v>
      </c>
      <c r="AH98" s="22">
        <f t="shared" si="42"/>
        <v>4.5474735088646412E-12</v>
      </c>
      <c r="AI98" s="22">
        <f t="shared" si="43"/>
        <v>9.7468699777891743E-12</v>
      </c>
      <c r="AJ98" s="87">
        <f t="shared" si="61"/>
        <v>4.7748471843078732E-12</v>
      </c>
    </row>
    <row r="99" spans="1:36" x14ac:dyDescent="0.2">
      <c r="A99" s="3">
        <v>5897</v>
      </c>
      <c r="B99" s="3">
        <v>11.07</v>
      </c>
      <c r="C99" s="3">
        <v>259.45</v>
      </c>
      <c r="E99" s="1">
        <f t="shared" si="62"/>
        <v>0.19320794819577228</v>
      </c>
      <c r="F99" s="1">
        <f t="shared" si="63"/>
        <v>4.5282567442992878</v>
      </c>
      <c r="H99" s="9">
        <f t="shared" si="44"/>
        <v>3.6967043977364389E-2</v>
      </c>
      <c r="I99" s="155">
        <f t="shared" si="45"/>
        <v>3.6967043977363813E-2</v>
      </c>
      <c r="J99" s="153">
        <f t="shared" si="46"/>
        <v>0.66189237530546496</v>
      </c>
      <c r="K99" s="9">
        <f t="shared" si="47"/>
        <v>1.0001138957596263</v>
      </c>
      <c r="L99" s="4">
        <f t="shared" si="48"/>
        <v>-2.3011649680025501</v>
      </c>
      <c r="M99" s="4">
        <f t="shared" si="49"/>
        <v>-16.737126065770173</v>
      </c>
      <c r="N99" s="4">
        <f t="shared" si="50"/>
        <v>94.496157481549233</v>
      </c>
      <c r="O99" s="5">
        <f t="shared" si="51"/>
        <v>-1.219467843021087</v>
      </c>
      <c r="P99" s="5">
        <f t="shared" si="52"/>
        <v>-37.459279437563367</v>
      </c>
      <c r="Q99" s="5">
        <f t="shared" si="53"/>
        <v>5894.0266682667734</v>
      </c>
      <c r="S99" s="4">
        <f t="shared" si="36"/>
        <v>-2.3011649680025501</v>
      </c>
      <c r="T99" s="4">
        <f t="shared" si="37"/>
        <v>-16.73712606577017</v>
      </c>
      <c r="U99" s="4">
        <f t="shared" si="38"/>
        <v>94.496157481548835</v>
      </c>
      <c r="V99" s="6">
        <f t="shared" si="54"/>
        <v>95.994533844011784</v>
      </c>
      <c r="W99" s="86">
        <f t="shared" si="55"/>
        <v>3.6967043977641723E-2</v>
      </c>
      <c r="X99" s="9">
        <f t="shared" si="56"/>
        <v>1.0001138957596278</v>
      </c>
      <c r="Y99" s="4">
        <f t="shared" si="57"/>
        <v>95.999999999999687</v>
      </c>
      <c r="Z99" s="1">
        <f t="shared" si="58"/>
        <v>0.19320794819593967</v>
      </c>
      <c r="AA99" s="86">
        <f t="shared" si="59"/>
        <v>1.7549285628801397</v>
      </c>
      <c r="AB99" s="86">
        <f t="shared" si="60"/>
        <v>-1.3866640907097076</v>
      </c>
      <c r="AC99" s="1">
        <f t="shared" si="39"/>
        <v>-1.7549285628801397</v>
      </c>
      <c r="AD99" s="5">
        <f t="shared" si="40"/>
        <v>5897.0000000000045</v>
      </c>
      <c r="AE99" s="5">
        <f t="shared" si="35"/>
        <v>11.070000000009591</v>
      </c>
      <c r="AF99" s="5">
        <f t="shared" si="41"/>
        <v>259.45000000000908</v>
      </c>
      <c r="AH99" s="22">
        <f t="shared" si="42"/>
        <v>4.5474735088646412E-12</v>
      </c>
      <c r="AI99" s="22">
        <f t="shared" si="43"/>
        <v>9.5905505759219523E-12</v>
      </c>
      <c r="AJ99" s="87">
        <f t="shared" si="61"/>
        <v>9.0949470177292824E-12</v>
      </c>
    </row>
    <row r="100" spans="1:36" x14ac:dyDescent="0.2">
      <c r="A100" s="3">
        <v>5995</v>
      </c>
      <c r="B100" s="3">
        <v>13.88</v>
      </c>
      <c r="C100" s="3">
        <v>250.32</v>
      </c>
      <c r="E100" s="1">
        <f t="shared" si="62"/>
        <v>0.24225170017681297</v>
      </c>
      <c r="F100" s="1">
        <f t="shared" si="63"/>
        <v>4.3689081835922057</v>
      </c>
      <c r="H100" s="9">
        <f t="shared" si="44"/>
        <v>5.977432162908225E-2</v>
      </c>
      <c r="I100" s="155">
        <f t="shared" si="45"/>
        <v>5.9774321629082874E-2</v>
      </c>
      <c r="J100" s="153">
        <f t="shared" si="46"/>
        <v>1.0484131691644789</v>
      </c>
      <c r="K100" s="9">
        <f t="shared" si="47"/>
        <v>1.0002978538832554</v>
      </c>
      <c r="L100" s="4">
        <f t="shared" si="48"/>
        <v>-5.6828554832593374</v>
      </c>
      <c r="M100" s="4">
        <f t="shared" si="49"/>
        <v>-20.323369930309436</v>
      </c>
      <c r="N100" s="4">
        <f t="shared" si="50"/>
        <v>95.685978921528061</v>
      </c>
      <c r="O100" s="5">
        <f t="shared" si="51"/>
        <v>-6.902323326280424</v>
      </c>
      <c r="P100" s="5">
        <f t="shared" si="52"/>
        <v>-57.782649367872807</v>
      </c>
      <c r="Q100" s="5">
        <f t="shared" si="53"/>
        <v>5989.7126471883012</v>
      </c>
      <c r="S100" s="4">
        <f t="shared" si="36"/>
        <v>-5.6828554832593365</v>
      </c>
      <c r="T100" s="4">
        <f t="shared" si="37"/>
        <v>-20.32336993030944</v>
      </c>
      <c r="U100" s="4">
        <f t="shared" si="38"/>
        <v>95.685978921527749</v>
      </c>
      <c r="V100" s="6">
        <f t="shared" si="54"/>
        <v>97.985411026024011</v>
      </c>
      <c r="W100" s="86">
        <f t="shared" si="55"/>
        <v>5.9774321628865756E-2</v>
      </c>
      <c r="X100" s="9">
        <f t="shared" si="56"/>
        <v>1.0002978538832534</v>
      </c>
      <c r="Y100" s="4">
        <f t="shared" si="57"/>
        <v>97.999999999999559</v>
      </c>
      <c r="Z100" s="1">
        <f t="shared" si="58"/>
        <v>0.24225170017665287</v>
      </c>
      <c r="AA100" s="86">
        <f t="shared" si="59"/>
        <v>1.9142771235876155</v>
      </c>
      <c r="AB100" s="86">
        <f t="shared" si="60"/>
        <v>-1.2273155300021894</v>
      </c>
      <c r="AC100" s="1">
        <f t="shared" si="39"/>
        <v>-1.9142771235876155</v>
      </c>
      <c r="AD100" s="5">
        <f t="shared" si="40"/>
        <v>5995.0000000000045</v>
      </c>
      <c r="AE100" s="5">
        <f t="shared" si="35"/>
        <v>13.879999999990829</v>
      </c>
      <c r="AF100" s="5">
        <f t="shared" si="41"/>
        <v>250.31999999998655</v>
      </c>
      <c r="AH100" s="22">
        <f t="shared" si="42"/>
        <v>4.5474735088646412E-12</v>
      </c>
      <c r="AI100" s="22">
        <f t="shared" si="43"/>
        <v>9.1713303618234931E-12</v>
      </c>
      <c r="AJ100" s="87">
        <f t="shared" si="61"/>
        <v>1.3443468560581096E-11</v>
      </c>
    </row>
    <row r="101" spans="1:36" x14ac:dyDescent="0.2">
      <c r="A101" s="3">
        <v>6091</v>
      </c>
      <c r="B101" s="3">
        <v>16.27</v>
      </c>
      <c r="C101" s="3">
        <v>240.12</v>
      </c>
      <c r="E101" s="1">
        <f t="shared" si="62"/>
        <v>0.2839650692994774</v>
      </c>
      <c r="F101" s="1">
        <f t="shared" si="63"/>
        <v>4.1908845998887845</v>
      </c>
      <c r="H101" s="9">
        <f t="shared" si="44"/>
        <v>6.217211402324474E-2</v>
      </c>
      <c r="I101" s="155">
        <f t="shared" si="45"/>
        <v>6.2172114023243477E-2</v>
      </c>
      <c r="J101" s="153">
        <f t="shared" si="46"/>
        <v>1.1131874177931389</v>
      </c>
      <c r="K101" s="9">
        <f t="shared" si="47"/>
        <v>1.0003222388713866</v>
      </c>
      <c r="L101" s="4">
        <f t="shared" si="48"/>
        <v>-10.580700698339029</v>
      </c>
      <c r="M101" s="4">
        <f t="shared" si="49"/>
        <v>-22.50959891424046</v>
      </c>
      <c r="N101" s="4">
        <f t="shared" si="50"/>
        <v>92.705978806140749</v>
      </c>
      <c r="O101" s="5">
        <f t="shared" si="51"/>
        <v>-17.483024024619453</v>
      </c>
      <c r="P101" s="5">
        <f t="shared" si="52"/>
        <v>-80.292248282113263</v>
      </c>
      <c r="Q101" s="5">
        <f t="shared" si="53"/>
        <v>6082.4186259944418</v>
      </c>
      <c r="S101" s="4">
        <f t="shared" si="36"/>
        <v>-10.580700698339029</v>
      </c>
      <c r="T101" s="4">
        <f t="shared" si="37"/>
        <v>-22.509598914240456</v>
      </c>
      <c r="U101" s="4">
        <f t="shared" si="38"/>
        <v>92.705978806140592</v>
      </c>
      <c r="V101" s="6">
        <f t="shared" si="54"/>
        <v>95.984539259989134</v>
      </c>
      <c r="W101" s="86">
        <f t="shared" si="55"/>
        <v>6.217211402334577E-2</v>
      </c>
      <c r="X101" s="9">
        <f t="shared" si="56"/>
        <v>1.0003222388713877</v>
      </c>
      <c r="Y101" s="4">
        <f t="shared" si="57"/>
        <v>95.999999999999915</v>
      </c>
      <c r="Z101" s="1">
        <f t="shared" si="58"/>
        <v>0.28396506929962695</v>
      </c>
      <c r="AA101" s="86">
        <f t="shared" si="59"/>
        <v>2.0923007072905047</v>
      </c>
      <c r="AB101" s="86">
        <f t="shared" si="60"/>
        <v>-1.0492919462992831</v>
      </c>
      <c r="AC101" s="1">
        <f t="shared" si="39"/>
        <v>-2.0923007072905047</v>
      </c>
      <c r="AD101" s="5">
        <f t="shared" si="40"/>
        <v>6091.0000000000045</v>
      </c>
      <c r="AE101" s="5">
        <f t="shared" si="35"/>
        <v>16.270000000008569</v>
      </c>
      <c r="AF101" s="5">
        <f t="shared" si="41"/>
        <v>240.12000000001706</v>
      </c>
      <c r="AH101" s="22">
        <f t="shared" si="42"/>
        <v>4.5474735088646412E-12</v>
      </c>
      <c r="AI101" s="22">
        <f t="shared" si="43"/>
        <v>8.5691453932668082E-12</v>
      </c>
      <c r="AJ101" s="87">
        <f t="shared" si="61"/>
        <v>1.7053025658242404E-11</v>
      </c>
    </row>
    <row r="102" spans="1:36" x14ac:dyDescent="0.2">
      <c r="A102" s="3">
        <v>6186</v>
      </c>
      <c r="B102" s="3">
        <v>17.829999999999998</v>
      </c>
      <c r="C102" s="3">
        <v>236.25</v>
      </c>
      <c r="E102" s="1">
        <f t="shared" si="62"/>
        <v>0.31119220563058891</v>
      </c>
      <c r="F102" s="1">
        <f t="shared" si="63"/>
        <v>4.1233403578366037</v>
      </c>
      <c r="H102" s="9">
        <f t="shared" si="44"/>
        <v>3.3654086072109068E-2</v>
      </c>
      <c r="I102" s="155">
        <f t="shared" si="45"/>
        <v>3.3654086072107361E-2</v>
      </c>
      <c r="J102" s="153">
        <f t="shared" si="46"/>
        <v>0.60891697746374396</v>
      </c>
      <c r="K102" s="9">
        <f t="shared" si="47"/>
        <v>1.0000943938168136</v>
      </c>
      <c r="L102" s="4">
        <f t="shared" si="48"/>
        <v>-14.711461640487089</v>
      </c>
      <c r="M102" s="4">
        <f t="shared" si="49"/>
        <v>-23.634095134138676</v>
      </c>
      <c r="N102" s="4">
        <f t="shared" si="50"/>
        <v>90.824835084015774</v>
      </c>
      <c r="O102" s="5">
        <f t="shared" si="51"/>
        <v>-32.194485665106541</v>
      </c>
      <c r="P102" s="5">
        <f t="shared" si="52"/>
        <v>-103.92634341625194</v>
      </c>
      <c r="Q102" s="5">
        <f t="shared" si="53"/>
        <v>6173.2434610784576</v>
      </c>
      <c r="S102" s="4">
        <f t="shared" si="36"/>
        <v>-14.711461640487087</v>
      </c>
      <c r="T102" s="4">
        <f t="shared" si="37"/>
        <v>-23.634095134138676</v>
      </c>
      <c r="U102" s="4">
        <f t="shared" si="38"/>
        <v>90.824835084015831</v>
      </c>
      <c r="V102" s="6">
        <f t="shared" si="54"/>
        <v>94.995516864995864</v>
      </c>
      <c r="W102" s="86">
        <f t="shared" si="55"/>
        <v>3.3654086071979172E-2</v>
      </c>
      <c r="X102" s="9">
        <f t="shared" si="56"/>
        <v>1.0000943938168128</v>
      </c>
      <c r="Y102" s="4">
        <f t="shared" si="57"/>
        <v>95.000000000000014</v>
      </c>
      <c r="Z102" s="1">
        <f t="shared" si="58"/>
        <v>0.3111922056304437</v>
      </c>
      <c r="AA102" s="86">
        <f t="shared" si="59"/>
        <v>2.1598449493432876</v>
      </c>
      <c r="AB102" s="86">
        <f t="shared" si="60"/>
        <v>-0.98174770424651248</v>
      </c>
      <c r="AC102" s="1">
        <f t="shared" si="39"/>
        <v>-2.1598449493432876</v>
      </c>
      <c r="AD102" s="5">
        <f t="shared" si="40"/>
        <v>6186.0000000000045</v>
      </c>
      <c r="AE102" s="5">
        <f t="shared" si="35"/>
        <v>17.829999999991678</v>
      </c>
      <c r="AF102" s="5">
        <f t="shared" si="41"/>
        <v>236.24999999998255</v>
      </c>
      <c r="AH102" s="22">
        <f t="shared" si="42"/>
        <v>4.5474735088646412E-12</v>
      </c>
      <c r="AI102" s="22">
        <f t="shared" si="43"/>
        <v>8.3204554357507732E-12</v>
      </c>
      <c r="AJ102" s="87">
        <f t="shared" si="61"/>
        <v>1.7450929590268061E-11</v>
      </c>
    </row>
    <row r="103" spans="1:36" x14ac:dyDescent="0.2">
      <c r="A103" s="3">
        <v>6281</v>
      </c>
      <c r="B103" s="3">
        <v>17.829999999999998</v>
      </c>
      <c r="C103" s="3">
        <v>230.27</v>
      </c>
      <c r="E103" s="1">
        <f t="shared" si="62"/>
        <v>0.31119220563058891</v>
      </c>
      <c r="F103" s="1">
        <f t="shared" si="63"/>
        <v>4.0189696685673431</v>
      </c>
      <c r="H103" s="9">
        <f t="shared" si="44"/>
        <v>3.1944512722574592E-2</v>
      </c>
      <c r="I103" s="155">
        <f t="shared" si="45"/>
        <v>3.1944512722574377E-2</v>
      </c>
      <c r="J103" s="153">
        <f t="shared" si="46"/>
        <v>0.57798497608594324</v>
      </c>
      <c r="K103" s="9">
        <f t="shared" si="47"/>
        <v>1.0000850463363369</v>
      </c>
      <c r="L103" s="4">
        <f t="shared" si="48"/>
        <v>-17.378033631778944</v>
      </c>
      <c r="M103" s="4">
        <f t="shared" si="49"/>
        <v>-23.280483698010151</v>
      </c>
      <c r="N103" s="4">
        <f t="shared" si="50"/>
        <v>90.444765393709091</v>
      </c>
      <c r="O103" s="5">
        <f t="shared" si="51"/>
        <v>-49.572519296885488</v>
      </c>
      <c r="P103" s="5">
        <f t="shared" si="52"/>
        <v>-127.2068271142621</v>
      </c>
      <c r="Q103" s="5">
        <f t="shared" si="53"/>
        <v>6263.6882264721671</v>
      </c>
      <c r="S103" s="4">
        <f t="shared" si="36"/>
        <v>-17.378033631778948</v>
      </c>
      <c r="T103" s="4">
        <f t="shared" si="37"/>
        <v>-23.280483698010158</v>
      </c>
      <c r="U103" s="4">
        <f t="shared" si="38"/>
        <v>90.444765393709531</v>
      </c>
      <c r="V103" s="6">
        <f t="shared" si="54"/>
        <v>94.995960762780399</v>
      </c>
      <c r="W103" s="86">
        <f t="shared" si="55"/>
        <v>3.1944512722376306E-2</v>
      </c>
      <c r="X103" s="9">
        <f t="shared" si="56"/>
        <v>1.0000850463363358</v>
      </c>
      <c r="Y103" s="4">
        <f t="shared" si="57"/>
        <v>95.000000000000355</v>
      </c>
      <c r="Z103" s="1">
        <f t="shared" si="58"/>
        <v>0.31119220563072014</v>
      </c>
      <c r="AA103" s="86">
        <f t="shared" si="59"/>
        <v>2.2642156386118968</v>
      </c>
      <c r="AB103" s="86">
        <f t="shared" si="60"/>
        <v>-0.87737701497790543</v>
      </c>
      <c r="AC103" s="1">
        <f t="shared" si="39"/>
        <v>-2.2642156386118968</v>
      </c>
      <c r="AD103" s="5">
        <f t="shared" si="40"/>
        <v>6281.0000000000045</v>
      </c>
      <c r="AE103" s="5">
        <f t="shared" si="35"/>
        <v>17.830000000007516</v>
      </c>
      <c r="AF103" s="5">
        <f t="shared" si="41"/>
        <v>230.27000000001988</v>
      </c>
      <c r="AH103" s="22">
        <f t="shared" si="42"/>
        <v>4.5474735088646412E-12</v>
      </c>
      <c r="AI103" s="22">
        <f t="shared" si="43"/>
        <v>7.51754214434186E-12</v>
      </c>
      <c r="AJ103" s="87">
        <f t="shared" si="61"/>
        <v>1.9866774891852401E-11</v>
      </c>
    </row>
    <row r="104" spans="1:36" x14ac:dyDescent="0.2">
      <c r="A104" s="3">
        <v>6341</v>
      </c>
      <c r="B104" s="3">
        <v>17.7</v>
      </c>
      <c r="C104" s="3">
        <v>223.8</v>
      </c>
      <c r="E104" s="1">
        <f t="shared" si="62"/>
        <v>0.30892327760299632</v>
      </c>
      <c r="F104" s="1">
        <f t="shared" si="63"/>
        <v>3.9060468659633099</v>
      </c>
      <c r="H104" s="9">
        <f t="shared" si="44"/>
        <v>3.4512124667785082E-2</v>
      </c>
      <c r="I104" s="155">
        <f t="shared" si="45"/>
        <v>3.4512124667784798E-2</v>
      </c>
      <c r="J104" s="153">
        <f t="shared" si="46"/>
        <v>0.98869954274671179</v>
      </c>
      <c r="K104" s="9">
        <f t="shared" si="47"/>
        <v>1.0000992690529125</v>
      </c>
      <c r="L104" s="4">
        <f t="shared" si="48"/>
        <v>-12.455707547474869</v>
      </c>
      <c r="M104" s="4">
        <f t="shared" si="49"/>
        <v>-13.378848099177695</v>
      </c>
      <c r="N104" s="4">
        <f t="shared" si="50"/>
        <v>57.14459258051243</v>
      </c>
      <c r="O104" s="5">
        <f t="shared" si="51"/>
        <v>-62.028226844360361</v>
      </c>
      <c r="P104" s="5">
        <f t="shared" si="52"/>
        <v>-140.5856752134398</v>
      </c>
      <c r="Q104" s="5">
        <f t="shared" si="53"/>
        <v>6320.83281905268</v>
      </c>
      <c r="S104" s="4">
        <f t="shared" si="36"/>
        <v>-12.455707547474873</v>
      </c>
      <c r="T104" s="4">
        <f t="shared" si="37"/>
        <v>-13.378848099177702</v>
      </c>
      <c r="U104" s="4">
        <f t="shared" si="38"/>
        <v>57.144592580512835</v>
      </c>
      <c r="V104" s="6">
        <f t="shared" si="54"/>
        <v>59.997022327461352</v>
      </c>
      <c r="W104" s="86">
        <f t="shared" si="55"/>
        <v>3.4512124668029553E-2</v>
      </c>
      <c r="X104" s="9">
        <f t="shared" si="56"/>
        <v>1.0000992690529138</v>
      </c>
      <c r="Y104" s="4">
        <f t="shared" si="57"/>
        <v>60.000000000000426</v>
      </c>
      <c r="Z104" s="1">
        <f t="shared" si="58"/>
        <v>0.30892327760287208</v>
      </c>
      <c r="AA104" s="86">
        <f t="shared" si="59"/>
        <v>2.3771384412166752</v>
      </c>
      <c r="AB104" s="86">
        <f t="shared" si="60"/>
        <v>-0.76445421237312727</v>
      </c>
      <c r="AC104" s="1">
        <f t="shared" si="39"/>
        <v>-2.3771384412166752</v>
      </c>
      <c r="AD104" s="5">
        <f t="shared" si="40"/>
        <v>6341.0000000000045</v>
      </c>
      <c r="AE104" s="5">
        <f t="shared" si="35"/>
        <v>17.69999999999288</v>
      </c>
      <c r="AF104" s="5">
        <f t="shared" si="41"/>
        <v>223.79999999997719</v>
      </c>
      <c r="AH104" s="22">
        <f t="shared" si="42"/>
        <v>4.5474735088646412E-12</v>
      </c>
      <c r="AI104" s="22">
        <f t="shared" si="43"/>
        <v>7.1196382123162039E-12</v>
      </c>
      <c r="AJ104" s="87">
        <f t="shared" si="61"/>
        <v>2.2822632672614418E-11</v>
      </c>
    </row>
    <row r="105" spans="1:36" x14ac:dyDescent="0.2">
      <c r="A105" s="3">
        <v>6436</v>
      </c>
      <c r="B105" s="3">
        <v>19.2</v>
      </c>
      <c r="C105" s="3">
        <v>223</v>
      </c>
      <c r="E105" s="1">
        <f t="shared" si="62"/>
        <v>0.33510321638291124</v>
      </c>
      <c r="F105" s="1">
        <f t="shared" si="63"/>
        <v>3.8920842319473548</v>
      </c>
      <c r="H105" s="9">
        <f t="shared" si="44"/>
        <v>2.654965135006826E-2</v>
      </c>
      <c r="I105" s="155">
        <f t="shared" si="45"/>
        <v>2.6549651350068721E-2</v>
      </c>
      <c r="J105" s="153">
        <f t="shared" si="46"/>
        <v>0.48037356944296411</v>
      </c>
      <c r="K105" s="9">
        <f t="shared" si="47"/>
        <v>1.0000587444730415</v>
      </c>
      <c r="L105" s="4">
        <f t="shared" si="48"/>
        <v>-21.849231960855203</v>
      </c>
      <c r="M105" s="4">
        <f t="shared" si="49"/>
        <v>-20.650456800453906</v>
      </c>
      <c r="N105" s="4">
        <f t="shared" si="50"/>
        <v>90.114591369049677</v>
      </c>
      <c r="O105" s="5">
        <f t="shared" si="51"/>
        <v>-83.877458805215568</v>
      </c>
      <c r="P105" s="5">
        <f t="shared" si="52"/>
        <v>-161.23613201389369</v>
      </c>
      <c r="Q105" s="5">
        <f t="shared" si="53"/>
        <v>6410.9474104217297</v>
      </c>
      <c r="S105" s="4">
        <f t="shared" si="36"/>
        <v>-21.849231960855207</v>
      </c>
      <c r="T105" s="4">
        <f t="shared" si="37"/>
        <v>-20.650456800453895</v>
      </c>
      <c r="U105" s="4">
        <f t="shared" si="38"/>
        <v>90.114591369049776</v>
      </c>
      <c r="V105" s="6">
        <f t="shared" si="54"/>
        <v>94.99720985880316</v>
      </c>
      <c r="W105" s="86">
        <f t="shared" si="55"/>
        <v>2.6549651350271652E-2</v>
      </c>
      <c r="X105" s="9">
        <f t="shared" si="56"/>
        <v>1.0000587444730424</v>
      </c>
      <c r="Y105" s="4">
        <f t="shared" si="57"/>
        <v>95.000000000000142</v>
      </c>
      <c r="Z105" s="1">
        <f t="shared" si="58"/>
        <v>0.33510321638303364</v>
      </c>
      <c r="AA105" s="86">
        <f t="shared" si="59"/>
        <v>2.3911010752318571</v>
      </c>
      <c r="AB105" s="86">
        <f t="shared" si="60"/>
        <v>-0.75049157835793245</v>
      </c>
      <c r="AC105" s="1">
        <f t="shared" si="39"/>
        <v>-2.3911010752318571</v>
      </c>
      <c r="AD105" s="5">
        <f t="shared" si="40"/>
        <v>6436.0000000000045</v>
      </c>
      <c r="AE105" s="5">
        <f t="shared" si="35"/>
        <v>19.200000000007012</v>
      </c>
      <c r="AF105" s="5">
        <f t="shared" si="41"/>
        <v>223.00000000002146</v>
      </c>
      <c r="AH105" s="22">
        <f t="shared" si="42"/>
        <v>4.5474735088646412E-12</v>
      </c>
      <c r="AI105" s="22">
        <f t="shared" si="43"/>
        <v>7.0130568019521888E-12</v>
      </c>
      <c r="AJ105" s="87">
        <f t="shared" si="61"/>
        <v>2.1458390619955026E-11</v>
      </c>
    </row>
    <row r="106" spans="1:36" x14ac:dyDescent="0.2">
      <c r="A106" s="3">
        <v>6534</v>
      </c>
      <c r="B106" s="3">
        <v>22.9</v>
      </c>
      <c r="C106" s="3">
        <v>220.9</v>
      </c>
      <c r="E106" s="1">
        <f t="shared" si="62"/>
        <v>0.39968039870670147</v>
      </c>
      <c r="F106" s="1">
        <f t="shared" si="63"/>
        <v>3.8554323176554739</v>
      </c>
      <c r="H106" s="9">
        <f t="shared" si="44"/>
        <v>6.5895562963515841E-2</v>
      </c>
      <c r="I106" s="155">
        <f t="shared" si="45"/>
        <v>6.5895562963517118E-2</v>
      </c>
      <c r="J106" s="153">
        <f t="shared" si="46"/>
        <v>1.1557768305453175</v>
      </c>
      <c r="K106" s="9">
        <f t="shared" si="47"/>
        <v>1.0003620092949248</v>
      </c>
      <c r="L106" s="4">
        <f t="shared" si="48"/>
        <v>-26.206771488666018</v>
      </c>
      <c r="M106" s="4">
        <f t="shared" si="49"/>
        <v>-23.482528247031816</v>
      </c>
      <c r="N106" s="4">
        <f t="shared" si="50"/>
        <v>91.445619198808672</v>
      </c>
      <c r="O106" s="5">
        <f t="shared" si="51"/>
        <v>-110.08423029388159</v>
      </c>
      <c r="P106" s="5">
        <f t="shared" si="52"/>
        <v>-184.7186602609255</v>
      </c>
      <c r="Q106" s="5">
        <f t="shared" si="53"/>
        <v>6502.3930296205381</v>
      </c>
      <c r="S106" s="4">
        <f t="shared" si="36"/>
        <v>-26.206771488666021</v>
      </c>
      <c r="T106" s="4">
        <f t="shared" si="37"/>
        <v>-23.482528247031809</v>
      </c>
      <c r="U106" s="4">
        <f t="shared" si="38"/>
        <v>91.445619198808345</v>
      </c>
      <c r="V106" s="6">
        <f t="shared" si="54"/>
        <v>97.982270209386698</v>
      </c>
      <c r="W106" s="86">
        <f t="shared" si="55"/>
        <v>6.5895562963321552E-2</v>
      </c>
      <c r="X106" s="9">
        <f t="shared" si="56"/>
        <v>1.0003620092949228</v>
      </c>
      <c r="Y106" s="4">
        <f t="shared" si="57"/>
        <v>97.999999999999559</v>
      </c>
      <c r="Z106" s="1">
        <f t="shared" si="58"/>
        <v>0.39968039870658401</v>
      </c>
      <c r="AA106" s="86">
        <f t="shared" si="59"/>
        <v>2.427752989524445</v>
      </c>
      <c r="AB106" s="86">
        <f t="shared" si="60"/>
        <v>-0.71383966406535704</v>
      </c>
      <c r="AC106" s="1">
        <f t="shared" si="39"/>
        <v>-2.427752989524445</v>
      </c>
      <c r="AD106" s="5">
        <f t="shared" si="40"/>
        <v>6534.0000000000045</v>
      </c>
      <c r="AE106" s="5">
        <f t="shared" si="35"/>
        <v>22.89999999999327</v>
      </c>
      <c r="AF106" s="5">
        <f t="shared" si="41"/>
        <v>220.89999999998093</v>
      </c>
      <c r="AH106" s="22">
        <f t="shared" si="42"/>
        <v>4.5474735088646412E-12</v>
      </c>
      <c r="AI106" s="22">
        <f t="shared" si="43"/>
        <v>6.7288397076481488E-12</v>
      </c>
      <c r="AJ106" s="87">
        <f t="shared" si="61"/>
        <v>1.9070967027801089E-11</v>
      </c>
    </row>
    <row r="107" spans="1:36" x14ac:dyDescent="0.2">
      <c r="A107" s="3">
        <v>6627</v>
      </c>
      <c r="B107" s="3">
        <v>25.6</v>
      </c>
      <c r="C107" s="3">
        <v>218.9</v>
      </c>
      <c r="E107" s="1">
        <f t="shared" si="62"/>
        <v>0.44680428851054838</v>
      </c>
      <c r="F107" s="1">
        <f t="shared" si="63"/>
        <v>3.8205257326155877</v>
      </c>
      <c r="H107" s="9">
        <f t="shared" si="44"/>
        <v>4.9250246887218463E-2</v>
      </c>
      <c r="I107" s="155">
        <f t="shared" si="45"/>
        <v>4.9250246887219892E-2</v>
      </c>
      <c r="J107" s="153">
        <f t="shared" si="46"/>
        <v>0.91026815697256069</v>
      </c>
      <c r="K107" s="9">
        <f t="shared" si="47"/>
        <v>1.0002021812758364</v>
      </c>
      <c r="L107" s="4">
        <f t="shared" si="48"/>
        <v>-29.318989999787867</v>
      </c>
      <c r="M107" s="4">
        <f t="shared" si="49"/>
        <v>-24.469024896375998</v>
      </c>
      <c r="N107" s="4">
        <f t="shared" si="50"/>
        <v>84.787472810891998</v>
      </c>
      <c r="O107" s="5">
        <f t="shared" si="51"/>
        <v>-139.40322029366945</v>
      </c>
      <c r="P107" s="5">
        <f t="shared" si="52"/>
        <v>-209.1876851573015</v>
      </c>
      <c r="Q107" s="5">
        <f t="shared" si="53"/>
        <v>6587.1805024314299</v>
      </c>
      <c r="S107" s="4">
        <f t="shared" si="36"/>
        <v>-29.31898999978786</v>
      </c>
      <c r="T107" s="4">
        <f t="shared" si="37"/>
        <v>-24.469024896375998</v>
      </c>
      <c r="U107" s="4">
        <f t="shared" si="38"/>
        <v>84.787472810891813</v>
      </c>
      <c r="V107" s="6">
        <f t="shared" si="54"/>
        <v>92.990601136054863</v>
      </c>
      <c r="W107" s="86">
        <f t="shared" si="55"/>
        <v>4.9250246887368565E-2</v>
      </c>
      <c r="X107" s="9">
        <f t="shared" si="56"/>
        <v>1.0002021812758375</v>
      </c>
      <c r="Y107" s="4">
        <f t="shared" si="57"/>
        <v>92.999999999999886</v>
      </c>
      <c r="Z107" s="1">
        <f t="shared" si="58"/>
        <v>0.44680428851066267</v>
      </c>
      <c r="AA107" s="86">
        <f t="shared" si="59"/>
        <v>2.4626595745636912</v>
      </c>
      <c r="AB107" s="86">
        <f t="shared" si="60"/>
        <v>-0.67893307902610367</v>
      </c>
      <c r="AC107" s="1">
        <f t="shared" si="39"/>
        <v>-2.4626595745636912</v>
      </c>
      <c r="AD107" s="5">
        <f t="shared" si="40"/>
        <v>6627.0000000000045</v>
      </c>
      <c r="AE107" s="5">
        <f t="shared" si="35"/>
        <v>25.600000000006549</v>
      </c>
      <c r="AF107" s="5">
        <f t="shared" si="41"/>
        <v>218.90000000001763</v>
      </c>
      <c r="AH107" s="22">
        <f t="shared" si="42"/>
        <v>4.5474735088646412E-12</v>
      </c>
      <c r="AI107" s="22">
        <f t="shared" si="43"/>
        <v>6.5476513100293232E-12</v>
      </c>
      <c r="AJ107" s="87">
        <f t="shared" si="61"/>
        <v>1.7621459846850485E-11</v>
      </c>
    </row>
    <row r="108" spans="1:36" x14ac:dyDescent="0.2">
      <c r="A108" s="3">
        <v>6645</v>
      </c>
      <c r="B108" s="3">
        <v>26.19</v>
      </c>
      <c r="C108" s="3">
        <v>218.74</v>
      </c>
      <c r="E108" s="1">
        <f t="shared" si="62"/>
        <v>0.45710173109731495</v>
      </c>
      <c r="F108" s="1">
        <f t="shared" si="63"/>
        <v>3.8177332058123965</v>
      </c>
      <c r="H108" s="9">
        <f t="shared" si="44"/>
        <v>1.0369400793127426E-2</v>
      </c>
      <c r="I108" s="155">
        <f t="shared" si="45"/>
        <v>1.0369400793127157E-2</v>
      </c>
      <c r="J108" s="153">
        <f t="shared" si="46"/>
        <v>0.99020483587635</v>
      </c>
      <c r="K108" s="9">
        <f t="shared" si="47"/>
        <v>1.0000089604690809</v>
      </c>
      <c r="L108" s="4">
        <f t="shared" si="48"/>
        <v>-6.1247115784455453</v>
      </c>
      <c r="M108" s="4">
        <f t="shared" si="49"/>
        <v>-4.9277661049047241</v>
      </c>
      <c r="N108" s="4">
        <f t="shared" si="50"/>
        <v>16.192656549987301</v>
      </c>
      <c r="O108" s="5">
        <f t="shared" si="51"/>
        <v>-145.527931872115</v>
      </c>
      <c r="P108" s="5">
        <f t="shared" si="52"/>
        <v>-214.11545126220622</v>
      </c>
      <c r="Q108" s="5">
        <f t="shared" si="53"/>
        <v>6603.373158981417</v>
      </c>
      <c r="S108" s="4">
        <f t="shared" si="36"/>
        <v>-6.1247115784455559</v>
      </c>
      <c r="T108" s="4">
        <f t="shared" si="37"/>
        <v>-4.9277661049047197</v>
      </c>
      <c r="U108" s="4">
        <f t="shared" si="38"/>
        <v>16.192656549987078</v>
      </c>
      <c r="V108" s="6">
        <f t="shared" si="54"/>
        <v>17.999919356753583</v>
      </c>
      <c r="W108" s="86">
        <f t="shared" si="55"/>
        <v>1.0369400792915151E-2</v>
      </c>
      <c r="X108" s="9">
        <f t="shared" si="56"/>
        <v>1.0000089604690807</v>
      </c>
      <c r="Y108" s="4">
        <f t="shared" si="57"/>
        <v>17.999999999999797</v>
      </c>
      <c r="Z108" s="1">
        <f t="shared" si="58"/>
        <v>0.45710173109721297</v>
      </c>
      <c r="AA108" s="86">
        <f t="shared" si="59"/>
        <v>2.4654521013674926</v>
      </c>
      <c r="AB108" s="86">
        <f t="shared" si="60"/>
        <v>-0.67614055222229796</v>
      </c>
      <c r="AC108" s="1">
        <f t="shared" si="39"/>
        <v>-2.4654521013674926</v>
      </c>
      <c r="AD108" s="5">
        <f t="shared" si="40"/>
        <v>6645.0000000000045</v>
      </c>
      <c r="AE108" s="5">
        <f t="shared" si="35"/>
        <v>26.189999999994161</v>
      </c>
      <c r="AF108" s="5">
        <f t="shared" si="41"/>
        <v>218.73999999998264</v>
      </c>
      <c r="AH108" s="22">
        <f t="shared" si="42"/>
        <v>4.5474735088646412E-12</v>
      </c>
      <c r="AI108" s="22">
        <f t="shared" si="43"/>
        <v>5.8406612879480235E-12</v>
      </c>
      <c r="AJ108" s="87">
        <f t="shared" si="61"/>
        <v>1.7365664461976849E-11</v>
      </c>
    </row>
    <row r="109" spans="1:36" x14ac:dyDescent="0.2">
      <c r="A109" s="3">
        <v>6727</v>
      </c>
      <c r="B109" s="3">
        <v>28</v>
      </c>
      <c r="C109" s="3">
        <v>216.4</v>
      </c>
      <c r="E109" s="1">
        <f t="shared" si="62"/>
        <v>0.48869219055841229</v>
      </c>
      <c r="F109" s="1">
        <f t="shared" si="63"/>
        <v>3.7768925013157291</v>
      </c>
      <c r="H109" s="9">
        <f t="shared" si="44"/>
        <v>3.6654877275513975E-2</v>
      </c>
      <c r="I109" s="155">
        <f t="shared" si="45"/>
        <v>3.6654877275515675E-2</v>
      </c>
      <c r="J109" s="153">
        <f t="shared" si="46"/>
        <v>0.76835479260619766</v>
      </c>
      <c r="K109" s="9">
        <f t="shared" si="47"/>
        <v>1.0001119800477798</v>
      </c>
      <c r="L109" s="4">
        <f t="shared" si="48"/>
        <v>-29.610415242812937</v>
      </c>
      <c r="M109" s="4">
        <f t="shared" si="49"/>
        <v>-22.748693789019161</v>
      </c>
      <c r="N109" s="4">
        <f t="shared" si="50"/>
        <v>72.999776856387356</v>
      </c>
      <c r="O109" s="5">
        <f t="shared" si="51"/>
        <v>-175.13834711492794</v>
      </c>
      <c r="P109" s="5">
        <f t="shared" si="52"/>
        <v>-236.86414505122539</v>
      </c>
      <c r="Q109" s="5">
        <f t="shared" si="53"/>
        <v>6676.3729358378041</v>
      </c>
      <c r="S109" s="4">
        <f t="shared" si="36"/>
        <v>-29.610415242812934</v>
      </c>
      <c r="T109" s="4">
        <f t="shared" si="37"/>
        <v>-22.748693789019171</v>
      </c>
      <c r="U109" s="4">
        <f t="shared" si="38"/>
        <v>72.999776856387143</v>
      </c>
      <c r="V109" s="6">
        <f t="shared" si="54"/>
        <v>81.995409512000634</v>
      </c>
      <c r="W109" s="86">
        <f t="shared" si="55"/>
        <v>3.6654877275546394E-2</v>
      </c>
      <c r="X109" s="9">
        <f t="shared" si="56"/>
        <v>1.0001119800477802</v>
      </c>
      <c r="Y109" s="4">
        <f t="shared" si="57"/>
        <v>81.999999999999801</v>
      </c>
      <c r="Z109" s="1">
        <f t="shared" si="58"/>
        <v>0.48869219055851087</v>
      </c>
      <c r="AA109" s="86">
        <f t="shared" si="59"/>
        <v>2.5062928058635672</v>
      </c>
      <c r="AB109" s="86">
        <f t="shared" si="60"/>
        <v>-0.63529984772623049</v>
      </c>
      <c r="AC109" s="1">
        <f t="shared" si="39"/>
        <v>-2.5062928058635672</v>
      </c>
      <c r="AD109" s="5">
        <f t="shared" si="40"/>
        <v>6727.0000000000045</v>
      </c>
      <c r="AE109" s="5">
        <f t="shared" si="35"/>
        <v>28.000000000005649</v>
      </c>
      <c r="AF109" s="5">
        <f t="shared" si="41"/>
        <v>216.4000000000166</v>
      </c>
      <c r="AH109" s="22">
        <f t="shared" si="42"/>
        <v>4.5474735088646412E-12</v>
      </c>
      <c r="AI109" s="22">
        <f t="shared" si="43"/>
        <v>5.6488147492927965E-12</v>
      </c>
      <c r="AJ109" s="87">
        <f t="shared" si="61"/>
        <v>1.659827830735594E-11</v>
      </c>
    </row>
    <row r="110" spans="1:36" x14ac:dyDescent="0.2">
      <c r="A110" s="3">
        <v>6823</v>
      </c>
      <c r="B110" s="3">
        <v>32.1</v>
      </c>
      <c r="C110" s="3">
        <v>213.7</v>
      </c>
      <c r="E110" s="1">
        <f t="shared" si="62"/>
        <v>0.56025068989017979</v>
      </c>
      <c r="F110" s="1">
        <f t="shared" si="63"/>
        <v>3.729768611511882</v>
      </c>
      <c r="H110" s="9">
        <f t="shared" si="44"/>
        <v>7.5332713447374244E-2</v>
      </c>
      <c r="I110" s="155">
        <f t="shared" si="45"/>
        <v>7.5332713447374147E-2</v>
      </c>
      <c r="J110" s="153">
        <f t="shared" si="46"/>
        <v>1.3488270436884271</v>
      </c>
      <c r="K110" s="9">
        <f t="shared" si="47"/>
        <v>1.0004731866790382</v>
      </c>
      <c r="L110" s="4">
        <f t="shared" si="48"/>
        <v>-39.377375443863123</v>
      </c>
      <c r="M110" s="4">
        <f t="shared" si="49"/>
        <v>-27.537992416818607</v>
      </c>
      <c r="N110" s="4">
        <f t="shared" si="50"/>
        <v>83.082631684272641</v>
      </c>
      <c r="O110" s="5">
        <f t="shared" si="51"/>
        <v>-214.51572255879105</v>
      </c>
      <c r="P110" s="5">
        <f t="shared" si="52"/>
        <v>-264.40213746804397</v>
      </c>
      <c r="Q110" s="5">
        <f t="shared" si="53"/>
        <v>6759.4555675220763</v>
      </c>
      <c r="S110" s="4">
        <f t="shared" si="36"/>
        <v>-39.377375443863116</v>
      </c>
      <c r="T110" s="4">
        <f t="shared" si="37"/>
        <v>-27.537992416818582</v>
      </c>
      <c r="U110" s="4">
        <f t="shared" si="38"/>
        <v>83.082631684272201</v>
      </c>
      <c r="V110" s="6">
        <f t="shared" si="54"/>
        <v>95.977301539375148</v>
      </c>
      <c r="W110" s="86">
        <f t="shared" si="55"/>
        <v>7.5332713447281652E-2</v>
      </c>
      <c r="X110" s="9">
        <f t="shared" si="56"/>
        <v>1.0004731866790371</v>
      </c>
      <c r="Y110" s="4">
        <f t="shared" si="57"/>
        <v>95.999999999999559</v>
      </c>
      <c r="Z110" s="1">
        <f t="shared" si="58"/>
        <v>0.56025068989009075</v>
      </c>
      <c r="AA110" s="86">
        <f t="shared" si="59"/>
        <v>2.5534166956679694</v>
      </c>
      <c r="AB110" s="86">
        <f t="shared" si="60"/>
        <v>-0.58817595792182487</v>
      </c>
      <c r="AC110" s="1">
        <f t="shared" si="39"/>
        <v>-2.5534166956679694</v>
      </c>
      <c r="AD110" s="5">
        <f t="shared" si="40"/>
        <v>6823.0000000000045</v>
      </c>
      <c r="AE110" s="5">
        <f t="shared" si="35"/>
        <v>32.0999999999949</v>
      </c>
      <c r="AF110" s="5">
        <f t="shared" si="41"/>
        <v>213.69999999998481</v>
      </c>
      <c r="AH110" s="22">
        <f t="shared" si="42"/>
        <v>4.5474735088646412E-12</v>
      </c>
      <c r="AI110" s="22">
        <f t="shared" si="43"/>
        <v>5.1016968427575193E-12</v>
      </c>
      <c r="AJ110" s="87">
        <f t="shared" si="61"/>
        <v>1.517719283583574E-11</v>
      </c>
    </row>
    <row r="111" spans="1:36" x14ac:dyDescent="0.2">
      <c r="A111" s="3">
        <v>6919</v>
      </c>
      <c r="B111" s="3">
        <v>34.6</v>
      </c>
      <c r="C111" s="3">
        <v>212</v>
      </c>
      <c r="E111" s="1">
        <f t="shared" si="62"/>
        <v>0.60388392119003809</v>
      </c>
      <c r="F111" s="1">
        <f t="shared" si="63"/>
        <v>3.7000980142279785</v>
      </c>
      <c r="H111" s="9">
        <f t="shared" si="44"/>
        <v>4.6578693381649661E-2</v>
      </c>
      <c r="I111" s="155">
        <f t="shared" si="45"/>
        <v>4.6578693381649723E-2</v>
      </c>
      <c r="J111" s="153">
        <f t="shared" si="46"/>
        <v>0.83398829562577059</v>
      </c>
      <c r="K111" s="9">
        <f t="shared" si="47"/>
        <v>1.0001808371238277</v>
      </c>
      <c r="L111" s="4">
        <f t="shared" si="48"/>
        <v>-44.343603710176417</v>
      </c>
      <c r="M111" s="4">
        <f t="shared" si="49"/>
        <v>-28.601405509266968</v>
      </c>
      <c r="N111" s="4">
        <f t="shared" si="50"/>
        <v>80.186896061845289</v>
      </c>
      <c r="O111" s="5">
        <f t="shared" si="51"/>
        <v>-258.85932626896749</v>
      </c>
      <c r="P111" s="5">
        <f t="shared" si="52"/>
        <v>-293.00354297731093</v>
      </c>
      <c r="Q111" s="5">
        <f t="shared" si="53"/>
        <v>6839.6424635839212</v>
      </c>
      <c r="S111" s="4">
        <f t="shared" si="36"/>
        <v>-44.343603710176438</v>
      </c>
      <c r="T111" s="4">
        <f t="shared" si="37"/>
        <v>-28.601405509266954</v>
      </c>
      <c r="U111" s="4">
        <f t="shared" si="38"/>
        <v>80.186896061844891</v>
      </c>
      <c r="V111" s="6">
        <f t="shared" si="54"/>
        <v>95.991321936640787</v>
      </c>
      <c r="W111" s="86">
        <f t="shared" si="55"/>
        <v>4.6578693381703395E-2</v>
      </c>
      <c r="X111" s="9">
        <f t="shared" si="56"/>
        <v>1.0001808371238281</v>
      </c>
      <c r="Y111" s="4">
        <f t="shared" si="57"/>
        <v>95.999999999999702</v>
      </c>
      <c r="Z111" s="1">
        <f t="shared" si="58"/>
        <v>0.60388392119012801</v>
      </c>
      <c r="AA111" s="86">
        <f t="shared" si="59"/>
        <v>2.5830872929513586</v>
      </c>
      <c r="AB111" s="86">
        <f t="shared" si="60"/>
        <v>-0.55850536063843648</v>
      </c>
      <c r="AC111" s="1">
        <f t="shared" si="39"/>
        <v>-2.5830872929513586</v>
      </c>
      <c r="AD111" s="5">
        <f t="shared" si="40"/>
        <v>6919.0000000000045</v>
      </c>
      <c r="AE111" s="5">
        <f t="shared" si="35"/>
        <v>34.60000000000516</v>
      </c>
      <c r="AF111" s="5">
        <f t="shared" si="41"/>
        <v>212.00000000001427</v>
      </c>
      <c r="AH111" s="22">
        <f t="shared" si="42"/>
        <v>4.5474735088646412E-12</v>
      </c>
      <c r="AI111" s="22">
        <f t="shared" si="43"/>
        <v>5.1585402616183273E-12</v>
      </c>
      <c r="AJ111" s="87">
        <f t="shared" si="61"/>
        <v>1.4267698134062812E-11</v>
      </c>
    </row>
    <row r="112" spans="1:36" x14ac:dyDescent="0.2">
      <c r="A112" s="3">
        <v>7014</v>
      </c>
      <c r="B112" s="3">
        <v>36.9</v>
      </c>
      <c r="C112" s="3">
        <v>208.8</v>
      </c>
      <c r="E112" s="1">
        <f t="shared" si="62"/>
        <v>0.64402649398590761</v>
      </c>
      <c r="F112" s="1">
        <f t="shared" si="63"/>
        <v>3.6442474781641603</v>
      </c>
      <c r="H112" s="9">
        <f t="shared" si="44"/>
        <v>5.1720720598638303E-2</v>
      </c>
      <c r="I112" s="155">
        <f t="shared" si="45"/>
        <v>5.1720720598638345E-2</v>
      </c>
      <c r="J112" s="153">
        <f t="shared" si="46"/>
        <v>0.93580389589809965</v>
      </c>
      <c r="K112" s="9">
        <f t="shared" si="47"/>
        <v>1.0002229790594264</v>
      </c>
      <c r="L112" s="4">
        <f t="shared" si="48"/>
        <v>-47.87694858374217</v>
      </c>
      <c r="M112" s="4">
        <f t="shared" si="49"/>
        <v>-28.039135230065561</v>
      </c>
      <c r="N112" s="4">
        <f t="shared" si="50"/>
        <v>77.10118690106836</v>
      </c>
      <c r="O112" s="5">
        <f t="shared" si="51"/>
        <v>-306.73627485270964</v>
      </c>
      <c r="P112" s="5">
        <f t="shared" si="52"/>
        <v>-321.04267820737647</v>
      </c>
      <c r="Q112" s="5">
        <f t="shared" si="53"/>
        <v>6916.7436504849893</v>
      </c>
      <c r="S112" s="4">
        <f t="shared" si="36"/>
        <v>-47.876948583742148</v>
      </c>
      <c r="T112" s="4">
        <f t="shared" si="37"/>
        <v>-28.03913523006554</v>
      </c>
      <c r="U112" s="4">
        <f t="shared" si="38"/>
        <v>77.101186901068104</v>
      </c>
      <c r="V112" s="6">
        <f t="shared" si="54"/>
        <v>94.98941168200605</v>
      </c>
      <c r="W112" s="86">
        <f t="shared" si="55"/>
        <v>5.172072059869004E-2</v>
      </c>
      <c r="X112" s="9">
        <f t="shared" si="56"/>
        <v>1.0002229790594268</v>
      </c>
      <c r="Y112" s="4">
        <f t="shared" si="57"/>
        <v>94.999999999999787</v>
      </c>
      <c r="Z112" s="1">
        <f t="shared" si="58"/>
        <v>0.64402649398582645</v>
      </c>
      <c r="AA112" s="86">
        <f t="shared" si="59"/>
        <v>2.6389378290156693</v>
      </c>
      <c r="AB112" s="86">
        <f t="shared" si="60"/>
        <v>-0.50265482457412491</v>
      </c>
      <c r="AC112" s="1">
        <f t="shared" si="39"/>
        <v>-2.6389378290156693</v>
      </c>
      <c r="AD112" s="5">
        <f t="shared" si="40"/>
        <v>7014.0000000000045</v>
      </c>
      <c r="AE112" s="5">
        <f t="shared" si="35"/>
        <v>36.899999999995352</v>
      </c>
      <c r="AF112" s="5">
        <f t="shared" si="41"/>
        <v>208.79999999998608</v>
      </c>
      <c r="AH112" s="22">
        <f t="shared" si="42"/>
        <v>4.5474735088646412E-12</v>
      </c>
      <c r="AI112" s="22">
        <f t="shared" si="43"/>
        <v>4.6469494918710552E-12</v>
      </c>
      <c r="AJ112" s="87">
        <f t="shared" si="61"/>
        <v>1.3926637620897964E-11</v>
      </c>
    </row>
    <row r="113" spans="1:36" x14ac:dyDescent="0.2">
      <c r="A113" s="3">
        <v>7110</v>
      </c>
      <c r="B113" s="3">
        <v>38.9</v>
      </c>
      <c r="C113" s="3">
        <v>207.7</v>
      </c>
      <c r="E113" s="1">
        <f t="shared" si="62"/>
        <v>0.67893307902579414</v>
      </c>
      <c r="F113" s="1">
        <f t="shared" si="63"/>
        <v>3.6250488563922221</v>
      </c>
      <c r="H113" s="9">
        <f t="shared" si="44"/>
        <v>3.6843831943326411E-2</v>
      </c>
      <c r="I113" s="155">
        <f t="shared" si="45"/>
        <v>3.6843831943325703E-2</v>
      </c>
      <c r="J113" s="153">
        <f t="shared" si="46"/>
        <v>0.65968627232559041</v>
      </c>
      <c r="K113" s="9">
        <f t="shared" si="47"/>
        <v>1.000113137687459</v>
      </c>
      <c r="L113" s="4">
        <f t="shared" si="48"/>
        <v>-51.948920367285851</v>
      </c>
      <c r="M113" s="4">
        <f t="shared" si="49"/>
        <v>-27.898753575215661</v>
      </c>
      <c r="N113" s="4">
        <f t="shared" si="50"/>
        <v>75.749103845576371</v>
      </c>
      <c r="O113" s="5">
        <f t="shared" si="51"/>
        <v>-358.68519521999548</v>
      </c>
      <c r="P113" s="5">
        <f t="shared" si="52"/>
        <v>-348.94143178259213</v>
      </c>
      <c r="Q113" s="5">
        <f t="shared" si="53"/>
        <v>6992.4927543305657</v>
      </c>
      <c r="S113" s="4">
        <f t="shared" si="36"/>
        <v>-51.948920367285837</v>
      </c>
      <c r="T113" s="4">
        <f t="shared" si="37"/>
        <v>-27.898753575215665</v>
      </c>
      <c r="U113" s="4">
        <f t="shared" si="38"/>
        <v>75.749103845576428</v>
      </c>
      <c r="V113" s="6">
        <f t="shared" si="54"/>
        <v>95.994570220326182</v>
      </c>
      <c r="W113" s="86">
        <f t="shared" si="55"/>
        <v>3.6843831943365046E-2</v>
      </c>
      <c r="X113" s="9">
        <f t="shared" si="56"/>
        <v>1.0001131376874592</v>
      </c>
      <c r="Y113" s="4">
        <f t="shared" si="57"/>
        <v>96.000000000000043</v>
      </c>
      <c r="Z113" s="1">
        <f t="shared" si="58"/>
        <v>0.67893307902587141</v>
      </c>
      <c r="AA113" s="86">
        <f t="shared" si="59"/>
        <v>2.6581364507871319</v>
      </c>
      <c r="AB113" s="86">
        <f t="shared" si="60"/>
        <v>-0.48345620280266416</v>
      </c>
      <c r="AC113" s="1">
        <f t="shared" si="39"/>
        <v>-2.6581364507871319</v>
      </c>
      <c r="AD113" s="5">
        <f t="shared" si="40"/>
        <v>7110.0000000000045</v>
      </c>
      <c r="AE113" s="5">
        <f t="shared" si="35"/>
        <v>38.900000000004425</v>
      </c>
      <c r="AF113" s="5">
        <f t="shared" si="41"/>
        <v>207.70000000001329</v>
      </c>
      <c r="AH113" s="22">
        <f t="shared" si="42"/>
        <v>4.5474735088646412E-12</v>
      </c>
      <c r="AI113" s="22">
        <f t="shared" si="43"/>
        <v>4.4266812437854242E-12</v>
      </c>
      <c r="AJ113" s="87">
        <f t="shared" si="61"/>
        <v>1.3301360013429075E-11</v>
      </c>
    </row>
    <row r="114" spans="1:36" x14ac:dyDescent="0.2">
      <c r="A114" s="3">
        <v>7243</v>
      </c>
      <c r="B114" s="3">
        <v>35.1</v>
      </c>
      <c r="C114" s="3">
        <v>210.8</v>
      </c>
      <c r="E114" s="1">
        <f t="shared" si="62"/>
        <v>0.61261056745000975</v>
      </c>
      <c r="F114" s="1">
        <f t="shared" si="63"/>
        <v>3.6791540632040469</v>
      </c>
      <c r="H114" s="9">
        <f t="shared" si="44"/>
        <v>7.3866826663514074E-2</v>
      </c>
      <c r="I114" s="155">
        <f t="shared" si="45"/>
        <v>7.3866826663513158E-2</v>
      </c>
      <c r="J114" s="153">
        <f t="shared" si="46"/>
        <v>0.95464452943844491</v>
      </c>
      <c r="K114" s="9">
        <f t="shared" si="47"/>
        <v>1.0004549405713155</v>
      </c>
      <c r="L114" s="4">
        <f t="shared" si="48"/>
        <v>-69.850175770520721</v>
      </c>
      <c r="M114" s="4">
        <f t="shared" si="49"/>
        <v>-39.008748025891173</v>
      </c>
      <c r="N114" s="4">
        <f t="shared" si="50"/>
        <v>106.20842213392935</v>
      </c>
      <c r="O114" s="5">
        <f t="shared" si="51"/>
        <v>-428.53537099051618</v>
      </c>
      <c r="P114" s="5">
        <f t="shared" si="52"/>
        <v>-387.95017980848331</v>
      </c>
      <c r="Q114" s="5">
        <f t="shared" si="53"/>
        <v>7098.7011764644949</v>
      </c>
      <c r="S114" s="4">
        <f t="shared" si="36"/>
        <v>-69.850175770520707</v>
      </c>
      <c r="T114" s="4">
        <f t="shared" si="37"/>
        <v>-39.00874802589118</v>
      </c>
      <c r="U114" s="4">
        <f t="shared" si="38"/>
        <v>106.20842213392916</v>
      </c>
      <c r="V114" s="6">
        <f t="shared" si="54"/>
        <v>132.96976502159805</v>
      </c>
      <c r="W114" s="86">
        <f t="shared" si="55"/>
        <v>7.3866826663525842E-2</v>
      </c>
      <c r="X114" s="9">
        <f t="shared" si="56"/>
        <v>1.0004549405713157</v>
      </c>
      <c r="Y114" s="4">
        <f t="shared" si="57"/>
        <v>132.99999999999983</v>
      </c>
      <c r="Z114" s="1">
        <f t="shared" si="58"/>
        <v>0.61261056744992703</v>
      </c>
      <c r="AA114" s="86">
        <f t="shared" si="59"/>
        <v>2.6040312439757898</v>
      </c>
      <c r="AB114" s="86">
        <f t="shared" si="60"/>
        <v>-0.537561409614007</v>
      </c>
      <c r="AC114" s="1">
        <f t="shared" si="39"/>
        <v>-2.6040312439757898</v>
      </c>
      <c r="AD114" s="5">
        <f t="shared" si="40"/>
        <v>7243.0000000000045</v>
      </c>
      <c r="AE114" s="5">
        <f t="shared" si="35"/>
        <v>35.099999999995269</v>
      </c>
      <c r="AF114" s="5">
        <f t="shared" si="41"/>
        <v>210.79999999998566</v>
      </c>
      <c r="AH114" s="22">
        <f t="shared" si="42"/>
        <v>4.5474735088646412E-12</v>
      </c>
      <c r="AI114" s="22">
        <f t="shared" si="43"/>
        <v>4.7322146201622672E-12</v>
      </c>
      <c r="AJ114" s="87">
        <f t="shared" si="61"/>
        <v>1.4352963262354024E-11</v>
      </c>
    </row>
    <row r="115" spans="1:36" x14ac:dyDescent="0.2">
      <c r="A115" s="3">
        <v>7326</v>
      </c>
      <c r="B115" s="3">
        <v>36.56</v>
      </c>
      <c r="C115" s="3">
        <v>210.65</v>
      </c>
      <c r="E115" s="1">
        <f t="shared" si="62"/>
        <v>0.63809237452912693</v>
      </c>
      <c r="F115" s="1">
        <f t="shared" si="63"/>
        <v>3.6765360693260551</v>
      </c>
      <c r="H115" s="9">
        <f t="shared" si="44"/>
        <v>2.5527833285643897E-2</v>
      </c>
      <c r="I115" s="155">
        <f t="shared" si="45"/>
        <v>2.5527833285641201E-2</v>
      </c>
      <c r="J115" s="153">
        <f t="shared" si="46"/>
        <v>0.52866401471601554</v>
      </c>
      <c r="K115" s="9">
        <f t="shared" si="47"/>
        <v>1.0000543093952063</v>
      </c>
      <c r="L115" s="4">
        <f t="shared" si="48"/>
        <v>-41.765996916411396</v>
      </c>
      <c r="M115" s="4">
        <f t="shared" si="49"/>
        <v>-24.822183628592729</v>
      </c>
      <c r="N115" s="4">
        <f t="shared" si="50"/>
        <v>67.291058815946144</v>
      </c>
      <c r="O115" s="5">
        <f t="shared" si="51"/>
        <v>-470.30136790692757</v>
      </c>
      <c r="P115" s="5">
        <f t="shared" si="52"/>
        <v>-412.77236343707602</v>
      </c>
      <c r="Q115" s="5">
        <f t="shared" si="53"/>
        <v>7165.9922352804406</v>
      </c>
      <c r="S115" s="4">
        <f t="shared" si="36"/>
        <v>-41.765996916411382</v>
      </c>
      <c r="T115" s="4">
        <f t="shared" si="37"/>
        <v>-24.822183628592711</v>
      </c>
      <c r="U115" s="4">
        <f t="shared" si="38"/>
        <v>67.291058815945689</v>
      </c>
      <c r="V115" s="6">
        <f t="shared" si="54"/>
        <v>82.997746325332969</v>
      </c>
      <c r="W115" s="86">
        <f t="shared" si="55"/>
        <v>2.5527833285795776E-2</v>
      </c>
      <c r="X115" s="9">
        <f t="shared" si="56"/>
        <v>1.0000543093952068</v>
      </c>
      <c r="Y115" s="4">
        <f t="shared" si="57"/>
        <v>82.999999999999659</v>
      </c>
      <c r="Z115" s="1">
        <f t="shared" si="58"/>
        <v>0.63809237452921475</v>
      </c>
      <c r="AA115" s="86">
        <f t="shared" si="59"/>
        <v>2.6066492378532908</v>
      </c>
      <c r="AB115" s="86">
        <f t="shared" si="60"/>
        <v>-0.53494341573650406</v>
      </c>
      <c r="AC115" s="1">
        <f t="shared" si="39"/>
        <v>-2.6066492378532908</v>
      </c>
      <c r="AD115" s="5">
        <f t="shared" si="40"/>
        <v>7326.0000000000045</v>
      </c>
      <c r="AE115" s="5">
        <f t="shared" si="35"/>
        <v>36.560000000005033</v>
      </c>
      <c r="AF115" s="5">
        <f t="shared" si="41"/>
        <v>210.65000000001376</v>
      </c>
      <c r="AH115" s="22">
        <f t="shared" si="42"/>
        <v>4.5474735088646412E-12</v>
      </c>
      <c r="AI115" s="22">
        <f t="shared" si="43"/>
        <v>5.0306425691815093E-12</v>
      </c>
      <c r="AJ115" s="87">
        <f t="shared" si="61"/>
        <v>1.375610736431554E-11</v>
      </c>
    </row>
    <row r="116" spans="1:36" x14ac:dyDescent="0.2">
      <c r="A116" s="3">
        <v>7422</v>
      </c>
      <c r="B116" s="3">
        <v>37.619999999999997</v>
      </c>
      <c r="C116" s="3">
        <v>209.96</v>
      </c>
      <c r="E116" s="1">
        <f t="shared" si="62"/>
        <v>0.65659286460026678</v>
      </c>
      <c r="F116" s="1">
        <f t="shared" si="63"/>
        <v>3.6644932974872946</v>
      </c>
      <c r="H116" s="9">
        <f t="shared" si="44"/>
        <v>1.9874706800372621E-2</v>
      </c>
      <c r="I116" s="155">
        <f t="shared" si="45"/>
        <v>1.9874706800368826E-2</v>
      </c>
      <c r="J116" s="153">
        <f t="shared" si="46"/>
        <v>0.35585525585040861</v>
      </c>
      <c r="K116" s="9">
        <f t="shared" si="47"/>
        <v>1.0000329182978198</v>
      </c>
      <c r="L116" s="4">
        <f t="shared" si="48"/>
        <v>-49.984145900255797</v>
      </c>
      <c r="M116" s="4">
        <f t="shared" si="49"/>
        <v>-29.209287740682097</v>
      </c>
      <c r="N116" s="4">
        <f t="shared" si="50"/>
        <v>76.577407302996363</v>
      </c>
      <c r="O116" s="5">
        <f t="shared" si="51"/>
        <v>-520.28551380718341</v>
      </c>
      <c r="P116" s="5">
        <f t="shared" si="52"/>
        <v>-441.98165117775812</v>
      </c>
      <c r="Q116" s="5">
        <f t="shared" si="53"/>
        <v>7242.5696425834367</v>
      </c>
      <c r="S116" s="4">
        <f t="shared" si="36"/>
        <v>-49.984145900255839</v>
      </c>
      <c r="T116" s="4">
        <f t="shared" si="37"/>
        <v>-29.2092877406821</v>
      </c>
      <c r="U116" s="4">
        <f t="shared" si="38"/>
        <v>76.577407302996107</v>
      </c>
      <c r="V116" s="6">
        <f t="shared" si="54"/>
        <v>95.998419991919576</v>
      </c>
      <c r="W116" s="86">
        <f t="shared" si="55"/>
        <v>1.9874706800281583E-2</v>
      </c>
      <c r="X116" s="9">
        <f t="shared" si="56"/>
        <v>1.0000329182978196</v>
      </c>
      <c r="Y116" s="4">
        <f t="shared" si="57"/>
        <v>95.999999999999787</v>
      </c>
      <c r="Z116" s="1">
        <f t="shared" si="58"/>
        <v>0.65659286460018407</v>
      </c>
      <c r="AA116" s="86">
        <f t="shared" si="59"/>
        <v>2.6186920096925288</v>
      </c>
      <c r="AB116" s="86">
        <f t="shared" si="60"/>
        <v>-0.52290064389726509</v>
      </c>
      <c r="AC116" s="1">
        <f t="shared" si="39"/>
        <v>-2.6186920096925288</v>
      </c>
      <c r="AD116" s="5">
        <f t="shared" si="40"/>
        <v>7422.0000000000045</v>
      </c>
      <c r="AE116" s="5">
        <f t="shared" si="35"/>
        <v>37.619999999995265</v>
      </c>
      <c r="AF116" s="5">
        <f t="shared" si="41"/>
        <v>209.95999999998642</v>
      </c>
      <c r="AH116" s="22">
        <f t="shared" si="42"/>
        <v>4.5474735088646412E-12</v>
      </c>
      <c r="AI116" s="22">
        <f t="shared" si="43"/>
        <v>4.7322146201622672E-12</v>
      </c>
      <c r="AJ116" s="87">
        <f t="shared" si="61"/>
        <v>1.3585577107733116E-11</v>
      </c>
    </row>
    <row r="117" spans="1:36" x14ac:dyDescent="0.2">
      <c r="A117" s="3">
        <v>7518</v>
      </c>
      <c r="B117" s="3">
        <v>38.61</v>
      </c>
      <c r="C117" s="3">
        <v>208.66</v>
      </c>
      <c r="E117" s="1">
        <f t="shared" si="62"/>
        <v>0.67387162419501068</v>
      </c>
      <c r="F117" s="1">
        <f t="shared" si="63"/>
        <v>3.6418040172113679</v>
      </c>
      <c r="H117" s="9">
        <f t="shared" si="44"/>
        <v>2.224084868502163E-2</v>
      </c>
      <c r="I117" s="155">
        <f t="shared" si="45"/>
        <v>2.2240848685019035E-2</v>
      </c>
      <c r="J117" s="153">
        <f t="shared" si="46"/>
        <v>0.39822086326275818</v>
      </c>
      <c r="K117" s="9">
        <f t="shared" si="47"/>
        <v>1.0000412233183205</v>
      </c>
      <c r="L117" s="4">
        <f t="shared" si="48"/>
        <v>-51.67009510522962</v>
      </c>
      <c r="M117" s="4">
        <f t="shared" si="49"/>
        <v>-28.999274670251999</v>
      </c>
      <c r="N117" s="4">
        <f t="shared" si="50"/>
        <v>75.530546478697488</v>
      </c>
      <c r="O117" s="5">
        <f t="shared" si="51"/>
        <v>-571.95560891241303</v>
      </c>
      <c r="P117" s="5">
        <f t="shared" si="52"/>
        <v>-470.98092584801014</v>
      </c>
      <c r="Q117" s="5">
        <f t="shared" si="53"/>
        <v>7318.1001890621337</v>
      </c>
      <c r="S117" s="4">
        <f t="shared" si="36"/>
        <v>-51.67009510522962</v>
      </c>
      <c r="T117" s="4">
        <f t="shared" si="37"/>
        <v>-28.999274670252021</v>
      </c>
      <c r="U117" s="4">
        <f t="shared" si="38"/>
        <v>75.530546478697033</v>
      </c>
      <c r="V117" s="6">
        <f t="shared" si="54"/>
        <v>95.998021390832875</v>
      </c>
      <c r="W117" s="86">
        <f t="shared" si="55"/>
        <v>2.2240848684957015E-2</v>
      </c>
      <c r="X117" s="9">
        <f t="shared" si="56"/>
        <v>1.0000412233183202</v>
      </c>
      <c r="Y117" s="4">
        <f t="shared" si="57"/>
        <v>95.999999999999631</v>
      </c>
      <c r="Z117" s="1">
        <f t="shared" si="58"/>
        <v>0.67387162419509661</v>
      </c>
      <c r="AA117" s="86">
        <f t="shared" si="59"/>
        <v>2.6413812899679847</v>
      </c>
      <c r="AB117" s="86">
        <f t="shared" si="60"/>
        <v>-0.50021136362180973</v>
      </c>
      <c r="AC117" s="1">
        <f t="shared" si="39"/>
        <v>-2.6413812899679847</v>
      </c>
      <c r="AD117" s="5">
        <f t="shared" si="40"/>
        <v>7518.0000000000045</v>
      </c>
      <c r="AE117" s="5">
        <f t="shared" ref="AE117:AE137" si="64">DEGREES(Z117)</f>
        <v>38.610000000004923</v>
      </c>
      <c r="AF117" s="5">
        <f t="shared" si="41"/>
        <v>208.66000000001338</v>
      </c>
      <c r="AH117" s="22">
        <f t="shared" si="42"/>
        <v>4.5474735088646412E-12</v>
      </c>
      <c r="AI117" s="22">
        <f t="shared" si="43"/>
        <v>4.9240611588174943E-12</v>
      </c>
      <c r="AJ117" s="87">
        <f t="shared" si="61"/>
        <v>1.3386625141720288E-11</v>
      </c>
    </row>
    <row r="118" spans="1:36" x14ac:dyDescent="0.2">
      <c r="A118" s="3">
        <v>7614</v>
      </c>
      <c r="B118" s="3">
        <v>40.130000000000003</v>
      </c>
      <c r="C118" s="3">
        <v>206.4</v>
      </c>
      <c r="E118" s="1">
        <f t="shared" si="62"/>
        <v>0.7004006288253245</v>
      </c>
      <c r="F118" s="1">
        <f t="shared" si="63"/>
        <v>3.6023595761162963</v>
      </c>
      <c r="H118" s="9">
        <f t="shared" si="44"/>
        <v>3.6463283737117491E-2</v>
      </c>
      <c r="I118" s="155">
        <f t="shared" si="45"/>
        <v>3.6463283737116998E-2</v>
      </c>
      <c r="J118" s="153">
        <f t="shared" si="46"/>
        <v>0.65287258291401373</v>
      </c>
      <c r="K118" s="9">
        <f t="shared" si="47"/>
        <v>1.0001108123217166</v>
      </c>
      <c r="L118" s="4">
        <f t="shared" si="48"/>
        <v>-53.99974693125462</v>
      </c>
      <c r="M118" s="4">
        <f t="shared" si="49"/>
        <v>-28.124540711962386</v>
      </c>
      <c r="N118" s="4">
        <f t="shared" si="50"/>
        <v>74.216012260026602</v>
      </c>
      <c r="O118" s="5">
        <f t="shared" si="51"/>
        <v>-625.95535584366769</v>
      </c>
      <c r="P118" s="5">
        <f t="shared" si="52"/>
        <v>-499.10546655997251</v>
      </c>
      <c r="Q118" s="5">
        <f t="shared" si="53"/>
        <v>7392.3162013221599</v>
      </c>
      <c r="S118" s="4">
        <f t="shared" si="36"/>
        <v>-53.999746931254663</v>
      </c>
      <c r="T118" s="4">
        <f t="shared" si="37"/>
        <v>-28.124540711962368</v>
      </c>
      <c r="U118" s="4">
        <f t="shared" si="38"/>
        <v>74.216012260026218</v>
      </c>
      <c r="V118" s="6">
        <f t="shared" si="54"/>
        <v>95.994681804143397</v>
      </c>
      <c r="W118" s="86">
        <f t="shared" si="55"/>
        <v>3.6463283737194541E-2</v>
      </c>
      <c r="X118" s="9">
        <f t="shared" si="56"/>
        <v>1.0001108123217173</v>
      </c>
      <c r="Y118" s="4">
        <f t="shared" si="57"/>
        <v>95.99999999999973</v>
      </c>
      <c r="Z118" s="1">
        <f t="shared" si="58"/>
        <v>0.70040062882524878</v>
      </c>
      <c r="AA118" s="86">
        <f t="shared" si="59"/>
        <v>2.6808257310635204</v>
      </c>
      <c r="AB118" s="86">
        <f t="shared" si="60"/>
        <v>-0.46076692252627188</v>
      </c>
      <c r="AC118" s="1">
        <f t="shared" ref="AC118:AC137" si="65">IF(Z118&lt;0.000001, 0, SIGN(AB118)*AA118)</f>
        <v>-2.6808257310635204</v>
      </c>
      <c r="AD118" s="5">
        <f t="shared" ref="AD118:AD137" si="66">AD117+Y118</f>
        <v>7614.0000000000045</v>
      </c>
      <c r="AE118" s="5">
        <f t="shared" si="64"/>
        <v>40.129999999995668</v>
      </c>
      <c r="AF118" s="5">
        <f t="shared" si="41"/>
        <v>206.39999999998682</v>
      </c>
      <c r="AH118" s="22">
        <f t="shared" si="42"/>
        <v>4.5474735088646412E-12</v>
      </c>
      <c r="AI118" s="22">
        <f t="shared" si="43"/>
        <v>4.3343106881366111E-12</v>
      </c>
      <c r="AJ118" s="87">
        <f t="shared" si="61"/>
        <v>1.3187673175707459E-11</v>
      </c>
    </row>
    <row r="119" spans="1:36" x14ac:dyDescent="0.2">
      <c r="A119" s="3">
        <v>7711</v>
      </c>
      <c r="B119" s="3">
        <v>41.62</v>
      </c>
      <c r="C119" s="3">
        <v>203.71</v>
      </c>
      <c r="E119" s="1">
        <f t="shared" si="62"/>
        <v>0.72640603468003995</v>
      </c>
      <c r="F119" s="1">
        <f t="shared" si="63"/>
        <v>3.5554102192376487</v>
      </c>
      <c r="H119" s="9">
        <f t="shared" si="44"/>
        <v>4.0247863674702122E-2</v>
      </c>
      <c r="I119" s="155">
        <f t="shared" si="45"/>
        <v>4.0247863674703149E-2</v>
      </c>
      <c r="J119" s="153">
        <f t="shared" si="46"/>
        <v>0.71320599679742103</v>
      </c>
      <c r="K119" s="9">
        <f t="shared" si="47"/>
        <v>1.000135012748161</v>
      </c>
      <c r="L119" s="4">
        <f t="shared" si="48"/>
        <v>-57.501240882987723</v>
      </c>
      <c r="M119" s="4">
        <f t="shared" si="49"/>
        <v>-26.855785181638971</v>
      </c>
      <c r="N119" s="4">
        <f t="shared" si="50"/>
        <v>73.349192487770082</v>
      </c>
      <c r="O119" s="5">
        <f t="shared" si="51"/>
        <v>-683.45659672665545</v>
      </c>
      <c r="P119" s="5">
        <f t="shared" si="52"/>
        <v>-525.96125174161148</v>
      </c>
      <c r="Q119" s="5">
        <f t="shared" si="53"/>
        <v>7465.6653938099298</v>
      </c>
      <c r="S119" s="4">
        <f t="shared" si="36"/>
        <v>-57.501240882987759</v>
      </c>
      <c r="T119" s="4">
        <f t="shared" si="37"/>
        <v>-26.855785181638964</v>
      </c>
      <c r="U119" s="4">
        <f t="shared" si="38"/>
        <v>73.349192487769869</v>
      </c>
      <c r="V119" s="6">
        <f t="shared" si="54"/>
        <v>96.993453075007267</v>
      </c>
      <c r="W119" s="86">
        <f t="shared" si="55"/>
        <v>4.0247863674571338E-2</v>
      </c>
      <c r="X119" s="9">
        <f t="shared" si="56"/>
        <v>1.0001350127481599</v>
      </c>
      <c r="Y119" s="4">
        <f t="shared" si="57"/>
        <v>96.999999999999829</v>
      </c>
      <c r="Z119" s="1">
        <f t="shared" si="58"/>
        <v>0.72640603468011333</v>
      </c>
      <c r="AA119" s="86">
        <f t="shared" si="59"/>
        <v>2.727775087941712</v>
      </c>
      <c r="AB119" s="86">
        <f t="shared" si="60"/>
        <v>-0.41381756564808275</v>
      </c>
      <c r="AC119" s="1">
        <f t="shared" si="65"/>
        <v>-2.727775087941712</v>
      </c>
      <c r="AD119" s="5">
        <f t="shared" si="66"/>
        <v>7711.0000000000045</v>
      </c>
      <c r="AE119" s="5">
        <f t="shared" si="64"/>
        <v>41.620000000004204</v>
      </c>
      <c r="AF119" s="5">
        <f t="shared" si="41"/>
        <v>203.71000000001294</v>
      </c>
      <c r="AH119" s="22">
        <f t="shared" si="42"/>
        <v>4.5474735088646412E-12</v>
      </c>
      <c r="AI119" s="22">
        <f t="shared" si="43"/>
        <v>4.2064129956997931E-12</v>
      </c>
      <c r="AJ119" s="87">
        <f t="shared" si="61"/>
        <v>1.2931877790833823E-11</v>
      </c>
    </row>
    <row r="120" spans="1:36" x14ac:dyDescent="0.2">
      <c r="A120" s="3">
        <v>7800</v>
      </c>
      <c r="B120" s="3">
        <v>42.57</v>
      </c>
      <c r="C120" s="3">
        <v>202.23</v>
      </c>
      <c r="E120" s="1">
        <f t="shared" si="62"/>
        <v>0.74298666257398605</v>
      </c>
      <c r="F120" s="1">
        <f t="shared" si="63"/>
        <v>3.5295793463081324</v>
      </c>
      <c r="H120" s="9">
        <f t="shared" si="44"/>
        <v>2.3973337110989146E-2</v>
      </c>
      <c r="I120" s="155">
        <f t="shared" si="45"/>
        <v>2.3973337110991363E-2</v>
      </c>
      <c r="J120" s="153">
        <f t="shared" si="46"/>
        <v>0.46300147324854873</v>
      </c>
      <c r="K120" s="9">
        <f t="shared" si="47"/>
        <v>1.0000478961603807</v>
      </c>
      <c r="L120" s="4">
        <f t="shared" si="48"/>
        <v>-54.930470131415795</v>
      </c>
      <c r="M120" s="4">
        <f t="shared" si="49"/>
        <v>-23.274984757537624</v>
      </c>
      <c r="N120" s="4">
        <f t="shared" si="50"/>
        <v>66.041950147336479</v>
      </c>
      <c r="O120" s="5">
        <f t="shared" si="51"/>
        <v>-738.38706685807119</v>
      </c>
      <c r="P120" s="5">
        <f t="shared" si="52"/>
        <v>-549.23623649914907</v>
      </c>
      <c r="Q120" s="5">
        <f t="shared" si="53"/>
        <v>7531.7073439572659</v>
      </c>
      <c r="S120" s="4">
        <f t="shared" si="36"/>
        <v>-54.930470131415746</v>
      </c>
      <c r="T120" s="4">
        <f t="shared" si="37"/>
        <v>-23.274984757537595</v>
      </c>
      <c r="U120" s="4">
        <f t="shared" si="38"/>
        <v>66.041950147336138</v>
      </c>
      <c r="V120" s="6">
        <f t="shared" si="54"/>
        <v>88.997868758668574</v>
      </c>
      <c r="W120" s="86">
        <f t="shared" si="55"/>
        <v>2.3973337111092619E-2</v>
      </c>
      <c r="X120" s="9">
        <f t="shared" si="56"/>
        <v>1.0000478961603811</v>
      </c>
      <c r="Y120" s="4">
        <f t="shared" si="57"/>
        <v>88.999999999999716</v>
      </c>
      <c r="Z120" s="1">
        <f t="shared" si="58"/>
        <v>0.74298666257391954</v>
      </c>
      <c r="AA120" s="86">
        <f t="shared" si="59"/>
        <v>2.7536059608716794</v>
      </c>
      <c r="AB120" s="86">
        <f t="shared" si="60"/>
        <v>-0.38798669271811542</v>
      </c>
      <c r="AC120" s="1">
        <f t="shared" si="65"/>
        <v>-2.7536059608716794</v>
      </c>
      <c r="AD120" s="5">
        <f t="shared" si="66"/>
        <v>7800.0000000000045</v>
      </c>
      <c r="AE120" s="5">
        <f t="shared" si="64"/>
        <v>42.569999999996185</v>
      </c>
      <c r="AF120" s="5">
        <f t="shared" si="41"/>
        <v>202.22999999998706</v>
      </c>
      <c r="AH120" s="22">
        <f t="shared" si="42"/>
        <v>4.5474735088646412E-12</v>
      </c>
      <c r="AI120" s="22">
        <f t="shared" si="43"/>
        <v>3.815614491031738E-12</v>
      </c>
      <c r="AJ120" s="87">
        <f t="shared" si="61"/>
        <v>1.2931877790833823E-11</v>
      </c>
    </row>
    <row r="121" spans="1:36" x14ac:dyDescent="0.2">
      <c r="A121" s="3">
        <v>7852</v>
      </c>
      <c r="B121" s="3">
        <v>43.35</v>
      </c>
      <c r="C121" s="3">
        <v>201.41</v>
      </c>
      <c r="E121" s="1">
        <f t="shared" si="62"/>
        <v>0.75660023073954186</v>
      </c>
      <c r="F121" s="1">
        <f t="shared" si="63"/>
        <v>3.5152676464417789</v>
      </c>
      <c r="H121" s="9">
        <f t="shared" si="44"/>
        <v>1.674657062659568E-2</v>
      </c>
      <c r="I121" s="155">
        <f t="shared" si="45"/>
        <v>1.674657062659143E-2</v>
      </c>
      <c r="J121" s="153">
        <f t="shared" si="46"/>
        <v>0.55356220282020407</v>
      </c>
      <c r="K121" s="9">
        <f t="shared" si="47"/>
        <v>1.0000233712910886</v>
      </c>
      <c r="L121" s="4">
        <f t="shared" si="48"/>
        <v>-32.898340252881411</v>
      </c>
      <c r="M121" s="4">
        <f t="shared" si="49"/>
        <v>-13.169723327944046</v>
      </c>
      <c r="N121" s="4">
        <f t="shared" si="50"/>
        <v>38.055149486804225</v>
      </c>
      <c r="O121" s="5">
        <f t="shared" si="51"/>
        <v>-771.28540711095263</v>
      </c>
      <c r="P121" s="5">
        <f t="shared" si="52"/>
        <v>-562.40595982709317</v>
      </c>
      <c r="Q121" s="5">
        <f t="shared" si="53"/>
        <v>7569.7624934440701</v>
      </c>
      <c r="S121" s="4">
        <f t="shared" si="36"/>
        <v>-32.898340252881439</v>
      </c>
      <c r="T121" s="4">
        <f t="shared" si="37"/>
        <v>-13.169723327944098</v>
      </c>
      <c r="U121" s="4">
        <f t="shared" si="38"/>
        <v>38.055149486804112</v>
      </c>
      <c r="V121" s="6">
        <f t="shared" si="54"/>
        <v>51.999392365603285</v>
      </c>
      <c r="W121" s="86">
        <f t="shared" si="55"/>
        <v>1.674657062652507E-2</v>
      </c>
      <c r="X121" s="9">
        <f t="shared" si="56"/>
        <v>1.0000233712910882</v>
      </c>
      <c r="Y121" s="4">
        <f t="shared" si="57"/>
        <v>51.99999999999995</v>
      </c>
      <c r="Z121" s="1">
        <f t="shared" si="58"/>
        <v>0.75660023073961058</v>
      </c>
      <c r="AA121" s="86">
        <f t="shared" si="59"/>
        <v>2.7679176607375848</v>
      </c>
      <c r="AB121" s="86">
        <f t="shared" si="60"/>
        <v>-0.3736749928522114</v>
      </c>
      <c r="AC121" s="1">
        <f t="shared" si="65"/>
        <v>-2.7679176607375848</v>
      </c>
      <c r="AD121" s="5">
        <f t="shared" si="66"/>
        <v>7852.0000000000045</v>
      </c>
      <c r="AE121" s="5">
        <f t="shared" si="64"/>
        <v>43.350000000003938</v>
      </c>
      <c r="AF121" s="5">
        <f t="shared" si="41"/>
        <v>201.41000000001273</v>
      </c>
      <c r="AH121" s="22">
        <f t="shared" si="42"/>
        <v>4.5474735088646412E-12</v>
      </c>
      <c r="AI121" s="22">
        <f t="shared" si="43"/>
        <v>3.936406756110955E-12</v>
      </c>
      <c r="AJ121" s="87">
        <f t="shared" si="61"/>
        <v>1.2732925824820995E-11</v>
      </c>
    </row>
    <row r="122" spans="1:36" x14ac:dyDescent="0.2">
      <c r="A122" s="3">
        <v>7948</v>
      </c>
      <c r="B122" s="3">
        <v>44.89</v>
      </c>
      <c r="C122" s="3">
        <v>199.46</v>
      </c>
      <c r="E122" s="1">
        <f t="shared" si="62"/>
        <v>0.78347830122025452</v>
      </c>
      <c r="F122" s="1">
        <f t="shared" si="63"/>
        <v>3.4812337260278898</v>
      </c>
      <c r="H122" s="9">
        <f t="shared" si="44"/>
        <v>3.5827747217777928E-2</v>
      </c>
      <c r="I122" s="155">
        <f t="shared" si="45"/>
        <v>3.5827747217777151E-2</v>
      </c>
      <c r="J122" s="153">
        <f t="shared" si="46"/>
        <v>0.64149334532507896</v>
      </c>
      <c r="K122" s="9">
        <f t="shared" si="47"/>
        <v>1.0001069826885045</v>
      </c>
      <c r="L122" s="4">
        <f t="shared" si="48"/>
        <v>-62.623375759193145</v>
      </c>
      <c r="M122" s="4">
        <f t="shared" si="49"/>
        <v>-23.316160269780951</v>
      </c>
      <c r="N122" s="4">
        <f t="shared" si="50"/>
        <v>68.917949005171579</v>
      </c>
      <c r="O122" s="5">
        <f t="shared" si="51"/>
        <v>-833.90878287014573</v>
      </c>
      <c r="P122" s="5">
        <f t="shared" si="52"/>
        <v>-585.72212009687416</v>
      </c>
      <c r="Q122" s="5">
        <f t="shared" si="53"/>
        <v>7638.680442449242</v>
      </c>
      <c r="S122" s="4">
        <f t="shared" si="36"/>
        <v>-62.623375759193095</v>
      </c>
      <c r="T122" s="4">
        <f t="shared" si="37"/>
        <v>-23.316160269780994</v>
      </c>
      <c r="U122" s="4">
        <f t="shared" si="38"/>
        <v>68.917949005171977</v>
      </c>
      <c r="V122" s="6">
        <f t="shared" si="54"/>
        <v>95.994865572501809</v>
      </c>
      <c r="W122" s="86">
        <f t="shared" si="55"/>
        <v>3.5827747217870964E-2</v>
      </c>
      <c r="X122" s="9">
        <f t="shared" si="56"/>
        <v>1.000106982688505</v>
      </c>
      <c r="Y122" s="4">
        <f t="shared" si="57"/>
        <v>96.000000000000298</v>
      </c>
      <c r="Z122" s="1">
        <f t="shared" si="58"/>
        <v>0.78347830122018303</v>
      </c>
      <c r="AA122" s="86">
        <f t="shared" si="59"/>
        <v>2.8019515811519158</v>
      </c>
      <c r="AB122" s="86">
        <f t="shared" si="60"/>
        <v>-0.33964107243787944</v>
      </c>
      <c r="AC122" s="1">
        <f t="shared" si="65"/>
        <v>-2.8019515811519158</v>
      </c>
      <c r="AD122" s="5">
        <f t="shared" si="66"/>
        <v>7948.0000000000045</v>
      </c>
      <c r="AE122" s="5">
        <f t="shared" si="64"/>
        <v>44.889999999995901</v>
      </c>
      <c r="AF122" s="5">
        <f t="shared" si="41"/>
        <v>199.45999999998745</v>
      </c>
      <c r="AH122" s="22">
        <f t="shared" si="42"/>
        <v>4.5474735088646412E-12</v>
      </c>
      <c r="AI122" s="22">
        <f t="shared" si="43"/>
        <v>4.0998315853357781E-12</v>
      </c>
      <c r="AJ122" s="87">
        <f t="shared" si="61"/>
        <v>1.2562395568238571E-11</v>
      </c>
    </row>
    <row r="123" spans="1:36" x14ac:dyDescent="0.2">
      <c r="A123" s="3">
        <v>8044</v>
      </c>
      <c r="B123" s="3">
        <v>46.52</v>
      </c>
      <c r="C123" s="3">
        <v>197.46</v>
      </c>
      <c r="E123" s="1">
        <f t="shared" si="62"/>
        <v>0.81192716802776221</v>
      </c>
      <c r="F123" s="1">
        <f t="shared" si="63"/>
        <v>3.4463271409880032</v>
      </c>
      <c r="H123" s="9">
        <f t="shared" si="44"/>
        <v>3.7859884291847168E-2</v>
      </c>
      <c r="I123" s="155">
        <f t="shared" si="45"/>
        <v>3.7859884291846967E-2</v>
      </c>
      <c r="J123" s="153">
        <f t="shared" si="46"/>
        <v>0.67787861961765128</v>
      </c>
      <c r="K123" s="9">
        <f t="shared" si="47"/>
        <v>1.0001194646936327</v>
      </c>
      <c r="L123" s="4">
        <f t="shared" si="48"/>
        <v>-65.173290624325887</v>
      </c>
      <c r="M123" s="4">
        <f t="shared" si="49"/>
        <v>-21.738548889737022</v>
      </c>
      <c r="N123" s="4">
        <f t="shared" si="50"/>
        <v>67.043097371443196</v>
      </c>
      <c r="O123" s="5">
        <f t="shared" si="51"/>
        <v>-899.08207349447162</v>
      </c>
      <c r="P123" s="5">
        <f t="shared" si="52"/>
        <v>-607.46066898661115</v>
      </c>
      <c r="Q123" s="5">
        <f t="shared" si="53"/>
        <v>7705.7235398206849</v>
      </c>
      <c r="S123" s="4">
        <f t="shared" si="36"/>
        <v>-65.173290624325887</v>
      </c>
      <c r="T123" s="4">
        <f t="shared" si="37"/>
        <v>-21.73854888973699</v>
      </c>
      <c r="U123" s="4">
        <f t="shared" si="38"/>
        <v>67.043097371442855</v>
      </c>
      <c r="V123" s="6">
        <f t="shared" si="54"/>
        <v>95.994266619372098</v>
      </c>
      <c r="W123" s="86">
        <f t="shared" si="55"/>
        <v>3.7859884291754131E-2</v>
      </c>
      <c r="X123" s="9">
        <f t="shared" si="56"/>
        <v>1.0001194646936322</v>
      </c>
      <c r="Y123" s="4">
        <f t="shared" si="57"/>
        <v>95.999999999999702</v>
      </c>
      <c r="Z123" s="1">
        <f t="shared" si="58"/>
        <v>0.81192716802783438</v>
      </c>
      <c r="AA123" s="86">
        <f t="shared" si="59"/>
        <v>2.8368581661913708</v>
      </c>
      <c r="AB123" s="86">
        <f t="shared" si="60"/>
        <v>-0.30473448739842485</v>
      </c>
      <c r="AC123" s="1">
        <f t="shared" si="65"/>
        <v>-2.8368581661913708</v>
      </c>
      <c r="AD123" s="5">
        <f t="shared" si="66"/>
        <v>8044.0000000000045</v>
      </c>
      <c r="AE123" s="5">
        <f t="shared" si="64"/>
        <v>46.520000000004138</v>
      </c>
      <c r="AF123" s="5">
        <f t="shared" si="41"/>
        <v>197.46000000001217</v>
      </c>
      <c r="AH123" s="22">
        <f t="shared" si="42"/>
        <v>4.5474735088646412E-12</v>
      </c>
      <c r="AI123" s="22">
        <f t="shared" si="43"/>
        <v>4.1353587221237831E-12</v>
      </c>
      <c r="AJ123" s="87">
        <f t="shared" si="61"/>
        <v>1.2164491636212915E-11</v>
      </c>
    </row>
    <row r="124" spans="1:36" x14ac:dyDescent="0.2">
      <c r="A124" s="3">
        <v>8140</v>
      </c>
      <c r="B124" s="3">
        <v>47.78</v>
      </c>
      <c r="C124" s="3">
        <v>195.61</v>
      </c>
      <c r="E124" s="1">
        <f t="shared" si="62"/>
        <v>0.83391831660289073</v>
      </c>
      <c r="F124" s="1">
        <f t="shared" si="63"/>
        <v>3.4140385498261083</v>
      </c>
      <c r="H124" s="9">
        <f t="shared" si="44"/>
        <v>3.2308952734124707E-2</v>
      </c>
      <c r="I124" s="155">
        <f t="shared" si="45"/>
        <v>3.230895273412495E-2</v>
      </c>
      <c r="J124" s="153">
        <f t="shared" si="46"/>
        <v>0.57848957254781486</v>
      </c>
      <c r="K124" s="9">
        <f t="shared" si="47"/>
        <v>1.0000869981170346</v>
      </c>
      <c r="L124" s="4">
        <f t="shared" si="48"/>
        <v>-67.466879465830942</v>
      </c>
      <c r="M124" s="4">
        <f t="shared" si="49"/>
        <v>-20.01734774289201</v>
      </c>
      <c r="N124" s="4">
        <f t="shared" si="50"/>
        <v>65.289542052508054</v>
      </c>
      <c r="O124" s="5">
        <f t="shared" si="51"/>
        <v>-966.54895296030259</v>
      </c>
      <c r="P124" s="5">
        <f t="shared" si="52"/>
        <v>-627.47801672950311</v>
      </c>
      <c r="Q124" s="5">
        <f t="shared" si="53"/>
        <v>7771.0130818731932</v>
      </c>
      <c r="S124" s="4">
        <f t="shared" si="36"/>
        <v>-67.466879465830971</v>
      </c>
      <c r="T124" s="4">
        <f t="shared" si="37"/>
        <v>-20.017347742891957</v>
      </c>
      <c r="U124" s="4">
        <f t="shared" si="38"/>
        <v>65.289542052508295</v>
      </c>
      <c r="V124" s="6">
        <f t="shared" si="54"/>
        <v>95.995824580775775</v>
      </c>
      <c r="W124" s="86">
        <f t="shared" si="55"/>
        <v>3.2308952734224849E-2</v>
      </c>
      <c r="X124" s="9">
        <f t="shared" si="56"/>
        <v>1.0000869981170353</v>
      </c>
      <c r="Y124" s="4">
        <f t="shared" si="57"/>
        <v>96.000000000000185</v>
      </c>
      <c r="Z124" s="1">
        <f t="shared" si="58"/>
        <v>0.83391831660281845</v>
      </c>
      <c r="AA124" s="86">
        <f t="shared" si="59"/>
        <v>2.8691467573536924</v>
      </c>
      <c r="AB124" s="86">
        <f t="shared" si="60"/>
        <v>-0.27244589623610321</v>
      </c>
      <c r="AC124" s="1">
        <f t="shared" si="65"/>
        <v>-2.8691467573536924</v>
      </c>
      <c r="AD124" s="5">
        <f t="shared" si="66"/>
        <v>8140.0000000000045</v>
      </c>
      <c r="AE124" s="5">
        <f t="shared" si="64"/>
        <v>47.779999999995866</v>
      </c>
      <c r="AF124" s="5">
        <f t="shared" si="41"/>
        <v>195.60999999998774</v>
      </c>
      <c r="AH124" s="22">
        <f t="shared" si="42"/>
        <v>4.5474735088646412E-12</v>
      </c>
      <c r="AI124" s="22">
        <f t="shared" si="43"/>
        <v>4.1353587221237831E-12</v>
      </c>
      <c r="AJ124" s="87">
        <f t="shared" si="61"/>
        <v>1.2278178473934531E-11</v>
      </c>
    </row>
    <row r="125" spans="1:36" x14ac:dyDescent="0.2">
      <c r="A125" s="3">
        <v>8237</v>
      </c>
      <c r="B125" s="3">
        <v>48.82</v>
      </c>
      <c r="C125" s="3">
        <v>194.19</v>
      </c>
      <c r="E125" s="1">
        <f t="shared" si="62"/>
        <v>0.85206974082363174</v>
      </c>
      <c r="F125" s="1">
        <f t="shared" si="63"/>
        <v>3.3892548744477886</v>
      </c>
      <c r="H125" s="9">
        <f t="shared" si="44"/>
        <v>2.5920048067876733E-2</v>
      </c>
      <c r="I125" s="155">
        <f t="shared" si="45"/>
        <v>2.5920048067877958E-2</v>
      </c>
      <c r="J125" s="153">
        <f t="shared" si="46"/>
        <v>0.45931217290687448</v>
      </c>
      <c r="K125" s="9">
        <f t="shared" si="47"/>
        <v>1.0000559911694169</v>
      </c>
      <c r="L125" s="4">
        <f t="shared" si="48"/>
        <v>-69.986256657437607</v>
      </c>
      <c r="M125" s="4">
        <f t="shared" si="49"/>
        <v>-18.614393370220128</v>
      </c>
      <c r="N125" s="4">
        <f t="shared" si="50"/>
        <v>64.528299720483602</v>
      </c>
      <c r="O125" s="5">
        <f t="shared" si="51"/>
        <v>-1036.5352096177403</v>
      </c>
      <c r="P125" s="5">
        <f t="shared" si="52"/>
        <v>-646.09241009972322</v>
      </c>
      <c r="Q125" s="5">
        <f t="shared" si="53"/>
        <v>7835.5413815936772</v>
      </c>
      <c r="S125" s="4">
        <f t="shared" si="36"/>
        <v>-69.986256657437707</v>
      </c>
      <c r="T125" s="4">
        <f t="shared" si="37"/>
        <v>-18.614393370220114</v>
      </c>
      <c r="U125" s="4">
        <f t="shared" si="38"/>
        <v>64.528299720484029</v>
      </c>
      <c r="V125" s="6">
        <f t="shared" si="54"/>
        <v>96.997284633533212</v>
      </c>
      <c r="W125" s="86">
        <f t="shared" si="55"/>
        <v>2.5920048067769041E-2</v>
      </c>
      <c r="X125" s="9">
        <f t="shared" si="56"/>
        <v>1.0000559911694165</v>
      </c>
      <c r="Y125" s="4">
        <f t="shared" si="57"/>
        <v>97.000000000000341</v>
      </c>
      <c r="Z125" s="1">
        <f t="shared" si="58"/>
        <v>0.85206974082369624</v>
      </c>
      <c r="AA125" s="86">
        <f t="shared" si="59"/>
        <v>2.893930432731584</v>
      </c>
      <c r="AB125" s="86">
        <f t="shared" si="60"/>
        <v>-0.24766222085820647</v>
      </c>
      <c r="AC125" s="1">
        <f t="shared" si="65"/>
        <v>-2.893930432731584</v>
      </c>
      <c r="AD125" s="5">
        <f t="shared" si="66"/>
        <v>8237.0000000000055</v>
      </c>
      <c r="AE125" s="5">
        <f t="shared" si="64"/>
        <v>48.820000000003702</v>
      </c>
      <c r="AF125" s="5">
        <f t="shared" si="41"/>
        <v>194.19000000001225</v>
      </c>
      <c r="AH125" s="22">
        <f t="shared" si="42"/>
        <v>5.4569682106375694E-12</v>
      </c>
      <c r="AI125" s="22">
        <f t="shared" si="43"/>
        <v>3.701927653310122E-12</v>
      </c>
      <c r="AJ125" s="87">
        <f t="shared" si="61"/>
        <v>1.2249756764504127E-11</v>
      </c>
    </row>
    <row r="126" spans="1:36" x14ac:dyDescent="0.2">
      <c r="A126" s="3">
        <v>8332</v>
      </c>
      <c r="B126" s="3">
        <v>50.34</v>
      </c>
      <c r="C126" s="3">
        <v>192.84</v>
      </c>
      <c r="E126" s="1">
        <f t="shared" si="62"/>
        <v>0.87859874545394556</v>
      </c>
      <c r="F126" s="1">
        <f t="shared" si="63"/>
        <v>3.3656929295458653</v>
      </c>
      <c r="H126" s="9">
        <f t="shared" si="44"/>
        <v>3.202332657983975E-2</v>
      </c>
      <c r="I126" s="155">
        <f t="shared" si="45"/>
        <v>3.2023326579839181E-2</v>
      </c>
      <c r="J126" s="153">
        <f t="shared" si="46"/>
        <v>0.57941098705071381</v>
      </c>
      <c r="K126" s="9">
        <f t="shared" si="47"/>
        <v>1.0000854665516528</v>
      </c>
      <c r="L126" s="4">
        <f t="shared" si="48"/>
        <v>-70.319077008108763</v>
      </c>
      <c r="M126" s="4">
        <f t="shared" si="49"/>
        <v>-16.891688453544084</v>
      </c>
      <c r="N126" s="4">
        <f t="shared" si="50"/>
        <v>61.59648561201309</v>
      </c>
      <c r="O126" s="5">
        <f t="shared" si="51"/>
        <v>-1106.854286625849</v>
      </c>
      <c r="P126" s="5">
        <f t="shared" si="52"/>
        <v>-662.98409855326736</v>
      </c>
      <c r="Q126" s="5">
        <f t="shared" si="53"/>
        <v>7897.1378672056899</v>
      </c>
      <c r="S126" s="4">
        <f t="shared" si="36"/>
        <v>-70.319077008108707</v>
      </c>
      <c r="T126" s="4">
        <f t="shared" si="37"/>
        <v>-16.891688453544134</v>
      </c>
      <c r="U126" s="4">
        <f t="shared" si="38"/>
        <v>61.596485612012657</v>
      </c>
      <c r="V126" s="6">
        <f t="shared" si="54"/>
        <v>94.99594080714607</v>
      </c>
      <c r="W126" s="86">
        <f t="shared" si="55"/>
        <v>3.2023326579889488E-2</v>
      </c>
      <c r="X126" s="9">
        <f t="shared" si="56"/>
        <v>1.000085466551653</v>
      </c>
      <c r="Y126" s="4">
        <f t="shared" si="57"/>
        <v>94.999999999999687</v>
      </c>
      <c r="Z126" s="1">
        <f t="shared" si="58"/>
        <v>0.87859874545388894</v>
      </c>
      <c r="AA126" s="86">
        <f t="shared" si="59"/>
        <v>2.9174923776339377</v>
      </c>
      <c r="AB126" s="86">
        <f t="shared" si="60"/>
        <v>-0.2241002759558639</v>
      </c>
      <c r="AC126" s="1">
        <f t="shared" si="65"/>
        <v>-2.9174923776339377</v>
      </c>
      <c r="AD126" s="5">
        <f t="shared" si="66"/>
        <v>8332.0000000000055</v>
      </c>
      <c r="AE126" s="5">
        <f t="shared" si="64"/>
        <v>50.339999999996763</v>
      </c>
      <c r="AF126" s="5">
        <f t="shared" si="41"/>
        <v>192.83999999998761</v>
      </c>
      <c r="AH126" s="22">
        <f t="shared" si="42"/>
        <v>5.4569682106375694E-12</v>
      </c>
      <c r="AI126" s="22">
        <f t="shared" si="43"/>
        <v>3.2400748750660568E-12</v>
      </c>
      <c r="AJ126" s="87">
        <f t="shared" si="61"/>
        <v>1.2391865311656147E-11</v>
      </c>
    </row>
    <row r="127" spans="1:36" x14ac:dyDescent="0.2">
      <c r="A127" s="3">
        <v>8427</v>
      </c>
      <c r="B127" s="3">
        <v>52.36</v>
      </c>
      <c r="C127" s="3">
        <v>191.08</v>
      </c>
      <c r="E127" s="1">
        <f t="shared" si="62"/>
        <v>0.91385439634423093</v>
      </c>
      <c r="F127" s="1">
        <f t="shared" si="63"/>
        <v>3.3349751347107652</v>
      </c>
      <c r="H127" s="9">
        <f t="shared" si="44"/>
        <v>4.264132137154597E-2</v>
      </c>
      <c r="I127" s="155">
        <f t="shared" si="45"/>
        <v>4.2641321371543806E-2</v>
      </c>
      <c r="J127" s="153">
        <f t="shared" si="46"/>
        <v>0.77152665708965784</v>
      </c>
      <c r="K127" s="9">
        <f t="shared" si="47"/>
        <v>1.00015155108035</v>
      </c>
      <c r="L127" s="4">
        <f t="shared" si="48"/>
        <v>-72.576647841842174</v>
      </c>
      <c r="M127" s="4">
        <f t="shared" si="49"/>
        <v>-15.357271732293377</v>
      </c>
      <c r="N127" s="4">
        <f t="shared" si="50"/>
        <v>59.333101857715619</v>
      </c>
      <c r="O127" s="5">
        <f t="shared" si="51"/>
        <v>-1179.4309344676913</v>
      </c>
      <c r="P127" s="5">
        <f t="shared" si="52"/>
        <v>-678.34137028556074</v>
      </c>
      <c r="Q127" s="5">
        <f t="shared" si="53"/>
        <v>7956.4709690634054</v>
      </c>
      <c r="S127" s="4">
        <f t="shared" si="36"/>
        <v>-72.576647841842259</v>
      </c>
      <c r="T127" s="4">
        <f t="shared" si="37"/>
        <v>-15.357271732293384</v>
      </c>
      <c r="U127" s="4">
        <f t="shared" si="38"/>
        <v>59.333101857715519</v>
      </c>
      <c r="V127" s="6">
        <f t="shared" si="54"/>
        <v>94.992802796192564</v>
      </c>
      <c r="W127" s="86">
        <f t="shared" si="55"/>
        <v>4.2641321371454932E-2</v>
      </c>
      <c r="X127" s="9">
        <f t="shared" si="56"/>
        <v>1.0001515510803496</v>
      </c>
      <c r="Y127" s="4">
        <f t="shared" si="57"/>
        <v>94.999999999999957</v>
      </c>
      <c r="Z127" s="1">
        <f t="shared" si="58"/>
        <v>0.91385439634428711</v>
      </c>
      <c r="AA127" s="86">
        <f t="shared" si="59"/>
        <v>2.9482101724686078</v>
      </c>
      <c r="AB127" s="86">
        <f t="shared" si="60"/>
        <v>-0.19338248112118347</v>
      </c>
      <c r="AC127" s="1">
        <f t="shared" si="65"/>
        <v>-2.9482101724686078</v>
      </c>
      <c r="AD127" s="5">
        <f t="shared" si="66"/>
        <v>8427.0000000000055</v>
      </c>
      <c r="AE127" s="5">
        <f t="shared" si="64"/>
        <v>52.360000000003218</v>
      </c>
      <c r="AF127" s="5">
        <f t="shared" si="41"/>
        <v>191.08000000001223</v>
      </c>
      <c r="AH127" s="22">
        <f t="shared" si="42"/>
        <v>5.4569682106375694E-12</v>
      </c>
      <c r="AI127" s="22">
        <f t="shared" si="43"/>
        <v>3.2187585929932538E-12</v>
      </c>
      <c r="AJ127" s="87">
        <f t="shared" si="61"/>
        <v>1.2221335055073723E-11</v>
      </c>
    </row>
    <row r="128" spans="1:36" x14ac:dyDescent="0.2">
      <c r="A128" s="3">
        <v>8524</v>
      </c>
      <c r="B128" s="3">
        <v>54.19</v>
      </c>
      <c r="C128" s="3">
        <v>189.4</v>
      </c>
      <c r="E128" s="1">
        <f t="shared" si="62"/>
        <v>0.94579392165572718</v>
      </c>
      <c r="F128" s="1">
        <f t="shared" si="63"/>
        <v>3.3056536032772601</v>
      </c>
      <c r="H128" s="9">
        <f t="shared" si="44"/>
        <v>3.9652502012768043E-2</v>
      </c>
      <c r="I128" s="155">
        <f t="shared" si="45"/>
        <v>3.9652502012770603E-2</v>
      </c>
      <c r="J128" s="153">
        <f t="shared" si="46"/>
        <v>0.7026559832367868</v>
      </c>
      <c r="K128" s="9">
        <f t="shared" si="47"/>
        <v>1.0001310473478766</v>
      </c>
      <c r="L128" s="4">
        <f t="shared" si="48"/>
        <v>-76.503023823067196</v>
      </c>
      <c r="M128" s="4">
        <f t="shared" si="49"/>
        <v>-13.806410965918571</v>
      </c>
      <c r="N128" s="4">
        <f t="shared" si="50"/>
        <v>58.003772257968585</v>
      </c>
      <c r="O128" s="5">
        <f t="shared" si="51"/>
        <v>-1255.9339582907585</v>
      </c>
      <c r="P128" s="5">
        <f t="shared" si="52"/>
        <v>-692.14778125147927</v>
      </c>
      <c r="Q128" s="5">
        <f t="shared" si="53"/>
        <v>8014.4747413213736</v>
      </c>
      <c r="S128" s="4">
        <f t="shared" si="36"/>
        <v>-76.503023823067224</v>
      </c>
      <c r="T128" s="4">
        <f t="shared" si="37"/>
        <v>-13.806410965918531</v>
      </c>
      <c r="U128" s="4">
        <f t="shared" si="38"/>
        <v>58.003772257968194</v>
      </c>
      <c r="V128" s="6">
        <f t="shared" si="54"/>
        <v>96.993645327860875</v>
      </c>
      <c r="W128" s="86">
        <f t="shared" si="55"/>
        <v>3.9652502012883062E-2</v>
      </c>
      <c r="X128" s="9">
        <f t="shared" si="56"/>
        <v>1.0001310473478773</v>
      </c>
      <c r="Y128" s="4">
        <f t="shared" si="57"/>
        <v>96.999999999999815</v>
      </c>
      <c r="Z128" s="1">
        <f t="shared" si="58"/>
        <v>0.94579392165568077</v>
      </c>
      <c r="AA128" s="86">
        <f t="shared" si="59"/>
        <v>2.9775317039025366</v>
      </c>
      <c r="AB128" s="86">
        <f t="shared" si="60"/>
        <v>-0.16406094968725618</v>
      </c>
      <c r="AC128" s="1">
        <f t="shared" si="65"/>
        <v>-2.9775317039025366</v>
      </c>
      <c r="AD128" s="5">
        <f t="shared" si="66"/>
        <v>8524.0000000000055</v>
      </c>
      <c r="AE128" s="5">
        <f t="shared" si="64"/>
        <v>54.18999999999734</v>
      </c>
      <c r="AF128" s="5">
        <f t="shared" si="41"/>
        <v>189.39999999998793</v>
      </c>
      <c r="AH128" s="22">
        <f t="shared" si="42"/>
        <v>5.4569682106375694E-12</v>
      </c>
      <c r="AI128" s="22">
        <f t="shared" si="43"/>
        <v>2.6574298317427747E-12</v>
      </c>
      <c r="AJ128" s="87">
        <f t="shared" si="61"/>
        <v>1.2079226507921703E-11</v>
      </c>
    </row>
    <row r="129" spans="1:36" x14ac:dyDescent="0.2">
      <c r="A129" s="3">
        <v>8620</v>
      </c>
      <c r="B129" s="3">
        <v>55.66</v>
      </c>
      <c r="C129" s="3">
        <v>187.76</v>
      </c>
      <c r="E129" s="1">
        <f t="shared" si="62"/>
        <v>0.97145026166004378</v>
      </c>
      <c r="F129" s="1">
        <f t="shared" si="63"/>
        <v>3.2770302035445531</v>
      </c>
      <c r="H129" s="9">
        <f t="shared" si="44"/>
        <v>3.4740616150362946E-2</v>
      </c>
      <c r="I129" s="155">
        <f t="shared" si="45"/>
        <v>3.4740616150361885E-2</v>
      </c>
      <c r="J129" s="153">
        <f t="shared" si="46"/>
        <v>0.62202833846869443</v>
      </c>
      <c r="K129" s="9">
        <f t="shared" si="47"/>
        <v>1.000100588007631</v>
      </c>
      <c r="L129" s="4">
        <f t="shared" si="48"/>
        <v>-77.682152778388499</v>
      </c>
      <c r="M129" s="4">
        <f t="shared" si="49"/>
        <v>-11.710342947862953</v>
      </c>
      <c r="N129" s="4">
        <f t="shared" si="50"/>
        <v>55.167237903055025</v>
      </c>
      <c r="O129" s="5">
        <f t="shared" si="51"/>
        <v>-1333.6161110691469</v>
      </c>
      <c r="P129" s="5">
        <f t="shared" si="52"/>
        <v>-703.85812419934223</v>
      </c>
      <c r="Q129" s="5">
        <f t="shared" si="53"/>
        <v>8069.6419792244287</v>
      </c>
      <c r="S129" s="4">
        <f t="shared" si="36"/>
        <v>-77.682152778388399</v>
      </c>
      <c r="T129" s="4">
        <f t="shared" si="37"/>
        <v>-11.710342947862955</v>
      </c>
      <c r="U129" s="4">
        <f t="shared" si="38"/>
        <v>55.167237903055138</v>
      </c>
      <c r="V129" s="6">
        <f t="shared" si="54"/>
        <v>95.995172431189076</v>
      </c>
      <c r="W129" s="86">
        <f t="shared" si="55"/>
        <v>3.4740616150198633E-2</v>
      </c>
      <c r="X129" s="9">
        <f t="shared" si="56"/>
        <v>1.0001005880076301</v>
      </c>
      <c r="Y129" s="4">
        <f t="shared" si="57"/>
        <v>95.999999999999943</v>
      </c>
      <c r="Z129" s="1">
        <f t="shared" si="58"/>
        <v>0.9714502616600843</v>
      </c>
      <c r="AA129" s="86">
        <f t="shared" si="59"/>
        <v>3.0061551036348275</v>
      </c>
      <c r="AB129" s="86">
        <f t="shared" si="60"/>
        <v>-0.1354375499549676</v>
      </c>
      <c r="AC129" s="1">
        <f t="shared" si="65"/>
        <v>-3.0061551036348275</v>
      </c>
      <c r="AD129" s="5">
        <f t="shared" si="66"/>
        <v>8620.0000000000055</v>
      </c>
      <c r="AE129" s="5">
        <f t="shared" si="64"/>
        <v>55.66000000000232</v>
      </c>
      <c r="AF129" s="5">
        <f t="shared" si="41"/>
        <v>187.76000000001179</v>
      </c>
      <c r="AH129" s="22">
        <f t="shared" si="42"/>
        <v>5.4569682106375694E-12</v>
      </c>
      <c r="AI129" s="22">
        <f t="shared" si="43"/>
        <v>2.3234747459355276E-12</v>
      </c>
      <c r="AJ129" s="87">
        <f t="shared" si="61"/>
        <v>1.1795009413617663E-11</v>
      </c>
    </row>
    <row r="130" spans="1:36" x14ac:dyDescent="0.2">
      <c r="A130" s="3">
        <v>8716</v>
      </c>
      <c r="B130" s="3">
        <v>56.87</v>
      </c>
      <c r="C130" s="3">
        <v>186.21</v>
      </c>
      <c r="E130" s="1">
        <f t="shared" si="62"/>
        <v>0.99256874560917518</v>
      </c>
      <c r="F130" s="1">
        <f t="shared" si="63"/>
        <v>3.2499776001386413</v>
      </c>
      <c r="H130" s="9">
        <f t="shared" si="44"/>
        <v>3.0855594242655604E-2</v>
      </c>
      <c r="I130" s="155">
        <f t="shared" si="45"/>
        <v>3.0855594242654626E-2</v>
      </c>
      <c r="J130" s="153">
        <f t="shared" si="46"/>
        <v>0.55246728889760244</v>
      </c>
      <c r="K130" s="9">
        <f t="shared" si="47"/>
        <v>1.0000793465290077</v>
      </c>
      <c r="L130" s="4">
        <f t="shared" si="48"/>
        <v>-79.23805567218065</v>
      </c>
      <c r="M130" s="4">
        <f t="shared" si="49"/>
        <v>-9.7004814763437412</v>
      </c>
      <c r="N130" s="4">
        <f t="shared" si="50"/>
        <v>53.315101309415354</v>
      </c>
      <c r="O130" s="5">
        <f t="shared" si="51"/>
        <v>-1412.8541667413276</v>
      </c>
      <c r="P130" s="5">
        <f t="shared" si="52"/>
        <v>-713.55860567568595</v>
      </c>
      <c r="Q130" s="5">
        <f t="shared" si="53"/>
        <v>8122.9570805338444</v>
      </c>
      <c r="S130" s="4">
        <f t="shared" si="36"/>
        <v>-79.238055672180735</v>
      </c>
      <c r="T130" s="4">
        <f t="shared" si="37"/>
        <v>-9.7004814763437253</v>
      </c>
      <c r="U130" s="4">
        <f t="shared" si="38"/>
        <v>53.315101309415695</v>
      </c>
      <c r="V130" s="6">
        <f t="shared" si="54"/>
        <v>95.99619177453738</v>
      </c>
      <c r="W130" s="86">
        <f t="shared" si="55"/>
        <v>3.0855594242829021E-2</v>
      </c>
      <c r="X130" s="9">
        <f t="shared" si="56"/>
        <v>1.0000793465290085</v>
      </c>
      <c r="Y130" s="4">
        <f t="shared" si="57"/>
        <v>96.000000000000298</v>
      </c>
      <c r="Z130" s="1">
        <f t="shared" si="58"/>
        <v>0.99256874560913189</v>
      </c>
      <c r="AA130" s="86">
        <f t="shared" si="59"/>
        <v>3.0332077070411563</v>
      </c>
      <c r="AB130" s="86">
        <f t="shared" si="60"/>
        <v>-0.10838494654864381</v>
      </c>
      <c r="AC130" s="1">
        <f t="shared" si="65"/>
        <v>-3.0332077070411563</v>
      </c>
      <c r="AD130" s="5">
        <f t="shared" si="66"/>
        <v>8716.0000000000055</v>
      </c>
      <c r="AE130" s="5">
        <f t="shared" si="64"/>
        <v>56.869999999997518</v>
      </c>
      <c r="AF130" s="5">
        <f t="shared" si="41"/>
        <v>186.2099999999879</v>
      </c>
      <c r="AH130" s="22">
        <f t="shared" si="42"/>
        <v>5.4569682106375694E-12</v>
      </c>
      <c r="AI130" s="22">
        <f t="shared" si="43"/>
        <v>2.4797941478027496E-12</v>
      </c>
      <c r="AJ130" s="87">
        <f t="shared" si="61"/>
        <v>1.2107648217352107E-11</v>
      </c>
    </row>
    <row r="131" spans="1:36" x14ac:dyDescent="0.2">
      <c r="A131" s="3">
        <v>8812</v>
      </c>
      <c r="B131" s="3">
        <v>58.11</v>
      </c>
      <c r="C131" s="3">
        <v>184.78</v>
      </c>
      <c r="E131" s="1">
        <f t="shared" si="62"/>
        <v>1.0142108283339049</v>
      </c>
      <c r="F131" s="1">
        <f t="shared" si="63"/>
        <v>3.2250193918351222</v>
      </c>
      <c r="H131" s="9">
        <f t="shared" si="44"/>
        <v>3.0188065684265686E-2</v>
      </c>
      <c r="I131" s="155">
        <f t="shared" si="45"/>
        <v>3.0188065684267986E-2</v>
      </c>
      <c r="J131" s="153">
        <f t="shared" si="46"/>
        <v>0.5405152360537917</v>
      </c>
      <c r="K131" s="9">
        <f t="shared" si="47"/>
        <v>1.0000759501973087</v>
      </c>
      <c r="L131" s="4">
        <f t="shared" si="48"/>
        <v>-80.580338442380082</v>
      </c>
      <c r="M131" s="4">
        <f t="shared" si="49"/>
        <v>-7.7449074001349141</v>
      </c>
      <c r="N131" s="4">
        <f t="shared" si="50"/>
        <v>51.595790466911637</v>
      </c>
      <c r="O131" s="5">
        <f t="shared" si="51"/>
        <v>-1493.4345051837076</v>
      </c>
      <c r="P131" s="5">
        <f t="shared" si="52"/>
        <v>-721.30351307582089</v>
      </c>
      <c r="Q131" s="5">
        <f t="shared" si="53"/>
        <v>8174.5528710007557</v>
      </c>
      <c r="S131" s="4">
        <f t="shared" si="36"/>
        <v>-80.580338442380025</v>
      </c>
      <c r="T131" s="4">
        <f t="shared" si="37"/>
        <v>-7.7449074001349345</v>
      </c>
      <c r="U131" s="4">
        <f t="shared" si="38"/>
        <v>51.595790466911239</v>
      </c>
      <c r="V131" s="6">
        <f t="shared" si="54"/>
        <v>95.996354764285613</v>
      </c>
      <c r="W131" s="86">
        <f t="shared" si="55"/>
        <v>3.0188065684071841E-2</v>
      </c>
      <c r="X131" s="9">
        <f t="shared" si="56"/>
        <v>1.0000759501973078</v>
      </c>
      <c r="Y131" s="4">
        <f t="shared" si="57"/>
        <v>95.999999999999687</v>
      </c>
      <c r="Z131" s="1">
        <f t="shared" si="58"/>
        <v>1.0142108283339519</v>
      </c>
      <c r="AA131" s="86">
        <f t="shared" si="59"/>
        <v>3.0581659153442544</v>
      </c>
      <c r="AB131" s="86">
        <f t="shared" si="60"/>
        <v>-8.3426738245538562E-2</v>
      </c>
      <c r="AC131" s="1">
        <f t="shared" si="65"/>
        <v>-3.0581659153442544</v>
      </c>
      <c r="AD131" s="5">
        <f t="shared" si="66"/>
        <v>8812.0000000000055</v>
      </c>
      <c r="AE131" s="5">
        <f t="shared" si="64"/>
        <v>58.110000000002692</v>
      </c>
      <c r="AF131" s="5">
        <f t="shared" si="41"/>
        <v>184.78000000001202</v>
      </c>
      <c r="AH131" s="22">
        <f t="shared" si="42"/>
        <v>5.4569682106375694E-12</v>
      </c>
      <c r="AI131" s="22">
        <f t="shared" si="43"/>
        <v>2.6929569685307797E-12</v>
      </c>
      <c r="AJ131" s="87">
        <f t="shared" si="61"/>
        <v>1.2022383089060895E-11</v>
      </c>
    </row>
    <row r="132" spans="1:36" x14ac:dyDescent="0.2">
      <c r="A132" s="3">
        <v>8909</v>
      </c>
      <c r="B132" s="3">
        <v>59.39</v>
      </c>
      <c r="C132" s="3">
        <v>183.78</v>
      </c>
      <c r="E132" s="1">
        <f t="shared" si="62"/>
        <v>1.0365510427594322</v>
      </c>
      <c r="F132" s="1">
        <f t="shared" si="63"/>
        <v>3.2075660993151787</v>
      </c>
      <c r="H132" s="9">
        <f t="shared" si="44"/>
        <v>2.6864497316497538E-2</v>
      </c>
      <c r="I132" s="155">
        <f t="shared" si="45"/>
        <v>2.6864497316500705E-2</v>
      </c>
      <c r="J132" s="153">
        <f t="shared" si="46"/>
        <v>0.47604813865231999</v>
      </c>
      <c r="K132" s="9">
        <f t="shared" si="47"/>
        <v>1.0000601461087613</v>
      </c>
      <c r="L132" s="4">
        <f t="shared" si="48"/>
        <v>-82.692221780419899</v>
      </c>
      <c r="M132" s="4">
        <f t="shared" si="49"/>
        <v>-6.1837129090394027</v>
      </c>
      <c r="N132" s="4">
        <f t="shared" si="50"/>
        <v>50.320893189550482</v>
      </c>
      <c r="O132" s="5">
        <f t="shared" si="51"/>
        <v>-1576.1267269641276</v>
      </c>
      <c r="P132" s="5">
        <f t="shared" si="52"/>
        <v>-727.48722598486029</v>
      </c>
      <c r="Q132" s="5">
        <f t="shared" si="53"/>
        <v>8224.8737641903062</v>
      </c>
      <c r="S132" s="4">
        <f t="shared" si="36"/>
        <v>-82.692221780419914</v>
      </c>
      <c r="T132" s="4">
        <f t="shared" si="37"/>
        <v>-6.1837129090394001</v>
      </c>
      <c r="U132" s="4">
        <f t="shared" si="38"/>
        <v>50.320893189550588</v>
      </c>
      <c r="V132" s="6">
        <f t="shared" si="54"/>
        <v>96.997083150565587</v>
      </c>
      <c r="W132" s="86">
        <f t="shared" si="55"/>
        <v>2.6864497316631208E-2</v>
      </c>
      <c r="X132" s="9">
        <f t="shared" si="56"/>
        <v>1.0000601461087619</v>
      </c>
      <c r="Y132" s="4">
        <f t="shared" si="57"/>
        <v>97.000000000000085</v>
      </c>
      <c r="Z132" s="1">
        <f t="shared" si="58"/>
        <v>1.0365510427593849</v>
      </c>
      <c r="AA132" s="86">
        <f t="shared" si="59"/>
        <v>3.0756192078646118</v>
      </c>
      <c r="AB132" s="86">
        <f t="shared" si="60"/>
        <v>-6.5973445725177812E-2</v>
      </c>
      <c r="AC132" s="1">
        <f t="shared" si="65"/>
        <v>-3.0756192078646118</v>
      </c>
      <c r="AD132" s="5">
        <f t="shared" si="66"/>
        <v>8909.0000000000055</v>
      </c>
      <c r="AE132" s="5">
        <f t="shared" si="64"/>
        <v>59.389999999997286</v>
      </c>
      <c r="AF132" s="5">
        <f t="shared" si="41"/>
        <v>183.77999999998829</v>
      </c>
      <c r="AH132" s="22">
        <f t="shared" si="42"/>
        <v>5.4569682106375694E-12</v>
      </c>
      <c r="AI132" s="22">
        <f t="shared" si="43"/>
        <v>2.7142732506035827E-12</v>
      </c>
      <c r="AJ132" s="87">
        <f t="shared" si="61"/>
        <v>1.1709744285326451E-11</v>
      </c>
    </row>
    <row r="133" spans="1:36" x14ac:dyDescent="0.2">
      <c r="A133" s="3">
        <v>9005</v>
      </c>
      <c r="B133" s="3">
        <v>61.09</v>
      </c>
      <c r="C133" s="3">
        <v>183.01</v>
      </c>
      <c r="E133" s="1">
        <f t="shared" si="62"/>
        <v>1.066221640043336</v>
      </c>
      <c r="F133" s="1">
        <f t="shared" si="63"/>
        <v>3.1941270640748223</v>
      </c>
      <c r="H133" s="9">
        <f t="shared" si="44"/>
        <v>3.188155250265523E-2</v>
      </c>
      <c r="I133" s="155">
        <f t="shared" si="45"/>
        <v>3.1881552502655723E-2</v>
      </c>
      <c r="J133" s="153">
        <f t="shared" si="46"/>
        <v>0.57083700085215383</v>
      </c>
      <c r="K133" s="9">
        <f t="shared" si="47"/>
        <v>1.0000847113928575</v>
      </c>
      <c r="L133" s="4">
        <f t="shared" si="48"/>
        <v>-83.188806362527274</v>
      </c>
      <c r="M133" s="4">
        <f t="shared" si="49"/>
        <v>-4.9302818754024154</v>
      </c>
      <c r="N133" s="4">
        <f t="shared" si="50"/>
        <v>47.650123003108163</v>
      </c>
      <c r="O133" s="5">
        <f t="shared" si="51"/>
        <v>-1659.3155333266548</v>
      </c>
      <c r="P133" s="5">
        <f t="shared" si="52"/>
        <v>-732.41750786026273</v>
      </c>
      <c r="Q133" s="5">
        <f t="shared" si="53"/>
        <v>8272.5238871934143</v>
      </c>
      <c r="S133" s="4">
        <f t="shared" si="36"/>
        <v>-83.188806362527203</v>
      </c>
      <c r="T133" s="4">
        <f t="shared" si="37"/>
        <v>-4.9302818754024429</v>
      </c>
      <c r="U133" s="4">
        <f t="shared" si="38"/>
        <v>47.650123003108092</v>
      </c>
      <c r="V133" s="6">
        <f t="shared" si="54"/>
        <v>95.995934318096502</v>
      </c>
      <c r="W133" s="86">
        <f t="shared" si="55"/>
        <v>3.1881552502612376E-2</v>
      </c>
      <c r="X133" s="9">
        <f t="shared" si="56"/>
        <v>1.0000847113928575</v>
      </c>
      <c r="Y133" s="4">
        <f t="shared" si="57"/>
        <v>95.999999999999872</v>
      </c>
      <c r="Z133" s="1">
        <f t="shared" si="58"/>
        <v>1.0662216400433824</v>
      </c>
      <c r="AA133" s="86">
        <f t="shared" si="59"/>
        <v>3.0890582431045654</v>
      </c>
      <c r="AB133" s="86">
        <f t="shared" si="60"/>
        <v>-5.2534410485230762E-2</v>
      </c>
      <c r="AC133" s="1">
        <f t="shared" si="65"/>
        <v>-3.0890582431045654</v>
      </c>
      <c r="AD133" s="5">
        <f t="shared" si="66"/>
        <v>9005.0000000000055</v>
      </c>
      <c r="AE133" s="5">
        <f t="shared" si="64"/>
        <v>61.090000000002661</v>
      </c>
      <c r="AF133" s="5">
        <f t="shared" si="41"/>
        <v>183.01000000001136</v>
      </c>
      <c r="AH133" s="22">
        <f t="shared" si="42"/>
        <v>5.4569682106375694E-12</v>
      </c>
      <c r="AI133" s="22">
        <f t="shared" si="43"/>
        <v>2.6574298317427747E-12</v>
      </c>
      <c r="AJ133" s="87">
        <f t="shared" si="61"/>
        <v>1.1368683772161603E-11</v>
      </c>
    </row>
    <row r="134" spans="1:36" x14ac:dyDescent="0.2">
      <c r="A134" s="3">
        <v>9100</v>
      </c>
      <c r="B134" s="3">
        <v>62.94</v>
      </c>
      <c r="C134" s="3">
        <v>182.17</v>
      </c>
      <c r="E134" s="1">
        <f t="shared" si="62"/>
        <v>1.0985102312052311</v>
      </c>
      <c r="F134" s="1">
        <f t="shared" si="63"/>
        <v>3.1794662983580699</v>
      </c>
      <c r="H134" s="9">
        <f t="shared" si="44"/>
        <v>3.4787025513992154E-2</v>
      </c>
      <c r="I134" s="155">
        <f t="shared" si="45"/>
        <v>3.4787025513993063E-2</v>
      </c>
      <c r="J134" s="153">
        <f t="shared" si="46"/>
        <v>0.629415708557578</v>
      </c>
      <c r="K134" s="9">
        <f t="shared" si="47"/>
        <v>1.000100856967103</v>
      </c>
      <c r="L134" s="4">
        <f t="shared" si="48"/>
        <v>-83.801513797321917</v>
      </c>
      <c r="M134" s="4">
        <f t="shared" si="49"/>
        <v>-3.785467142728506</v>
      </c>
      <c r="N134" s="4">
        <f t="shared" si="50"/>
        <v>44.57652337860317</v>
      </c>
      <c r="O134" s="5">
        <f t="shared" si="51"/>
        <v>-1743.1170471239766</v>
      </c>
      <c r="P134" s="5">
        <f t="shared" si="52"/>
        <v>-736.20297500299125</v>
      </c>
      <c r="Q134" s="5">
        <f t="shared" si="53"/>
        <v>8317.1004105720167</v>
      </c>
      <c r="S134" s="4">
        <f t="shared" si="36"/>
        <v>-83.801513797321832</v>
      </c>
      <c r="T134" s="4">
        <f t="shared" si="37"/>
        <v>-3.7854671427285211</v>
      </c>
      <c r="U134" s="4">
        <f t="shared" si="38"/>
        <v>44.57652337860236</v>
      </c>
      <c r="V134" s="6">
        <f t="shared" si="54"/>
        <v>94.995209946262449</v>
      </c>
      <c r="W134" s="86">
        <f t="shared" si="55"/>
        <v>3.4787025514045222E-2</v>
      </c>
      <c r="X134" s="9">
        <f t="shared" si="56"/>
        <v>1.0001008569671035</v>
      </c>
      <c r="Y134" s="4">
        <f t="shared" si="57"/>
        <v>94.999999999999559</v>
      </c>
      <c r="Z134" s="1">
        <f t="shared" si="58"/>
        <v>1.0985102312052</v>
      </c>
      <c r="AA134" s="86">
        <f t="shared" si="59"/>
        <v>3.1037190088217006</v>
      </c>
      <c r="AB134" s="86">
        <f t="shared" si="60"/>
        <v>-3.7873644768081471E-2</v>
      </c>
      <c r="AC134" s="1">
        <f t="shared" si="65"/>
        <v>-3.1037190088217006</v>
      </c>
      <c r="AD134" s="5">
        <f t="shared" si="66"/>
        <v>9100.0000000000055</v>
      </c>
      <c r="AE134" s="5">
        <f t="shared" si="64"/>
        <v>62.939999999998221</v>
      </c>
      <c r="AF134" s="5">
        <f t="shared" si="41"/>
        <v>182.16999999998944</v>
      </c>
      <c r="AH134" s="22">
        <f t="shared" si="42"/>
        <v>5.4569682106375694E-12</v>
      </c>
      <c r="AI134" s="22">
        <f t="shared" si="43"/>
        <v>1.7763568394002505E-12</v>
      </c>
      <c r="AJ134" s="87">
        <f t="shared" si="61"/>
        <v>1.0544454198679887E-11</v>
      </c>
    </row>
    <row r="135" spans="1:36" x14ac:dyDescent="0.2">
      <c r="A135" s="3">
        <v>9197</v>
      </c>
      <c r="B135" s="3">
        <v>64.91</v>
      </c>
      <c r="C135" s="3">
        <v>181.9</v>
      </c>
      <c r="E135" s="1">
        <f t="shared" si="62"/>
        <v>1.1328932174695192</v>
      </c>
      <c r="F135" s="1">
        <f t="shared" si="63"/>
        <v>3.1747539093776855</v>
      </c>
      <c r="H135" s="9">
        <f t="shared" si="44"/>
        <v>3.4642502180186607E-2</v>
      </c>
      <c r="I135" s="155">
        <f t="shared" si="45"/>
        <v>3.4642502180187142E-2</v>
      </c>
      <c r="J135" s="153">
        <f t="shared" si="46"/>
        <v>0.61387706186518931</v>
      </c>
      <c r="K135" s="9">
        <f t="shared" si="47"/>
        <v>1.0001000205832924</v>
      </c>
      <c r="L135" s="4">
        <f t="shared" si="48"/>
        <v>-87.06799804970268</v>
      </c>
      <c r="M135" s="4">
        <f t="shared" si="49"/>
        <v>-3.0920060904429643</v>
      </c>
      <c r="N135" s="4">
        <f t="shared" si="50"/>
        <v>42.63405060357487</v>
      </c>
      <c r="O135" s="5">
        <f t="shared" si="51"/>
        <v>-1830.1850451736793</v>
      </c>
      <c r="P135" s="5">
        <f t="shared" si="52"/>
        <v>-739.29498109343422</v>
      </c>
      <c r="Q135" s="5">
        <f t="shared" si="53"/>
        <v>8359.7344611755907</v>
      </c>
      <c r="S135" s="4">
        <f t="shared" si="36"/>
        <v>-87.067998049702737</v>
      </c>
      <c r="T135" s="4">
        <f t="shared" si="37"/>
        <v>-3.0920060904429647</v>
      </c>
      <c r="U135" s="4">
        <f t="shared" si="38"/>
        <v>42.634050603573996</v>
      </c>
      <c r="V135" s="6">
        <f t="shared" si="54"/>
        <v>96.995149656642539</v>
      </c>
      <c r="W135" s="86">
        <f t="shared" si="55"/>
        <v>3.4642502180214585E-2</v>
      </c>
      <c r="X135" s="9">
        <f t="shared" si="56"/>
        <v>1.0001000205832924</v>
      </c>
      <c r="Y135" s="4">
        <f t="shared" si="57"/>
        <v>96.999999999999687</v>
      </c>
      <c r="Z135" s="1">
        <f t="shared" si="58"/>
        <v>1.1328932174695665</v>
      </c>
      <c r="AA135" s="86">
        <f t="shared" si="59"/>
        <v>3.1084313978017315</v>
      </c>
      <c r="AB135" s="86">
        <f t="shared" si="60"/>
        <v>-3.3161255788073336E-2</v>
      </c>
      <c r="AC135" s="1">
        <f t="shared" si="65"/>
        <v>-3.1084313978017315</v>
      </c>
      <c r="AD135" s="5">
        <f t="shared" si="66"/>
        <v>9197.0000000000055</v>
      </c>
      <c r="AE135" s="5">
        <f t="shared" si="64"/>
        <v>64.910000000002711</v>
      </c>
      <c r="AF135" s="5">
        <f t="shared" si="41"/>
        <v>181.9000000000097</v>
      </c>
      <c r="AH135" s="22">
        <f t="shared" si="42"/>
        <v>5.4569682106375694E-12</v>
      </c>
      <c r="AI135" s="22">
        <f t="shared" si="43"/>
        <v>2.7142732506035827E-12</v>
      </c>
      <c r="AJ135" s="87">
        <f t="shared" si="61"/>
        <v>9.6918029157677665E-12</v>
      </c>
    </row>
    <row r="136" spans="1:36" x14ac:dyDescent="0.2">
      <c r="A136" s="3">
        <v>9293</v>
      </c>
      <c r="B136" s="3">
        <v>65.17</v>
      </c>
      <c r="C136" s="3">
        <v>181.76</v>
      </c>
      <c r="E136" s="1">
        <f t="shared" si="62"/>
        <v>1.1374310735247046</v>
      </c>
      <c r="F136" s="1">
        <f t="shared" si="63"/>
        <v>3.1723104484248932</v>
      </c>
      <c r="H136" s="9">
        <f t="shared" si="44"/>
        <v>5.0496977419696165E-3</v>
      </c>
      <c r="I136" s="155">
        <f t="shared" si="45"/>
        <v>5.0496977419663518E-3</v>
      </c>
      <c r="J136" s="153">
        <f t="shared" si="46"/>
        <v>9.041449013487525E-2</v>
      </c>
      <c r="K136" s="9">
        <f t="shared" si="47"/>
        <v>1.0000021249593591</v>
      </c>
      <c r="L136" s="4">
        <f t="shared" si="48"/>
        <v>-86.989360809566335</v>
      </c>
      <c r="M136" s="4">
        <f t="shared" si="49"/>
        <v>-2.7792317025868707</v>
      </c>
      <c r="N136" s="4">
        <f t="shared" si="50"/>
        <v>40.510583722374996</v>
      </c>
      <c r="O136" s="5">
        <f t="shared" si="51"/>
        <v>-1917.1744059832456</v>
      </c>
      <c r="P136" s="5">
        <f t="shared" si="52"/>
        <v>-742.07421279602113</v>
      </c>
      <c r="Q136" s="5">
        <f t="shared" si="53"/>
        <v>8400.2450448979653</v>
      </c>
      <c r="S136" s="4">
        <f t="shared" si="36"/>
        <v>-86.989360809566278</v>
      </c>
      <c r="T136" s="4">
        <f t="shared" si="37"/>
        <v>-2.7792317025869124</v>
      </c>
      <c r="U136" s="4">
        <f t="shared" si="38"/>
        <v>40.510583722374577</v>
      </c>
      <c r="V136" s="6">
        <f t="shared" si="54"/>
        <v>95.999898002243157</v>
      </c>
      <c r="W136" s="86">
        <f t="shared" si="55"/>
        <v>5.0496977420357858E-3</v>
      </c>
      <c r="X136" s="9">
        <f t="shared" si="56"/>
        <v>1.0000021249593589</v>
      </c>
      <c r="Y136" s="4">
        <f t="shared" si="57"/>
        <v>95.999999999999787</v>
      </c>
      <c r="Z136" s="1">
        <f t="shared" si="58"/>
        <v>1.1374310735246644</v>
      </c>
      <c r="AA136" s="86">
        <f t="shared" si="59"/>
        <v>3.1108748587548769</v>
      </c>
      <c r="AB136" s="86">
        <f t="shared" si="60"/>
        <v>-3.0717794834931828E-2</v>
      </c>
      <c r="AC136" s="1">
        <f t="shared" si="65"/>
        <v>-3.1108748587548769</v>
      </c>
      <c r="AD136" s="5">
        <f t="shared" si="66"/>
        <v>9293.0000000000055</v>
      </c>
      <c r="AE136" s="5">
        <f t="shared" si="64"/>
        <v>65.1699999999977</v>
      </c>
      <c r="AF136" s="5">
        <f t="shared" si="41"/>
        <v>181.75999999998945</v>
      </c>
      <c r="AH136" s="22">
        <f t="shared" si="42"/>
        <v>5.4569682106375694E-12</v>
      </c>
      <c r="AI136" s="22">
        <f t="shared" si="43"/>
        <v>2.3021584638627246E-12</v>
      </c>
      <c r="AJ136" s="87">
        <f t="shared" si="61"/>
        <v>1.0544454198679887E-11</v>
      </c>
    </row>
    <row r="137" spans="1:36" x14ac:dyDescent="0.2">
      <c r="A137" s="3">
        <v>9390</v>
      </c>
      <c r="B137" s="3">
        <v>65.08</v>
      </c>
      <c r="C137" s="3">
        <v>181.47</v>
      </c>
      <c r="E137" s="1">
        <f t="shared" si="62"/>
        <v>1.1358602771979096</v>
      </c>
      <c r="F137" s="1">
        <f t="shared" si="63"/>
        <v>3.1672489935941099</v>
      </c>
      <c r="H137" s="9">
        <f t="shared" si="44"/>
        <v>4.8531284299715427E-3</v>
      </c>
      <c r="I137" s="155">
        <f t="shared" si="45"/>
        <v>4.853128429949667E-3</v>
      </c>
      <c r="J137" s="153">
        <f t="shared" si="46"/>
        <v>8.5999106125460079E-2</v>
      </c>
      <c r="K137" s="9">
        <f t="shared" si="47"/>
        <v>1.000001962742586</v>
      </c>
      <c r="L137" s="4">
        <f t="shared" si="48"/>
        <v>-87.965985984766576</v>
      </c>
      <c r="M137" s="4">
        <f t="shared" si="49"/>
        <v>-2.480241182020261</v>
      </c>
      <c r="N137" s="4">
        <f t="shared" si="50"/>
        <v>40.802147566272353</v>
      </c>
      <c r="O137" s="5">
        <f t="shared" si="51"/>
        <v>-2005.1403919680122</v>
      </c>
      <c r="P137" s="5">
        <f t="shared" si="52"/>
        <v>-744.55445397804135</v>
      </c>
      <c r="Q137" s="5">
        <f t="shared" si="53"/>
        <v>8441.047192464237</v>
      </c>
      <c r="S137" s="4">
        <f t="shared" si="36"/>
        <v>-87.965985984766576</v>
      </c>
      <c r="T137" s="4">
        <f t="shared" si="37"/>
        <v>-2.4802411820202224</v>
      </c>
      <c r="U137" s="4">
        <f t="shared" si="38"/>
        <v>40.802147566271742</v>
      </c>
      <c r="V137" s="6">
        <f t="shared" si="54"/>
        <v>96.999904807236561</v>
      </c>
      <c r="W137" s="86">
        <f t="shared" si="55"/>
        <v>4.8531284295729726E-3</v>
      </c>
      <c r="X137" s="9">
        <f t="shared" si="56"/>
        <v>1.0000019627425856</v>
      </c>
      <c r="Y137" s="4">
        <f t="shared" si="57"/>
        <v>96.99999999999973</v>
      </c>
      <c r="Z137" s="1">
        <f t="shared" si="58"/>
        <v>1.1358602771979607</v>
      </c>
      <c r="AA137" s="86">
        <f t="shared" si="59"/>
        <v>3.1159363135853111</v>
      </c>
      <c r="AB137" s="86">
        <f t="shared" si="60"/>
        <v>-2.5656340004499671E-2</v>
      </c>
      <c r="AC137" s="1">
        <f t="shared" si="65"/>
        <v>-3.1159363135853111</v>
      </c>
      <c r="AD137" s="5">
        <f t="shared" si="66"/>
        <v>9390.0000000000055</v>
      </c>
      <c r="AE137" s="5">
        <f t="shared" si="64"/>
        <v>65.080000000002926</v>
      </c>
      <c r="AF137" s="5">
        <f t="shared" si="41"/>
        <v>181.47000000000946</v>
      </c>
      <c r="AH137" s="22">
        <f t="shared" si="42"/>
        <v>5.4569682106375694E-12</v>
      </c>
      <c r="AI137" s="22">
        <f t="shared" si="43"/>
        <v>2.9274360713316128E-12</v>
      </c>
      <c r="AJ137" s="87">
        <f t="shared" si="61"/>
        <v>9.4644292403245345E-12</v>
      </c>
    </row>
    <row r="138" spans="1:36" x14ac:dyDescent="0.2">
      <c r="A138" s="3">
        <v>9484</v>
      </c>
      <c r="B138" s="3">
        <v>65.16</v>
      </c>
      <c r="C138" s="3">
        <v>181.43</v>
      </c>
      <c r="D138" s="82"/>
      <c r="E138" s="82">
        <f t="shared" ref="E138:E201" si="67">RADIANS(B138)</f>
        <v>1.137256540599505</v>
      </c>
      <c r="F138" s="82">
        <f t="shared" ref="F138:F201" si="68">RADIANS(C138)</f>
        <v>3.1665508618933123</v>
      </c>
      <c r="G138" s="82"/>
      <c r="H138" s="86">
        <f t="shared" ref="H138:H201" si="69">ACOS(MAX(-1,MIN(1, COS(E138-E137)-SIN(E137)*SIN(E138)*(1-COS(F138-F137)))))</f>
        <v>1.5331892718604134E-3</v>
      </c>
      <c r="I138" s="155">
        <f t="shared" si="45"/>
        <v>1.5331892718540834E-3</v>
      </c>
      <c r="J138" s="153">
        <f t="shared" si="46"/>
        <v>2.8035725895426855E-2</v>
      </c>
      <c r="K138" s="86">
        <f t="shared" ref="K138:K201" si="70">IF(H138=0, 1, 2*TAN(H138/2)/H138)</f>
        <v>1.000000195889158</v>
      </c>
      <c r="L138" s="83">
        <f t="shared" ref="L138:L201" si="71">0.5*(A138-A137)*K138 * (SIN(E137)*COS(F137) + SIN(E138)*COS(F138))</f>
        <v>-85.248631851444642</v>
      </c>
      <c r="M138" s="83">
        <f t="shared" ref="M138:M201" si="72">0.5*(A138-A137)*K138 * (SIN(E137)*SIN(F137) + SIN(E138)*SIN(F138))</f>
        <v>-2.1578615519623598</v>
      </c>
      <c r="N138" s="83">
        <f t="shared" ref="N138:N201" si="73">0.5*(A138-A137)*K138 * (COS(E137) + COS(E138))</f>
        <v>39.547600054913119</v>
      </c>
      <c r="O138" s="84">
        <f t="shared" ref="O138:O201" si="74">O137+L138</f>
        <v>-2090.3890238194567</v>
      </c>
      <c r="P138" s="84">
        <f t="shared" ref="P138:P201" si="75">P137+M138</f>
        <v>-746.71231553000371</v>
      </c>
      <c r="Q138" s="84">
        <f t="shared" ref="Q138:Q201" si="76">Q137+N138</f>
        <v>8480.5947925191504</v>
      </c>
      <c r="S138" s="83">
        <f t="shared" si="36"/>
        <v>-85.248631851444543</v>
      </c>
      <c r="T138" s="83">
        <f t="shared" si="37"/>
        <v>-2.1578615519623554</v>
      </c>
      <c r="U138" s="83">
        <f t="shared" si="38"/>
        <v>39.547600054913346</v>
      </c>
      <c r="V138" s="85">
        <f t="shared" ref="V138:V201" si="77">SQRT(S138^2+T138^2+U138^2)</f>
        <v>93.999990793212021</v>
      </c>
      <c r="W138" s="86">
        <f t="shared" si="55"/>
        <v>1.5331892718366547E-3</v>
      </c>
      <c r="X138" s="86">
        <f t="shared" ref="X138:X201" si="78">IF(W138=0, 1, 2*TAN(W138/2)/W138)</f>
        <v>1.000000195889158</v>
      </c>
      <c r="Y138" s="83">
        <f t="shared" ref="Y138:Y201" si="79">IF(W138=0, V138, 0.5*W138*V138/SIN(W138/2))</f>
        <v>94.000000000000014</v>
      </c>
      <c r="Z138" s="82">
        <f t="shared" ref="Z138:Z201" si="80">ACOS(MAX(-1,MIN(1, U138/(0.5*Y138*X138) - COS(Z137))))</f>
        <v>1.1372565405994488</v>
      </c>
      <c r="AA138" s="86">
        <f t="shared" si="59"/>
        <v>3.116634445286441</v>
      </c>
      <c r="AB138" s="86">
        <f t="shared" si="60"/>
        <v>-2.4958208303353598E-2</v>
      </c>
      <c r="AC138" s="82">
        <f t="shared" ref="AC138:AC201" si="81">IF(Z138&lt;0.000001, 0, SIGN(AB138)*AA138)</f>
        <v>-3.116634445286441</v>
      </c>
      <c r="AD138" s="84">
        <f t="shared" ref="AD138:AD201" si="82">AD137+Y138</f>
        <v>9484.0000000000055</v>
      </c>
      <c r="AE138" s="84">
        <f t="shared" ref="AE138:AE201" si="83">DEGREES(Z138)</f>
        <v>65.159999999996771</v>
      </c>
      <c r="AF138" s="84">
        <f t="shared" ref="AF138:AF201" si="84">MOD(DEGREES(AC138),360)</f>
        <v>181.42999999999046</v>
      </c>
      <c r="AG138" s="82"/>
      <c r="AH138" s="87">
        <f t="shared" si="42"/>
        <v>5.4569682106375694E-12</v>
      </c>
      <c r="AI138" s="87">
        <f t="shared" si="43"/>
        <v>3.2258640203508548E-12</v>
      </c>
      <c r="AJ138" s="87">
        <f t="shared" si="61"/>
        <v>9.5496943686157465E-12</v>
      </c>
    </row>
    <row r="139" spans="1:36" x14ac:dyDescent="0.2">
      <c r="A139" s="3">
        <v>9580</v>
      </c>
      <c r="B139" s="3">
        <v>65.16</v>
      </c>
      <c r="C139" s="3">
        <v>181.15</v>
      </c>
      <c r="D139" s="82"/>
      <c r="E139" s="82">
        <f t="shared" si="67"/>
        <v>1.137256540599505</v>
      </c>
      <c r="F139" s="82">
        <f t="shared" si="68"/>
        <v>3.161663939987728</v>
      </c>
      <c r="G139" s="82"/>
      <c r="H139" s="86">
        <f t="shared" si="69"/>
        <v>4.4348047344853203E-3</v>
      </c>
      <c r="I139" s="155">
        <f t="shared" si="45"/>
        <v>4.4348047344936296E-3</v>
      </c>
      <c r="J139" s="153">
        <f t="shared" si="46"/>
        <v>7.9404873203326398E-2</v>
      </c>
      <c r="K139" s="86">
        <f t="shared" si="70"/>
        <v>1.000001638960976</v>
      </c>
      <c r="L139" s="83">
        <f t="shared" si="71"/>
        <v>-87.096307643115864</v>
      </c>
      <c r="M139" s="83">
        <f t="shared" si="72"/>
        <v>-1.9612827734319831</v>
      </c>
      <c r="N139" s="83">
        <f t="shared" si="73"/>
        <v>40.328296023928502</v>
      </c>
      <c r="O139" s="84">
        <f t="shared" si="74"/>
        <v>-2177.4853314625725</v>
      </c>
      <c r="P139" s="84">
        <f t="shared" si="75"/>
        <v>-748.67359830343571</v>
      </c>
      <c r="Q139" s="84">
        <f t="shared" si="76"/>
        <v>8520.9230885430788</v>
      </c>
      <c r="S139" s="83">
        <f t="shared" si="36"/>
        <v>-87.096307643115779</v>
      </c>
      <c r="T139" s="83">
        <f t="shared" si="37"/>
        <v>-1.9612827734320035</v>
      </c>
      <c r="U139" s="83">
        <f t="shared" si="38"/>
        <v>40.328296023928488</v>
      </c>
      <c r="V139" s="85">
        <f t="shared" si="77"/>
        <v>95.999921330047115</v>
      </c>
      <c r="W139" s="86">
        <f t="shared" si="55"/>
        <v>4.4348047342266383E-3</v>
      </c>
      <c r="X139" s="86">
        <f t="shared" si="78"/>
        <v>1.000001638960976</v>
      </c>
      <c r="Y139" s="83">
        <f t="shared" si="79"/>
        <v>95.999999999999886</v>
      </c>
      <c r="Z139" s="82">
        <f t="shared" si="80"/>
        <v>1.1372565405995605</v>
      </c>
      <c r="AA139" s="86">
        <f t="shared" si="59"/>
        <v>3.1215213671916744</v>
      </c>
      <c r="AB139" s="86">
        <f t="shared" si="60"/>
        <v>-2.0071286398102128E-2</v>
      </c>
      <c r="AC139" s="82">
        <f t="shared" si="81"/>
        <v>-3.1215213671916744</v>
      </c>
      <c r="AD139" s="84">
        <f t="shared" si="82"/>
        <v>9580.0000000000055</v>
      </c>
      <c r="AE139" s="84">
        <f t="shared" si="83"/>
        <v>65.16000000000318</v>
      </c>
      <c r="AF139" s="84">
        <f t="shared" si="84"/>
        <v>181.15000000001055</v>
      </c>
      <c r="AG139" s="82"/>
      <c r="AH139" s="87">
        <f t="shared" si="42"/>
        <v>5.4569682106375694E-12</v>
      </c>
      <c r="AI139" s="87">
        <f t="shared" si="43"/>
        <v>3.1832314562052488E-12</v>
      </c>
      <c r="AJ139" s="87">
        <f t="shared" si="61"/>
        <v>1.0544454198679887E-11</v>
      </c>
    </row>
    <row r="140" spans="1:36" x14ac:dyDescent="0.2">
      <c r="A140" s="3">
        <v>9678</v>
      </c>
      <c r="B140" s="3">
        <v>65.09</v>
      </c>
      <c r="C140" s="3">
        <v>180.63</v>
      </c>
      <c r="D140" s="82"/>
      <c r="E140" s="82">
        <f t="shared" si="67"/>
        <v>1.1360348101231093</v>
      </c>
      <c r="F140" s="82">
        <f t="shared" si="68"/>
        <v>3.1525882278773576</v>
      </c>
      <c r="G140" s="82"/>
      <c r="H140" s="86">
        <f t="shared" si="69"/>
        <v>8.3238784268775401E-3</v>
      </c>
      <c r="I140" s="155">
        <f t="shared" si="45"/>
        <v>8.3238784268767213E-3</v>
      </c>
      <c r="J140" s="153">
        <f t="shared" si="46"/>
        <v>0.14599686827757491</v>
      </c>
      <c r="K140" s="86">
        <f t="shared" si="70"/>
        <v>1.0000057739526782</v>
      </c>
      <c r="L140" s="83">
        <f t="shared" si="71"/>
        <v>-88.897162283881144</v>
      </c>
      <c r="M140" s="83">
        <f t="shared" si="72"/>
        <v>-1.3811032357541797</v>
      </c>
      <c r="N140" s="83">
        <f t="shared" si="73"/>
        <v>41.222950394122194</v>
      </c>
      <c r="O140" s="84">
        <f t="shared" si="74"/>
        <v>-2266.3824937464537</v>
      </c>
      <c r="P140" s="84">
        <f t="shared" si="75"/>
        <v>-750.05470153918986</v>
      </c>
      <c r="Q140" s="84">
        <f t="shared" si="76"/>
        <v>8562.1460389372005</v>
      </c>
      <c r="S140" s="83">
        <f t="shared" si="36"/>
        <v>-88.897162283881244</v>
      </c>
      <c r="T140" s="83">
        <f t="shared" si="37"/>
        <v>-1.3811032357541535</v>
      </c>
      <c r="U140" s="83">
        <f t="shared" si="38"/>
        <v>41.222950394121654</v>
      </c>
      <c r="V140" s="85">
        <f t="shared" si="77"/>
        <v>97.999717078523972</v>
      </c>
      <c r="W140" s="86">
        <f t="shared" si="55"/>
        <v>8.3238784272525734E-3</v>
      </c>
      <c r="X140" s="86">
        <f t="shared" si="78"/>
        <v>1.0000057739526786</v>
      </c>
      <c r="Y140" s="83">
        <f t="shared" si="79"/>
        <v>97.999999999999901</v>
      </c>
      <c r="Z140" s="82">
        <f t="shared" si="80"/>
        <v>1.1360348101230653</v>
      </c>
      <c r="AA140" s="86">
        <f t="shared" si="59"/>
        <v>3.1305970793024023</v>
      </c>
      <c r="AB140" s="86">
        <f t="shared" si="60"/>
        <v>-1.0995574287379318E-2</v>
      </c>
      <c r="AC140" s="82">
        <f t="shared" si="81"/>
        <v>-3.1305970793024023</v>
      </c>
      <c r="AD140" s="84">
        <f t="shared" si="82"/>
        <v>9678.0000000000055</v>
      </c>
      <c r="AE140" s="84">
        <f t="shared" si="83"/>
        <v>65.089999999997488</v>
      </c>
      <c r="AF140" s="84">
        <f t="shared" si="84"/>
        <v>180.62999999999008</v>
      </c>
      <c r="AG140" s="82"/>
      <c r="AH140" s="87">
        <f t="shared" si="42"/>
        <v>5.4569682106375694E-12</v>
      </c>
      <c r="AI140" s="87">
        <f t="shared" si="43"/>
        <v>2.5153212845907547E-12</v>
      </c>
      <c r="AJ140" s="87">
        <f t="shared" si="61"/>
        <v>9.9191765912109986E-12</v>
      </c>
    </row>
    <row r="141" spans="1:36" x14ac:dyDescent="0.2">
      <c r="A141" s="3">
        <v>9774</v>
      </c>
      <c r="B141" s="3">
        <v>65.13</v>
      </c>
      <c r="C141" s="3">
        <v>180.28</v>
      </c>
      <c r="D141" s="82"/>
      <c r="E141" s="82">
        <f t="shared" si="67"/>
        <v>1.1367329418239067</v>
      </c>
      <c r="F141" s="82">
        <f t="shared" si="68"/>
        <v>3.1464795754953774</v>
      </c>
      <c r="G141" s="82"/>
      <c r="H141" s="86">
        <f t="shared" si="69"/>
        <v>5.5850685746587914E-3</v>
      </c>
      <c r="I141" s="155">
        <f t="shared" si="45"/>
        <v>5.5850685746602936E-3</v>
      </c>
      <c r="J141" s="153">
        <f t="shared" si="46"/>
        <v>0.10000026800596722</v>
      </c>
      <c r="K141" s="86">
        <f t="shared" si="70"/>
        <v>1.0000025994240236</v>
      </c>
      <c r="L141" s="83">
        <f t="shared" si="71"/>
        <v>-87.080347910323837</v>
      </c>
      <c r="M141" s="83">
        <f t="shared" si="72"/>
        <v>-0.69149810531142175</v>
      </c>
      <c r="N141" s="83">
        <f t="shared" si="73"/>
        <v>40.404342365581712</v>
      </c>
      <c r="O141" s="84">
        <f t="shared" si="74"/>
        <v>-2353.4628416567775</v>
      </c>
      <c r="P141" s="84">
        <f t="shared" si="75"/>
        <v>-750.7461996445013</v>
      </c>
      <c r="Q141" s="84">
        <f t="shared" si="76"/>
        <v>8602.5503813027826</v>
      </c>
      <c r="S141" s="83">
        <f t="shared" si="36"/>
        <v>-87.080347910323781</v>
      </c>
      <c r="T141" s="83">
        <f t="shared" si="37"/>
        <v>-0.69149810531143885</v>
      </c>
      <c r="U141" s="83">
        <f t="shared" si="38"/>
        <v>40.404342365582124</v>
      </c>
      <c r="V141" s="85">
        <f t="shared" si="77"/>
        <v>95.999875228084832</v>
      </c>
      <c r="W141" s="86">
        <f t="shared" si="55"/>
        <v>5.5850685745282291E-3</v>
      </c>
      <c r="X141" s="86">
        <f t="shared" si="78"/>
        <v>1.0000025994240236</v>
      </c>
      <c r="Y141" s="83">
        <f t="shared" si="79"/>
        <v>96.000000000000114</v>
      </c>
      <c r="Z141" s="82">
        <f t="shared" si="80"/>
        <v>1.1367329418239422</v>
      </c>
      <c r="AA141" s="86">
        <f t="shared" si="59"/>
        <v>3.1367057316838896</v>
      </c>
      <c r="AB141" s="86">
        <f t="shared" si="60"/>
        <v>-4.8869219057579866E-3</v>
      </c>
      <c r="AC141" s="82">
        <f t="shared" si="81"/>
        <v>-3.1367057316838896</v>
      </c>
      <c r="AD141" s="84">
        <f t="shared" si="82"/>
        <v>9774.0000000000055</v>
      </c>
      <c r="AE141" s="84">
        <f t="shared" si="83"/>
        <v>65.130000000002028</v>
      </c>
      <c r="AF141" s="84">
        <f t="shared" si="84"/>
        <v>180.2800000000183</v>
      </c>
      <c r="AG141" s="82"/>
      <c r="AH141" s="87">
        <f t="shared" si="42"/>
        <v>5.4569682106375694E-12</v>
      </c>
      <c r="AI141" s="87">
        <f t="shared" si="43"/>
        <v>2.0321522242738865E-12</v>
      </c>
      <c r="AJ141" s="87">
        <f t="shared" si="61"/>
        <v>1.8303580873180181E-11</v>
      </c>
    </row>
    <row r="142" spans="1:36" x14ac:dyDescent="0.2">
      <c r="A142" s="3">
        <v>9870</v>
      </c>
      <c r="B142" s="3">
        <v>65.19</v>
      </c>
      <c r="C142" s="3">
        <v>180.25</v>
      </c>
      <c r="D142" s="82"/>
      <c r="E142" s="82">
        <f t="shared" si="67"/>
        <v>1.1377801393751035</v>
      </c>
      <c r="F142" s="82">
        <f t="shared" si="68"/>
        <v>3.1459559767197791</v>
      </c>
      <c r="G142" s="82"/>
      <c r="H142" s="86">
        <f t="shared" si="69"/>
        <v>1.149955454778917E-3</v>
      </c>
      <c r="I142" s="155">
        <f t="shared" si="45"/>
        <v>1.1499554548728159E-3</v>
      </c>
      <c r="J142" s="153">
        <f t="shared" si="46"/>
        <v>2.0589873183399731E-2</v>
      </c>
      <c r="K142" s="86">
        <f t="shared" si="70"/>
        <v>1.0000001101998104</v>
      </c>
      <c r="L142" s="83">
        <f t="shared" si="71"/>
        <v>-87.117567647155894</v>
      </c>
      <c r="M142" s="83">
        <f t="shared" si="72"/>
        <v>-0.40292676880102618</v>
      </c>
      <c r="N142" s="83">
        <f t="shared" si="73"/>
        <v>40.328228843589613</v>
      </c>
      <c r="O142" s="84">
        <f t="shared" si="74"/>
        <v>-2440.5804093039333</v>
      </c>
      <c r="P142" s="84">
        <f t="shared" si="75"/>
        <v>-751.14912641330238</v>
      </c>
      <c r="Q142" s="84">
        <f t="shared" si="76"/>
        <v>8642.878610146372</v>
      </c>
      <c r="S142" s="83">
        <f t="shared" si="36"/>
        <v>-87.117567647155738</v>
      </c>
      <c r="T142" s="83">
        <f t="shared" si="37"/>
        <v>-0.40292676880108047</v>
      </c>
      <c r="U142" s="83">
        <f t="shared" si="38"/>
        <v>40.328228843589386</v>
      </c>
      <c r="V142" s="85">
        <f t="shared" si="77"/>
        <v>95.99999471040968</v>
      </c>
      <c r="W142" s="86">
        <f t="shared" si="55"/>
        <v>1.1499554547569346E-3</v>
      </c>
      <c r="X142" s="86">
        <f t="shared" si="78"/>
        <v>1.0000001101998102</v>
      </c>
      <c r="Y142" s="83">
        <f t="shared" si="79"/>
        <v>95.999999999999787</v>
      </c>
      <c r="Z142" s="82">
        <f t="shared" si="80"/>
        <v>1.1377801393750708</v>
      </c>
      <c r="AA142" s="86">
        <f t="shared" si="59"/>
        <v>3.1372293304602152</v>
      </c>
      <c r="AB142" s="86">
        <f t="shared" si="60"/>
        <v>-4.3633231296677398E-3</v>
      </c>
      <c r="AC142" s="82">
        <f t="shared" si="81"/>
        <v>-3.1372293304602152</v>
      </c>
      <c r="AD142" s="84">
        <f t="shared" si="82"/>
        <v>9870.0000000000055</v>
      </c>
      <c r="AE142" s="84">
        <f t="shared" si="83"/>
        <v>65.189999999998136</v>
      </c>
      <c r="AF142" s="84">
        <f t="shared" si="84"/>
        <v>180.24999999997664</v>
      </c>
      <c r="AG142" s="82"/>
      <c r="AH142" s="87">
        <f t="shared" si="42"/>
        <v>5.4569682106375694E-12</v>
      </c>
      <c r="AI142" s="87">
        <f t="shared" si="43"/>
        <v>1.8616219676914625E-12</v>
      </c>
      <c r="AJ142" s="87">
        <f t="shared" si="61"/>
        <v>2.3362645151792094E-11</v>
      </c>
    </row>
    <row r="143" spans="1:36" x14ac:dyDescent="0.2">
      <c r="A143" s="3">
        <v>9964</v>
      </c>
      <c r="B143" s="3">
        <v>65.12</v>
      </c>
      <c r="C143" s="3">
        <v>180.36</v>
      </c>
      <c r="D143" s="82"/>
      <c r="E143" s="82">
        <f t="shared" si="67"/>
        <v>1.1365584088987075</v>
      </c>
      <c r="F143" s="82">
        <f t="shared" si="68"/>
        <v>3.1478758388969732</v>
      </c>
      <c r="G143" s="82"/>
      <c r="H143" s="86">
        <f t="shared" si="69"/>
        <v>2.1278620802149817E-3</v>
      </c>
      <c r="I143" s="155">
        <f t="shared" si="45"/>
        <v>2.1278620802179077E-3</v>
      </c>
      <c r="J143" s="153">
        <f t="shared" si="46"/>
        <v>3.8909845717738173E-2</v>
      </c>
      <c r="K143" s="86">
        <f t="shared" si="70"/>
        <v>1.0000003773165902</v>
      </c>
      <c r="L143" s="83">
        <f t="shared" si="71"/>
        <v>-85.298858118868012</v>
      </c>
      <c r="M143" s="83">
        <f t="shared" si="72"/>
        <v>-0.4540486353042294</v>
      </c>
      <c r="N143" s="83">
        <f t="shared" si="73"/>
        <v>39.495509991473995</v>
      </c>
      <c r="O143" s="84">
        <f t="shared" si="74"/>
        <v>-2525.8792674228011</v>
      </c>
      <c r="P143" s="84">
        <f t="shared" si="75"/>
        <v>-751.60317504860666</v>
      </c>
      <c r="Q143" s="84">
        <f t="shared" si="76"/>
        <v>8682.3741201378452</v>
      </c>
      <c r="S143" s="83">
        <f t="shared" si="36"/>
        <v>-85.298858118867884</v>
      </c>
      <c r="T143" s="83">
        <f t="shared" si="37"/>
        <v>-0.45404863530427519</v>
      </c>
      <c r="U143" s="83">
        <f t="shared" si="38"/>
        <v>39.495509991473227</v>
      </c>
      <c r="V143" s="85">
        <f t="shared" si="77"/>
        <v>93.999982266128839</v>
      </c>
      <c r="W143" s="86">
        <f t="shared" si="55"/>
        <v>2.1278620806062243E-3</v>
      </c>
      <c r="X143" s="86">
        <f t="shared" si="78"/>
        <v>1.0000003773165904</v>
      </c>
      <c r="Y143" s="83">
        <f t="shared" si="79"/>
        <v>93.999999999999545</v>
      </c>
      <c r="Z143" s="82">
        <f t="shared" si="80"/>
        <v>1.1365584088987539</v>
      </c>
      <c r="AA143" s="86">
        <f t="shared" si="59"/>
        <v>3.13530946828224</v>
      </c>
      <c r="AB143" s="86">
        <f t="shared" si="60"/>
        <v>-6.283185307589121E-3</v>
      </c>
      <c r="AC143" s="82">
        <f t="shared" si="81"/>
        <v>-3.13530946828224</v>
      </c>
      <c r="AD143" s="84">
        <f t="shared" si="82"/>
        <v>9964.0000000000055</v>
      </c>
      <c r="AE143" s="84">
        <f t="shared" si="83"/>
        <v>65.120000000002662</v>
      </c>
      <c r="AF143" s="84">
        <f t="shared" si="84"/>
        <v>180.36000000002142</v>
      </c>
      <c r="AG143" s="82"/>
      <c r="AH143" s="87">
        <f t="shared" si="42"/>
        <v>5.4569682106375694E-12</v>
      </c>
      <c r="AI143" s="87">
        <f t="shared" si="43"/>
        <v>2.6574298317427747E-12</v>
      </c>
      <c r="AJ143" s="87">
        <f t="shared" si="61"/>
        <v>2.1401547201094218E-11</v>
      </c>
    </row>
    <row r="144" spans="1:36" x14ac:dyDescent="0.2">
      <c r="A144" s="3">
        <v>10062</v>
      </c>
      <c r="B144" s="3">
        <v>65.33</v>
      </c>
      <c r="C144" s="3">
        <v>180.52</v>
      </c>
      <c r="D144" s="82"/>
      <c r="E144" s="82">
        <f t="shared" si="67"/>
        <v>1.1402236003278954</v>
      </c>
      <c r="F144" s="82">
        <f t="shared" si="68"/>
        <v>3.150668365700164</v>
      </c>
      <c r="G144" s="82"/>
      <c r="H144" s="86">
        <f t="shared" si="69"/>
        <v>4.4567247103939334E-3</v>
      </c>
      <c r="I144" s="155">
        <f t="shared" si="45"/>
        <v>4.4567247103983231E-3</v>
      </c>
      <c r="J144" s="153">
        <f t="shared" si="46"/>
        <v>7.8168831537929528E-2</v>
      </c>
      <c r="K144" s="86">
        <f t="shared" si="70"/>
        <v>1.000001655202883</v>
      </c>
      <c r="L144" s="83">
        <f t="shared" si="71"/>
        <v>-88.977407019124939</v>
      </c>
      <c r="M144" s="83">
        <f t="shared" si="72"/>
        <v>-0.68341595209943529</v>
      </c>
      <c r="N144" s="83">
        <f t="shared" si="73"/>
        <v>41.067482102790329</v>
      </c>
      <c r="O144" s="84">
        <f t="shared" si="74"/>
        <v>-2614.8566744419259</v>
      </c>
      <c r="P144" s="84">
        <f t="shared" si="75"/>
        <v>-752.28659100070604</v>
      </c>
      <c r="Q144" s="84">
        <f t="shared" si="76"/>
        <v>8723.4416022406349</v>
      </c>
      <c r="S144" s="83">
        <f t="shared" si="36"/>
        <v>-88.977407019124712</v>
      </c>
      <c r="T144" s="83">
        <f t="shared" si="37"/>
        <v>-0.68341595209938077</v>
      </c>
      <c r="U144" s="83">
        <f t="shared" si="38"/>
        <v>41.067482102789654</v>
      </c>
      <c r="V144" s="85">
        <f t="shared" si="77"/>
        <v>97.999918895239475</v>
      </c>
      <c r="W144" s="86">
        <f t="shared" si="55"/>
        <v>4.4567247098226126E-3</v>
      </c>
      <c r="X144" s="86">
        <f t="shared" si="78"/>
        <v>1.0000016552028825</v>
      </c>
      <c r="Y144" s="83">
        <f t="shared" si="79"/>
        <v>97.999999999999488</v>
      </c>
      <c r="Z144" s="82">
        <f t="shared" si="80"/>
        <v>1.140223600327859</v>
      </c>
      <c r="AA144" s="86">
        <f t="shared" si="59"/>
        <v>3.1325169414798593</v>
      </c>
      <c r="AB144" s="86">
        <f t="shared" si="60"/>
        <v>-9.0757121099969366E-3</v>
      </c>
      <c r="AC144" s="82">
        <f t="shared" si="81"/>
        <v>-3.1325169414798593</v>
      </c>
      <c r="AD144" s="84">
        <f t="shared" si="82"/>
        <v>10062.000000000005</v>
      </c>
      <c r="AE144" s="84">
        <f t="shared" si="83"/>
        <v>65.329999999997909</v>
      </c>
      <c r="AF144" s="84">
        <f t="shared" si="84"/>
        <v>180.51999999997497</v>
      </c>
      <c r="AG144" s="82"/>
      <c r="AH144" s="87">
        <f t="shared" si="42"/>
        <v>5.4569682106375694E-12</v>
      </c>
      <c r="AI144" s="87">
        <f t="shared" si="43"/>
        <v>2.0889956431346945E-12</v>
      </c>
      <c r="AJ144" s="87">
        <f t="shared" si="61"/>
        <v>2.5039526008185931E-11</v>
      </c>
    </row>
    <row r="145" spans="1:36" x14ac:dyDescent="0.2">
      <c r="A145" s="3">
        <v>10157</v>
      </c>
      <c r="B145" s="3">
        <v>65.319999999999993</v>
      </c>
      <c r="C145" s="3">
        <v>180.77</v>
      </c>
      <c r="D145" s="82"/>
      <c r="E145" s="82">
        <f t="shared" si="67"/>
        <v>1.140049067402696</v>
      </c>
      <c r="F145" s="82">
        <f t="shared" si="68"/>
        <v>3.1550316888301495</v>
      </c>
      <c r="G145" s="82"/>
      <c r="H145" s="86">
        <f t="shared" si="69"/>
        <v>3.9687489290285427E-3</v>
      </c>
      <c r="I145" s="155">
        <f t="shared" si="45"/>
        <v>3.9687489290561352E-3</v>
      </c>
      <c r="J145" s="153">
        <f t="shared" si="46"/>
        <v>7.1808177972758208E-2</v>
      </c>
      <c r="K145" s="86">
        <f t="shared" si="70"/>
        <v>1.0000013125827394</v>
      </c>
      <c r="L145" s="83">
        <f t="shared" si="71"/>
        <v>-86.320027629613648</v>
      </c>
      <c r="M145" s="83">
        <f t="shared" si="72"/>
        <v>-0.97177030654758045</v>
      </c>
      <c r="N145" s="83">
        <f t="shared" si="73"/>
        <v>39.659761048948667</v>
      </c>
      <c r="O145" s="84">
        <f t="shared" si="74"/>
        <v>-2701.1767020715397</v>
      </c>
      <c r="P145" s="84">
        <f t="shared" si="75"/>
        <v>-753.25836130725361</v>
      </c>
      <c r="Q145" s="84">
        <f t="shared" si="76"/>
        <v>8763.1013632895829</v>
      </c>
      <c r="S145" s="83">
        <f t="shared" si="36"/>
        <v>-86.320027629613833</v>
      </c>
      <c r="T145" s="83">
        <f t="shared" si="37"/>
        <v>-0.97177030654756891</v>
      </c>
      <c r="U145" s="83">
        <f t="shared" si="38"/>
        <v>39.659761048947985</v>
      </c>
      <c r="V145" s="85">
        <f t="shared" si="77"/>
        <v>94.999937652430248</v>
      </c>
      <c r="W145" s="86">
        <f t="shared" si="55"/>
        <v>3.968748929702226E-3</v>
      </c>
      <c r="X145" s="86">
        <f t="shared" si="78"/>
        <v>1.0000013125827396</v>
      </c>
      <c r="Y145" s="83">
        <f t="shared" si="79"/>
        <v>94.999999999999901</v>
      </c>
      <c r="Z145" s="82">
        <f t="shared" si="80"/>
        <v>1.1400490674027475</v>
      </c>
      <c r="AA145" s="86">
        <f t="shared" si="59"/>
        <v>3.1281536183490646</v>
      </c>
      <c r="AB145" s="86">
        <f t="shared" si="60"/>
        <v>-1.3439035240792653E-2</v>
      </c>
      <c r="AC145" s="82">
        <f t="shared" si="81"/>
        <v>-3.1281536183490646</v>
      </c>
      <c r="AD145" s="84">
        <f t="shared" si="82"/>
        <v>10157.000000000005</v>
      </c>
      <c r="AE145" s="84">
        <f t="shared" si="83"/>
        <v>65.320000000002949</v>
      </c>
      <c r="AF145" s="84">
        <f t="shared" si="84"/>
        <v>180.77000000002133</v>
      </c>
      <c r="AG145" s="82"/>
      <c r="AH145" s="87">
        <f t="shared" si="42"/>
        <v>5.4569682106375694E-12</v>
      </c>
      <c r="AI145" s="87">
        <f t="shared" si="43"/>
        <v>2.9558577807620168E-12</v>
      </c>
      <c r="AJ145" s="87">
        <f t="shared" si="61"/>
        <v>2.1316282072803006E-11</v>
      </c>
    </row>
    <row r="146" spans="1:36" x14ac:dyDescent="0.2">
      <c r="A146" s="3">
        <v>10254</v>
      </c>
      <c r="B146" s="3">
        <v>65.27</v>
      </c>
      <c r="C146" s="3">
        <v>181.07</v>
      </c>
      <c r="D146" s="82"/>
      <c r="E146" s="82">
        <f t="shared" si="67"/>
        <v>1.1391764027766988</v>
      </c>
      <c r="F146" s="82">
        <f t="shared" si="68"/>
        <v>3.1602676765861326</v>
      </c>
      <c r="G146" s="82"/>
      <c r="H146" s="86">
        <f t="shared" si="69"/>
        <v>4.8361318977572232E-3</v>
      </c>
      <c r="I146" s="155">
        <f t="shared" si="45"/>
        <v>4.8361318977377084E-3</v>
      </c>
      <c r="J146" s="153">
        <f t="shared" si="46"/>
        <v>8.5697921724767714E-2</v>
      </c>
      <c r="K146" s="86">
        <f t="shared" si="70"/>
        <v>1.0000019490188694</v>
      </c>
      <c r="L146" s="83">
        <f t="shared" si="71"/>
        <v>-88.110257946641184</v>
      </c>
      <c r="M146" s="83">
        <f t="shared" si="72"/>
        <v>-1.4148642644602363</v>
      </c>
      <c r="N146" s="83">
        <f t="shared" si="73"/>
        <v>40.540871542532877</v>
      </c>
      <c r="O146" s="84">
        <f t="shared" si="74"/>
        <v>-2789.2869600181807</v>
      </c>
      <c r="P146" s="84">
        <f t="shared" si="75"/>
        <v>-754.67322557171383</v>
      </c>
      <c r="Q146" s="84">
        <f t="shared" si="76"/>
        <v>8803.6422348321157</v>
      </c>
      <c r="S146" s="83">
        <f t="shared" si="36"/>
        <v>-88.110257946641013</v>
      </c>
      <c r="T146" s="83">
        <f t="shared" si="37"/>
        <v>-1.4148642644602205</v>
      </c>
      <c r="U146" s="83">
        <f t="shared" si="38"/>
        <v>40.540871542532841</v>
      </c>
      <c r="V146" s="85">
        <f t="shared" si="77"/>
        <v>96.999905472833376</v>
      </c>
      <c r="W146" s="86">
        <f t="shared" si="55"/>
        <v>4.8361318970107092E-3</v>
      </c>
      <c r="X146" s="86">
        <f t="shared" si="78"/>
        <v>1.0000019490188687</v>
      </c>
      <c r="Y146" s="83">
        <f t="shared" si="79"/>
        <v>96.999999999999801</v>
      </c>
      <c r="Z146" s="82">
        <f t="shared" si="80"/>
        <v>1.1391764027766456</v>
      </c>
      <c r="AA146" s="86">
        <f t="shared" si="59"/>
        <v>3.1229176305938546</v>
      </c>
      <c r="AB146" s="86">
        <f t="shared" si="60"/>
        <v>-1.8675022995966673E-2</v>
      </c>
      <c r="AC146" s="82">
        <f t="shared" si="81"/>
        <v>-3.1229176305938546</v>
      </c>
      <c r="AD146" s="84">
        <f t="shared" si="82"/>
        <v>10254.000000000005</v>
      </c>
      <c r="AE146" s="84">
        <f t="shared" si="83"/>
        <v>65.269999999996941</v>
      </c>
      <c r="AF146" s="84">
        <f t="shared" si="84"/>
        <v>181.06999999997703</v>
      </c>
      <c r="AG146" s="82"/>
      <c r="AH146" s="87">
        <f t="shared" si="42"/>
        <v>5.4569682106375694E-12</v>
      </c>
      <c r="AI146" s="87">
        <f t="shared" si="43"/>
        <v>3.0553337637684308E-12</v>
      </c>
      <c r="AJ146" s="87">
        <f t="shared" si="61"/>
        <v>2.2964741219766438E-11</v>
      </c>
    </row>
    <row r="147" spans="1:36" x14ac:dyDescent="0.2">
      <c r="A147" s="3">
        <v>10350</v>
      </c>
      <c r="B147" s="3">
        <v>65.36</v>
      </c>
      <c r="C147" s="3">
        <v>181.21</v>
      </c>
      <c r="D147" s="82"/>
      <c r="E147" s="82">
        <f t="shared" si="67"/>
        <v>1.1407471991034939</v>
      </c>
      <c r="F147" s="82">
        <f t="shared" si="68"/>
        <v>3.1627111375389245</v>
      </c>
      <c r="G147" s="82"/>
      <c r="H147" s="86">
        <f t="shared" si="69"/>
        <v>2.7196618278277906E-3</v>
      </c>
      <c r="I147" s="155">
        <f t="shared" si="45"/>
        <v>2.7196618278466172E-3</v>
      </c>
      <c r="J147" s="153">
        <f t="shared" si="46"/>
        <v>4.8695357636677365E-2</v>
      </c>
      <c r="K147" s="86">
        <f t="shared" si="70"/>
        <v>1.0000006163804942</v>
      </c>
      <c r="L147" s="83">
        <f t="shared" si="71"/>
        <v>-87.209979970164227</v>
      </c>
      <c r="M147" s="83">
        <f t="shared" si="72"/>
        <v>-1.7354629630372063</v>
      </c>
      <c r="N147" s="83">
        <f t="shared" si="73"/>
        <v>40.092416756170387</v>
      </c>
      <c r="O147" s="84">
        <f t="shared" si="74"/>
        <v>-2876.4969399883448</v>
      </c>
      <c r="P147" s="84">
        <f t="shared" si="75"/>
        <v>-756.40868853475104</v>
      </c>
      <c r="Q147" s="84">
        <f t="shared" si="76"/>
        <v>8843.7346515882855</v>
      </c>
      <c r="S147" s="83">
        <f t="shared" si="36"/>
        <v>-87.209979970164113</v>
      </c>
      <c r="T147" s="83">
        <f t="shared" si="37"/>
        <v>-1.7354629630372074</v>
      </c>
      <c r="U147" s="83">
        <f t="shared" si="38"/>
        <v>40.092416756169769</v>
      </c>
      <c r="V147" s="85">
        <f t="shared" si="77"/>
        <v>95.999970413760551</v>
      </c>
      <c r="W147" s="86">
        <f t="shared" si="55"/>
        <v>2.7196618284710539E-3</v>
      </c>
      <c r="X147" s="86">
        <f t="shared" si="78"/>
        <v>1.0000006163804942</v>
      </c>
      <c r="Y147" s="83">
        <f t="shared" si="79"/>
        <v>95.999999999999659</v>
      </c>
      <c r="Z147" s="82">
        <f t="shared" si="80"/>
        <v>1.140747199103558</v>
      </c>
      <c r="AA147" s="86">
        <f t="shared" si="59"/>
        <v>3.1204741696402882</v>
      </c>
      <c r="AB147" s="86">
        <f t="shared" si="60"/>
        <v>-2.1118483949531794E-2</v>
      </c>
      <c r="AC147" s="82">
        <f t="shared" si="81"/>
        <v>-3.1204741696402882</v>
      </c>
      <c r="AD147" s="84">
        <f t="shared" si="82"/>
        <v>10350.000000000005</v>
      </c>
      <c r="AE147" s="84">
        <f t="shared" si="83"/>
        <v>65.36000000000368</v>
      </c>
      <c r="AF147" s="84">
        <f t="shared" si="84"/>
        <v>181.21000000002141</v>
      </c>
      <c r="AG147" s="82"/>
      <c r="AH147" s="87">
        <f t="shared" si="42"/>
        <v>5.4569682106375694E-12</v>
      </c>
      <c r="AI147" s="87">
        <f t="shared" si="43"/>
        <v>3.680611371237319E-12</v>
      </c>
      <c r="AJ147" s="87">
        <f t="shared" si="61"/>
        <v>2.1401547201094218E-11</v>
      </c>
    </row>
    <row r="148" spans="1:36" x14ac:dyDescent="0.2">
      <c r="A148" s="3">
        <v>10446</v>
      </c>
      <c r="B148" s="3">
        <v>65.33</v>
      </c>
      <c r="C148" s="3">
        <v>181.18</v>
      </c>
      <c r="D148" s="82"/>
      <c r="E148" s="82">
        <f t="shared" si="67"/>
        <v>1.1402236003278954</v>
      </c>
      <c r="F148" s="82">
        <f t="shared" si="68"/>
        <v>3.1621875387633263</v>
      </c>
      <c r="G148" s="82"/>
      <c r="H148" s="86">
        <f t="shared" si="69"/>
        <v>7.0753346769714121E-4</v>
      </c>
      <c r="I148" s="155">
        <f t="shared" si="45"/>
        <v>7.0753346768842964E-4</v>
      </c>
      <c r="J148" s="153">
        <f t="shared" si="46"/>
        <v>1.2668337988531861E-2</v>
      </c>
      <c r="K148" s="86">
        <f t="shared" si="70"/>
        <v>1.0000000417169694</v>
      </c>
      <c r="L148" s="83">
        <f t="shared" si="71"/>
        <v>-87.229286311711178</v>
      </c>
      <c r="M148" s="83">
        <f t="shared" si="72"/>
        <v>-1.8195803016503262</v>
      </c>
      <c r="N148" s="83">
        <f t="shared" si="73"/>
        <v>40.046727114856715</v>
      </c>
      <c r="O148" s="84">
        <f t="shared" si="74"/>
        <v>-2963.7262263000562</v>
      </c>
      <c r="P148" s="84">
        <f t="shared" si="75"/>
        <v>-758.22826883640141</v>
      </c>
      <c r="Q148" s="84">
        <f t="shared" si="76"/>
        <v>8883.7813787031428</v>
      </c>
      <c r="S148" s="83">
        <f t="shared" si="36"/>
        <v>-87.229286311711348</v>
      </c>
      <c r="T148" s="83">
        <f t="shared" si="37"/>
        <v>-1.819580301650376</v>
      </c>
      <c r="U148" s="83">
        <f t="shared" si="38"/>
        <v>40.046727114857276</v>
      </c>
      <c r="V148" s="85">
        <f t="shared" si="77"/>
        <v>95.999997997585979</v>
      </c>
      <c r="W148" s="86">
        <f t="shared" si="55"/>
        <v>7.0753346918195348E-4</v>
      </c>
      <c r="X148" s="86">
        <f t="shared" si="78"/>
        <v>1.0000000417169697</v>
      </c>
      <c r="Y148" s="83">
        <f t="shared" si="79"/>
        <v>96.000000000000412</v>
      </c>
      <c r="Z148" s="82">
        <f t="shared" si="80"/>
        <v>1.1402236003278223</v>
      </c>
      <c r="AA148" s="86">
        <f t="shared" si="59"/>
        <v>3.1209977684166121</v>
      </c>
      <c r="AB148" s="86">
        <f t="shared" si="60"/>
        <v>-2.059488517316024E-2</v>
      </c>
      <c r="AC148" s="82">
        <f t="shared" si="81"/>
        <v>-3.1209977684166121</v>
      </c>
      <c r="AD148" s="84">
        <f t="shared" si="82"/>
        <v>10446.000000000005</v>
      </c>
      <c r="AE148" s="84">
        <f t="shared" si="83"/>
        <v>65.329999999995806</v>
      </c>
      <c r="AF148" s="84">
        <f t="shared" si="84"/>
        <v>181.17999999997983</v>
      </c>
      <c r="AG148" s="82"/>
      <c r="AH148" s="87">
        <f t="shared" si="42"/>
        <v>5.4569682106375694E-12</v>
      </c>
      <c r="AI148" s="87">
        <f t="shared" si="43"/>
        <v>4.1922021409845911E-12</v>
      </c>
      <c r="AJ148" s="87">
        <f t="shared" si="61"/>
        <v>2.0179413695586845E-11</v>
      </c>
    </row>
    <row r="149" spans="1:36" x14ac:dyDescent="0.2">
      <c r="A149" s="3">
        <v>10541</v>
      </c>
      <c r="B149" s="3">
        <v>65.319999999999993</v>
      </c>
      <c r="C149" s="3">
        <v>181.24</v>
      </c>
      <c r="D149" s="82"/>
      <c r="E149" s="82">
        <f t="shared" si="67"/>
        <v>1.140049067402696</v>
      </c>
      <c r="F149" s="82">
        <f t="shared" si="68"/>
        <v>3.1632347363145232</v>
      </c>
      <c r="G149" s="82"/>
      <c r="H149" s="86">
        <f t="shared" si="69"/>
        <v>9.6745188088531719E-4</v>
      </c>
      <c r="I149" s="155">
        <f t="shared" si="45"/>
        <v>9.6745188095412381E-4</v>
      </c>
      <c r="J149" s="153">
        <f t="shared" si="46"/>
        <v>1.7504497786333235E-2</v>
      </c>
      <c r="K149" s="86">
        <f t="shared" si="70"/>
        <v>1.0000000779969358</v>
      </c>
      <c r="L149" s="83">
        <f t="shared" si="71"/>
        <v>-86.306335030075616</v>
      </c>
      <c r="M149" s="83">
        <f t="shared" si="72"/>
        <v>-1.8229281496050163</v>
      </c>
      <c r="N149" s="83">
        <f t="shared" si="73"/>
        <v>39.659712085634972</v>
      </c>
      <c r="O149" s="84">
        <f t="shared" si="74"/>
        <v>-3050.032561330132</v>
      </c>
      <c r="P149" s="84">
        <f t="shared" si="75"/>
        <v>-760.0511969860064</v>
      </c>
      <c r="Q149" s="84">
        <f t="shared" si="76"/>
        <v>8923.4410907887777</v>
      </c>
      <c r="S149" s="83">
        <f t="shared" si="36"/>
        <v>-86.306335030075843</v>
      </c>
      <c r="T149" s="83">
        <f t="shared" si="37"/>
        <v>-1.8229281496049907</v>
      </c>
      <c r="U149" s="83">
        <f t="shared" si="38"/>
        <v>39.659712085634965</v>
      </c>
      <c r="V149" s="85">
        <f t="shared" si="77"/>
        <v>94.999996295146133</v>
      </c>
      <c r="W149" s="86">
        <f t="shared" si="55"/>
        <v>9.6745188104829793E-4</v>
      </c>
      <c r="X149" s="86">
        <f t="shared" si="78"/>
        <v>1.0000000779969358</v>
      </c>
      <c r="Y149" s="83">
        <f t="shared" si="79"/>
        <v>95.000000000000199</v>
      </c>
      <c r="Z149" s="82">
        <f t="shared" si="80"/>
        <v>1.1400490674027712</v>
      </c>
      <c r="AA149" s="86">
        <f t="shared" si="59"/>
        <v>3.119950570864729</v>
      </c>
      <c r="AB149" s="86">
        <f t="shared" si="60"/>
        <v>-2.1642082725081214E-2</v>
      </c>
      <c r="AC149" s="82">
        <f t="shared" si="81"/>
        <v>-3.119950570864729</v>
      </c>
      <c r="AD149" s="84">
        <f t="shared" si="82"/>
        <v>10541.000000000005</v>
      </c>
      <c r="AE149" s="84">
        <f t="shared" si="83"/>
        <v>65.320000000004313</v>
      </c>
      <c r="AF149" s="84">
        <f t="shared" si="84"/>
        <v>181.24000000001917</v>
      </c>
      <c r="AG149" s="82"/>
      <c r="AH149" s="87">
        <f t="shared" si="42"/>
        <v>5.4569682106375694E-12</v>
      </c>
      <c r="AI149" s="87">
        <f t="shared" si="43"/>
        <v>4.3200998334214091E-12</v>
      </c>
      <c r="AJ149" s="87">
        <f t="shared" si="61"/>
        <v>1.9156232156092301E-11</v>
      </c>
    </row>
    <row r="150" spans="1:36" x14ac:dyDescent="0.2">
      <c r="A150" s="3">
        <v>10638</v>
      </c>
      <c r="B150" s="3">
        <v>65.3</v>
      </c>
      <c r="C150" s="3">
        <v>181.33</v>
      </c>
      <c r="D150" s="82"/>
      <c r="E150" s="82">
        <f t="shared" si="67"/>
        <v>1.1397000015522971</v>
      </c>
      <c r="F150" s="82">
        <f t="shared" si="68"/>
        <v>3.164805532641318</v>
      </c>
      <c r="G150" s="82"/>
      <c r="H150" s="86">
        <f t="shared" si="69"/>
        <v>1.4692633687900525E-3</v>
      </c>
      <c r="I150" s="155">
        <f t="shared" si="45"/>
        <v>1.4692633687613354E-3</v>
      </c>
      <c r="J150" s="153">
        <f t="shared" si="46"/>
        <v>2.6035852585003117E-2</v>
      </c>
      <c r="K150" s="86">
        <f t="shared" si="70"/>
        <v>1.0000001798946094</v>
      </c>
      <c r="L150" s="83">
        <f t="shared" si="71"/>
        <v>-88.11018969304186</v>
      </c>
      <c r="M150" s="83">
        <f t="shared" si="72"/>
        <v>-1.9764154256035757</v>
      </c>
      <c r="N150" s="83">
        <f t="shared" si="73"/>
        <v>40.517731448018196</v>
      </c>
      <c r="O150" s="84">
        <f t="shared" si="74"/>
        <v>-3138.1427510231738</v>
      </c>
      <c r="P150" s="84">
        <f t="shared" si="75"/>
        <v>-762.02761241160999</v>
      </c>
      <c r="Q150" s="84">
        <f t="shared" si="76"/>
        <v>8963.9588222367965</v>
      </c>
      <c r="S150" s="83">
        <f t="shared" ref="S150:S213" si="85">O150-O149</f>
        <v>-88.110189693041775</v>
      </c>
      <c r="T150" s="83">
        <f t="shared" ref="T150:T213" si="86">P150-P149</f>
        <v>-1.9764154256035908</v>
      </c>
      <c r="U150" s="83">
        <f t="shared" ref="U150:U213" si="87">Q150-Q149</f>
        <v>40.517731448018822</v>
      </c>
      <c r="V150" s="85">
        <f t="shared" si="77"/>
        <v>96.999991275113743</v>
      </c>
      <c r="W150" s="86">
        <f t="shared" si="55"/>
        <v>1.4692633682829026E-3</v>
      </c>
      <c r="X150" s="86">
        <f t="shared" si="78"/>
        <v>1.0000001798946092</v>
      </c>
      <c r="Y150" s="83">
        <f t="shared" si="79"/>
        <v>97.000000000000185</v>
      </c>
      <c r="Z150" s="82">
        <f t="shared" si="80"/>
        <v>1.1397000015522092</v>
      </c>
      <c r="AA150" s="86">
        <f t="shared" si="59"/>
        <v>3.1183797745386022</v>
      </c>
      <c r="AB150" s="86">
        <f t="shared" si="60"/>
        <v>-2.3212879051190977E-2</v>
      </c>
      <c r="AC150" s="82">
        <f t="shared" si="81"/>
        <v>-3.1183797745386022</v>
      </c>
      <c r="AD150" s="84">
        <f t="shared" si="82"/>
        <v>10638.000000000005</v>
      </c>
      <c r="AE150" s="84">
        <f t="shared" si="83"/>
        <v>65.299999999994952</v>
      </c>
      <c r="AF150" s="84">
        <f t="shared" si="84"/>
        <v>181.32999999998088</v>
      </c>
      <c r="AG150" s="82"/>
      <c r="AH150" s="87">
        <f t="shared" ref="AH150:AH213" si="88">ABS(AD150-A150)</f>
        <v>5.4569682106375694E-12</v>
      </c>
      <c r="AI150" s="87">
        <f t="shared" ref="AI150:AI213" si="89">ABS(AE150-B150)</f>
        <v>5.0448534238967113E-12</v>
      </c>
      <c r="AJ150" s="87">
        <f t="shared" si="61"/>
        <v>1.9127810446661897E-11</v>
      </c>
    </row>
    <row r="151" spans="1:36" x14ac:dyDescent="0.2">
      <c r="A151" s="3">
        <v>10734</v>
      </c>
      <c r="B151" s="3">
        <v>65.290000000000006</v>
      </c>
      <c r="C151" s="3">
        <v>181.31</v>
      </c>
      <c r="D151" s="82"/>
      <c r="E151" s="82">
        <f t="shared" si="67"/>
        <v>1.1395254686270979</v>
      </c>
      <c r="F151" s="82">
        <f t="shared" si="68"/>
        <v>3.1644564667909187</v>
      </c>
      <c r="G151" s="82"/>
      <c r="H151" s="86">
        <f t="shared" si="69"/>
        <v>3.6197318094788322E-4</v>
      </c>
      <c r="I151" s="155">
        <f t="shared" ref="I151:I214" si="90">2*ASIN(SQRT( SIN((E151-E150)/2)^2 + SIN(E150)*SIN(E151)*SIN((F151-F150)/2)^2) )</f>
        <v>3.6197318115218025E-4</v>
      </c>
      <c r="J151" s="153">
        <f t="shared" ref="J151:J214" si="91">IF(LEFT(E$6,1)="m", 30*DEGREES(H151)/(A151-A150), 100*DEGREES(H151)/(A151-A150))</f>
        <v>6.4811048641371773E-3</v>
      </c>
      <c r="K151" s="86">
        <f t="shared" si="70"/>
        <v>1.0000000109187155</v>
      </c>
      <c r="L151" s="83">
        <f t="shared" si="71"/>
        <v>-87.19013940065804</v>
      </c>
      <c r="M151" s="83">
        <f t="shared" si="72"/>
        <v>-2.009072682803053</v>
      </c>
      <c r="N151" s="83">
        <f t="shared" si="73"/>
        <v>40.122850317769675</v>
      </c>
      <c r="O151" s="84">
        <f t="shared" si="74"/>
        <v>-3225.3328904238319</v>
      </c>
      <c r="P151" s="84">
        <f t="shared" si="75"/>
        <v>-764.03668509441309</v>
      </c>
      <c r="Q151" s="84">
        <f t="shared" si="76"/>
        <v>9004.0816725545665</v>
      </c>
      <c r="S151" s="83">
        <f t="shared" si="85"/>
        <v>-87.190139400658154</v>
      </c>
      <c r="T151" s="83">
        <f t="shared" si="86"/>
        <v>-2.0090726828030938</v>
      </c>
      <c r="U151" s="83">
        <f t="shared" si="87"/>
        <v>40.122850317769917</v>
      </c>
      <c r="V151" s="85">
        <f t="shared" si="77"/>
        <v>95.999999475901859</v>
      </c>
      <c r="W151" s="86">
        <f t="shared" ref="W151:W214" si="92">2*ACOS(MAX(-1,MIN(1, (S151*SIN(Z150)*COS(AC150) + T151*SIN(Z150)*SIN(AC150) + U151*COS(Z150))/V151)))</f>
        <v>3.6197318069275397E-4</v>
      </c>
      <c r="X151" s="86">
        <f t="shared" si="78"/>
        <v>1.0000000109187153</v>
      </c>
      <c r="Y151" s="83">
        <f t="shared" si="79"/>
        <v>96.000000000000185</v>
      </c>
      <c r="Z151" s="82">
        <f t="shared" si="80"/>
        <v>1.1395254686271818</v>
      </c>
      <c r="AA151" s="86">
        <f t="shared" ref="AA151:AA214" si="93">IF(Z151&lt;0.000001, 0, ACOS(MAX(-1,MIN(1, (S151/(0.5*Y151*X151) - SIN(Z150)*COS(AC150))/SIN(Z151)))))</f>
        <v>3.1187288403883615</v>
      </c>
      <c r="AB151" s="86">
        <f t="shared" ref="AB151:AB214" si="94">IF(Z151&lt;0.000001, 0, ASIN(MAX(-1,MIN(1, (T151/(0.5*Y151*X151) - SIN(Z150)*SIN(AC150))/SIN(Z151)))))</f>
        <v>-2.2863813201460151E-2</v>
      </c>
      <c r="AC151" s="82">
        <f t="shared" si="81"/>
        <v>-3.1187288403883615</v>
      </c>
      <c r="AD151" s="84">
        <f t="shared" si="82"/>
        <v>10734.000000000005</v>
      </c>
      <c r="AE151" s="84">
        <f t="shared" si="83"/>
        <v>65.290000000004824</v>
      </c>
      <c r="AF151" s="84">
        <f t="shared" si="84"/>
        <v>181.31000000001754</v>
      </c>
      <c r="AG151" s="82"/>
      <c r="AH151" s="87">
        <f t="shared" si="88"/>
        <v>5.4569682106375694E-12</v>
      </c>
      <c r="AI151" s="87">
        <f t="shared" si="89"/>
        <v>4.8174797484534793E-12</v>
      </c>
      <c r="AJ151" s="87">
        <f t="shared" ref="AJ151:AJ214" si="95">IF(B151=0, 0, ABS(AF151-C151))</f>
        <v>1.7536194718559273E-11</v>
      </c>
    </row>
    <row r="152" spans="1:36" x14ac:dyDescent="0.2">
      <c r="A152" s="3">
        <v>10831</v>
      </c>
      <c r="B152" s="3">
        <v>65.430000000000007</v>
      </c>
      <c r="C152" s="3">
        <v>181.25</v>
      </c>
      <c r="D152" s="82"/>
      <c r="E152" s="82">
        <f t="shared" si="67"/>
        <v>1.14196892957989</v>
      </c>
      <c r="F152" s="82">
        <f t="shared" si="68"/>
        <v>3.1634092692397222</v>
      </c>
      <c r="G152" s="82"/>
      <c r="H152" s="86">
        <f t="shared" si="69"/>
        <v>2.6223100648385955E-3</v>
      </c>
      <c r="I152" s="155">
        <f t="shared" si="90"/>
        <v>2.6223100648527877E-3</v>
      </c>
      <c r="J152" s="153">
        <f t="shared" si="91"/>
        <v>4.6468236893792411E-2</v>
      </c>
      <c r="K152" s="86">
        <f t="shared" si="70"/>
        <v>1.0000005730429005</v>
      </c>
      <c r="L152" s="83">
        <f t="shared" si="71"/>
        <v>-88.145663604842312</v>
      </c>
      <c r="M152" s="83">
        <f t="shared" si="72"/>
        <v>-1.9694948130725534</v>
      </c>
      <c r="N152" s="83">
        <f t="shared" si="73"/>
        <v>40.440792352370543</v>
      </c>
      <c r="O152" s="84">
        <f t="shared" si="74"/>
        <v>-3313.4785540286744</v>
      </c>
      <c r="P152" s="84">
        <f t="shared" si="75"/>
        <v>-766.0061799074856</v>
      </c>
      <c r="Q152" s="84">
        <f t="shared" si="76"/>
        <v>9044.5224649069369</v>
      </c>
      <c r="S152" s="83">
        <f t="shared" si="85"/>
        <v>-88.145663604842412</v>
      </c>
      <c r="T152" s="83">
        <f t="shared" si="86"/>
        <v>-1.9694948130725152</v>
      </c>
      <c r="U152" s="83">
        <f t="shared" si="87"/>
        <v>40.440792352370408</v>
      </c>
      <c r="V152" s="85">
        <f t="shared" si="77"/>
        <v>96.999972207440862</v>
      </c>
      <c r="W152" s="86">
        <f t="shared" si="92"/>
        <v>2.6223100650106801E-3</v>
      </c>
      <c r="X152" s="86">
        <f t="shared" si="78"/>
        <v>1.0000005730429005</v>
      </c>
      <c r="Y152" s="83">
        <f t="shared" si="79"/>
        <v>97.000000000000028</v>
      </c>
      <c r="Z152" s="82">
        <f t="shared" si="80"/>
        <v>1.1419689295798094</v>
      </c>
      <c r="AA152" s="86">
        <f t="shared" si="93"/>
        <v>3.1197760379401664</v>
      </c>
      <c r="AB152" s="86">
        <f t="shared" si="94"/>
        <v>-2.1816615649622142E-2</v>
      </c>
      <c r="AC152" s="82">
        <f t="shared" si="81"/>
        <v>-3.1197760379401664</v>
      </c>
      <c r="AD152" s="84">
        <f t="shared" si="82"/>
        <v>10831.000000000005</v>
      </c>
      <c r="AE152" s="84">
        <f t="shared" si="83"/>
        <v>65.429999999995403</v>
      </c>
      <c r="AF152" s="84">
        <f t="shared" si="84"/>
        <v>181.24999999998266</v>
      </c>
      <c r="AG152" s="82"/>
      <c r="AH152" s="87">
        <f t="shared" si="88"/>
        <v>5.4569682106375694E-12</v>
      </c>
      <c r="AI152" s="87">
        <f t="shared" si="89"/>
        <v>4.6043169277254492E-12</v>
      </c>
      <c r="AJ152" s="87">
        <f t="shared" si="95"/>
        <v>1.7337242752546445E-11</v>
      </c>
    </row>
    <row r="153" spans="1:36" x14ac:dyDescent="0.2">
      <c r="A153" s="3">
        <v>10928</v>
      </c>
      <c r="B153" s="3">
        <v>65.39</v>
      </c>
      <c r="C153" s="3">
        <v>181.14</v>
      </c>
      <c r="D153" s="82"/>
      <c r="E153" s="82">
        <f t="shared" si="67"/>
        <v>1.1412707978790921</v>
      </c>
      <c r="F153" s="82">
        <f t="shared" si="68"/>
        <v>3.1614894070625281</v>
      </c>
      <c r="G153" s="82"/>
      <c r="H153" s="86">
        <f t="shared" si="69"/>
        <v>1.8801653541826724E-3</v>
      </c>
      <c r="I153" s="155">
        <f t="shared" si="90"/>
        <v>1.8801653541986344E-3</v>
      </c>
      <c r="J153" s="153">
        <f t="shared" si="91"/>
        <v>3.3317177190119604E-2</v>
      </c>
      <c r="K153" s="86">
        <f t="shared" si="70"/>
        <v>1.0000002945852509</v>
      </c>
      <c r="L153" s="83">
        <f t="shared" si="71"/>
        <v>-88.183744931545078</v>
      </c>
      <c r="M153" s="83">
        <f t="shared" si="72"/>
        <v>-1.8395008136841529</v>
      </c>
      <c r="N153" s="83">
        <f t="shared" si="73"/>
        <v>40.363852576944851</v>
      </c>
      <c r="O153" s="84">
        <f t="shared" si="74"/>
        <v>-3401.6622989602192</v>
      </c>
      <c r="P153" s="84">
        <f t="shared" si="75"/>
        <v>-767.84568072116974</v>
      </c>
      <c r="Q153" s="84">
        <f t="shared" si="76"/>
        <v>9084.8863174838825</v>
      </c>
      <c r="S153" s="83">
        <f t="shared" si="85"/>
        <v>-88.183744931544879</v>
      </c>
      <c r="T153" s="83">
        <f t="shared" si="86"/>
        <v>-1.8395008136841398</v>
      </c>
      <c r="U153" s="83">
        <f t="shared" si="87"/>
        <v>40.363852576945646</v>
      </c>
      <c r="V153" s="85">
        <f t="shared" si="77"/>
        <v>96.999985712621182</v>
      </c>
      <c r="W153" s="86">
        <f t="shared" si="92"/>
        <v>1.8801653536857366E-3</v>
      </c>
      <c r="X153" s="86">
        <f t="shared" si="78"/>
        <v>1.0000002945852506</v>
      </c>
      <c r="Y153" s="83">
        <f t="shared" si="79"/>
        <v>97.000000000000156</v>
      </c>
      <c r="Z153" s="82">
        <f t="shared" si="80"/>
        <v>1.1412707978791561</v>
      </c>
      <c r="AA153" s="86">
        <f t="shared" si="93"/>
        <v>3.1216959001167299</v>
      </c>
      <c r="AB153" s="86">
        <f t="shared" si="94"/>
        <v>-1.9896753473037012E-2</v>
      </c>
      <c r="AC153" s="82">
        <f t="shared" si="81"/>
        <v>-3.1216959001167299</v>
      </c>
      <c r="AD153" s="84">
        <f t="shared" si="82"/>
        <v>10928.000000000005</v>
      </c>
      <c r="AE153" s="84">
        <f t="shared" si="83"/>
        <v>65.390000000003667</v>
      </c>
      <c r="AF153" s="84">
        <f t="shared" si="84"/>
        <v>181.14000000001877</v>
      </c>
      <c r="AG153" s="82"/>
      <c r="AH153" s="87">
        <f t="shared" si="88"/>
        <v>5.4569682106375694E-12</v>
      </c>
      <c r="AI153" s="87">
        <f t="shared" si="89"/>
        <v>3.666400516522117E-12</v>
      </c>
      <c r="AJ153" s="87">
        <f t="shared" si="95"/>
        <v>1.8786749933497049E-11</v>
      </c>
    </row>
    <row r="154" spans="1:36" x14ac:dyDescent="0.2">
      <c r="A154" s="3">
        <v>11058</v>
      </c>
      <c r="B154" s="3">
        <v>63.67</v>
      </c>
      <c r="C154" s="3">
        <v>177.78</v>
      </c>
      <c r="D154" s="82"/>
      <c r="E154" s="82">
        <f t="shared" si="67"/>
        <v>1.1112511347447898</v>
      </c>
      <c r="F154" s="82">
        <f t="shared" si="68"/>
        <v>3.1028463441955192</v>
      </c>
      <c r="G154" s="82"/>
      <c r="H154" s="86">
        <f t="shared" si="69"/>
        <v>6.0858032634391934E-2</v>
      </c>
      <c r="I154" s="155">
        <f t="shared" si="90"/>
        <v>6.0858032634392822E-2</v>
      </c>
      <c r="J154" s="153">
        <f t="shared" si="91"/>
        <v>0.80467117371232821</v>
      </c>
      <c r="K154" s="86">
        <f t="shared" si="70"/>
        <v>1.000308756032491</v>
      </c>
      <c r="L154" s="83">
        <f t="shared" si="71"/>
        <v>-117.33294910951822</v>
      </c>
      <c r="M154" s="83">
        <f t="shared" si="72"/>
        <v>1.0812610789972574</v>
      </c>
      <c r="N154" s="83">
        <f t="shared" si="73"/>
        <v>55.915959504391623</v>
      </c>
      <c r="O154" s="84">
        <f t="shared" si="74"/>
        <v>-3518.9952480697375</v>
      </c>
      <c r="P154" s="84">
        <f t="shared" si="75"/>
        <v>-766.76441964217247</v>
      </c>
      <c r="Q154" s="84">
        <f t="shared" si="76"/>
        <v>9140.8022769882737</v>
      </c>
      <c r="S154" s="83">
        <f t="shared" si="85"/>
        <v>-117.33294910951827</v>
      </c>
      <c r="T154" s="83">
        <f t="shared" si="86"/>
        <v>1.0812610789972723</v>
      </c>
      <c r="U154" s="83">
        <f t="shared" si="87"/>
        <v>55.915959504391139</v>
      </c>
      <c r="V154" s="85">
        <f t="shared" si="77"/>
        <v>129.97993921969061</v>
      </c>
      <c r="W154" s="86">
        <f t="shared" si="92"/>
        <v>6.0858032634952153E-2</v>
      </c>
      <c r="X154" s="86">
        <f t="shared" si="78"/>
        <v>1.0003087560324966</v>
      </c>
      <c r="Y154" s="83">
        <f t="shared" si="79"/>
        <v>130.00000000000023</v>
      </c>
      <c r="Z154" s="82">
        <f t="shared" si="80"/>
        <v>1.11125113474474</v>
      </c>
      <c r="AA154" s="86">
        <f t="shared" si="93"/>
        <v>3.1028463441952043</v>
      </c>
      <c r="AB154" s="86">
        <f t="shared" si="94"/>
        <v>3.874630939460906E-2</v>
      </c>
      <c r="AC154" s="82">
        <f t="shared" si="81"/>
        <v>3.1028463441952043</v>
      </c>
      <c r="AD154" s="84">
        <f t="shared" si="82"/>
        <v>11058.000000000005</v>
      </c>
      <c r="AE154" s="84">
        <f t="shared" si="83"/>
        <v>63.66999999999716</v>
      </c>
      <c r="AF154" s="84">
        <f t="shared" si="84"/>
        <v>177.77999999998198</v>
      </c>
      <c r="AG154" s="82"/>
      <c r="AH154" s="87">
        <f t="shared" si="88"/>
        <v>5.4569682106375694E-12</v>
      </c>
      <c r="AI154" s="87">
        <f t="shared" si="89"/>
        <v>2.8421709430404007E-12</v>
      </c>
      <c r="AJ154" s="87">
        <f t="shared" si="95"/>
        <v>1.8019363778876141E-11</v>
      </c>
    </row>
    <row r="155" spans="1:36" x14ac:dyDescent="0.2">
      <c r="A155" s="3">
        <v>11156</v>
      </c>
      <c r="B155" s="3">
        <v>62.87</v>
      </c>
      <c r="C155" s="3">
        <v>177.33</v>
      </c>
      <c r="D155" s="82"/>
      <c r="E155" s="82">
        <f t="shared" si="67"/>
        <v>1.0972885007288349</v>
      </c>
      <c r="F155" s="82">
        <f t="shared" si="68"/>
        <v>3.0949923625615448</v>
      </c>
      <c r="G155" s="82"/>
      <c r="H155" s="86">
        <f t="shared" si="69"/>
        <v>1.5625598799990703E-2</v>
      </c>
      <c r="I155" s="155">
        <f t="shared" si="90"/>
        <v>1.5625598799990002E-2</v>
      </c>
      <c r="J155" s="153">
        <f t="shared" si="91"/>
        <v>0.27406557049106661</v>
      </c>
      <c r="K155" s="86">
        <f t="shared" si="70"/>
        <v>1.000020347108282</v>
      </c>
      <c r="L155" s="83">
        <f t="shared" si="71"/>
        <v>-87.446671799450158</v>
      </c>
      <c r="M155" s="83">
        <f t="shared" si="72"/>
        <v>3.7326952804594815</v>
      </c>
      <c r="N155" s="83">
        <f t="shared" si="73"/>
        <v>44.078919790259249</v>
      </c>
      <c r="O155" s="84">
        <f t="shared" si="74"/>
        <v>-3606.4419198691876</v>
      </c>
      <c r="P155" s="84">
        <f t="shared" si="75"/>
        <v>-763.03172436171303</v>
      </c>
      <c r="Q155" s="84">
        <f t="shared" si="76"/>
        <v>9184.8811967785332</v>
      </c>
      <c r="S155" s="83">
        <f t="shared" si="85"/>
        <v>-87.446671799450087</v>
      </c>
      <c r="T155" s="83">
        <f t="shared" si="86"/>
        <v>3.7326952804594384</v>
      </c>
      <c r="U155" s="83">
        <f t="shared" si="87"/>
        <v>44.078919790259533</v>
      </c>
      <c r="V155" s="85">
        <f t="shared" si="77"/>
        <v>97.999003019079936</v>
      </c>
      <c r="W155" s="86">
        <f t="shared" si="92"/>
        <v>1.5625598799633433E-2</v>
      </c>
      <c r="X155" s="86">
        <f t="shared" si="78"/>
        <v>1.0000203471082811</v>
      </c>
      <c r="Y155" s="83">
        <f t="shared" si="79"/>
        <v>98.000000000000028</v>
      </c>
      <c r="Z155" s="82">
        <f t="shared" si="80"/>
        <v>1.0972885007288777</v>
      </c>
      <c r="AA155" s="86">
        <f t="shared" si="93"/>
        <v>3.0949923625618605</v>
      </c>
      <c r="AB155" s="86">
        <f t="shared" si="94"/>
        <v>4.6600291027930292E-2</v>
      </c>
      <c r="AC155" s="82">
        <f t="shared" si="81"/>
        <v>3.0949923625618605</v>
      </c>
      <c r="AD155" s="84">
        <f t="shared" si="82"/>
        <v>11156.000000000005</v>
      </c>
      <c r="AE155" s="84">
        <f t="shared" si="83"/>
        <v>62.870000000002449</v>
      </c>
      <c r="AF155" s="84">
        <f t="shared" si="84"/>
        <v>177.33000000001812</v>
      </c>
      <c r="AG155" s="82"/>
      <c r="AH155" s="87">
        <f t="shared" si="88"/>
        <v>5.4569682106375694E-12</v>
      </c>
      <c r="AI155" s="87">
        <f t="shared" si="89"/>
        <v>2.4513724383723456E-12</v>
      </c>
      <c r="AJ155" s="87">
        <f t="shared" si="95"/>
        <v>1.8104628907167353E-11</v>
      </c>
    </row>
    <row r="156" spans="1:36" x14ac:dyDescent="0.2">
      <c r="A156" s="3">
        <v>11250</v>
      </c>
      <c r="B156" s="3">
        <v>63.65</v>
      </c>
      <c r="C156" s="3">
        <v>178.4</v>
      </c>
      <c r="D156" s="82"/>
      <c r="E156" s="82">
        <f t="shared" si="67"/>
        <v>1.1109020688943907</v>
      </c>
      <c r="F156" s="82">
        <f t="shared" si="68"/>
        <v>3.1136673855578838</v>
      </c>
      <c r="G156" s="82"/>
      <c r="H156" s="86">
        <f t="shared" si="69"/>
        <v>2.1528384802153466E-2</v>
      </c>
      <c r="I156" s="155">
        <f t="shared" si="90"/>
        <v>2.1528384802155562E-2</v>
      </c>
      <c r="J156" s="153">
        <f t="shared" si="91"/>
        <v>0.39366561347775875</v>
      </c>
      <c r="K156" s="86">
        <f t="shared" si="70"/>
        <v>1.0000386244028139</v>
      </c>
      <c r="L156" s="83">
        <f t="shared" si="71"/>
        <v>-83.886869118769525</v>
      </c>
      <c r="M156" s="83">
        <f t="shared" si="72"/>
        <v>3.1246153903171678</v>
      </c>
      <c r="N156" s="83">
        <f t="shared" si="73"/>
        <v>42.295256282231072</v>
      </c>
      <c r="O156" s="84">
        <f t="shared" si="74"/>
        <v>-3690.3287889879571</v>
      </c>
      <c r="P156" s="84">
        <f t="shared" si="75"/>
        <v>-759.90710897139581</v>
      </c>
      <c r="Q156" s="84">
        <f t="shared" si="76"/>
        <v>9227.1764530607634</v>
      </c>
      <c r="S156" s="83">
        <f t="shared" si="85"/>
        <v>-83.886869118769482</v>
      </c>
      <c r="T156" s="83">
        <f t="shared" si="86"/>
        <v>3.1246153903172171</v>
      </c>
      <c r="U156" s="83">
        <f t="shared" si="87"/>
        <v>42.295256282230184</v>
      </c>
      <c r="V156" s="85">
        <f t="shared" si="77"/>
        <v>93.998184747719989</v>
      </c>
      <c r="W156" s="86">
        <f t="shared" si="92"/>
        <v>2.1528384801652312E-2</v>
      </c>
      <c r="X156" s="86">
        <f t="shared" si="78"/>
        <v>1.0000386244028121</v>
      </c>
      <c r="Y156" s="83">
        <f t="shared" si="79"/>
        <v>93.999999999999474</v>
      </c>
      <c r="Z156" s="82">
        <f t="shared" si="80"/>
        <v>1.110902068894362</v>
      </c>
      <c r="AA156" s="86">
        <f t="shared" si="93"/>
        <v>3.1136673855575929</v>
      </c>
      <c r="AB156" s="86">
        <f t="shared" si="94"/>
        <v>2.7925268032223911E-2</v>
      </c>
      <c r="AC156" s="82">
        <f t="shared" si="81"/>
        <v>3.1136673855575929</v>
      </c>
      <c r="AD156" s="84">
        <f t="shared" si="82"/>
        <v>11250.000000000005</v>
      </c>
      <c r="AE156" s="84">
        <f t="shared" si="83"/>
        <v>63.649999999998357</v>
      </c>
      <c r="AF156" s="84">
        <f t="shared" si="84"/>
        <v>178.39999999998332</v>
      </c>
      <c r="AG156" s="82"/>
      <c r="AH156" s="87">
        <f t="shared" si="88"/>
        <v>5.4569682106375694E-12</v>
      </c>
      <c r="AI156" s="87">
        <f t="shared" si="89"/>
        <v>1.6413537196058314E-12</v>
      </c>
      <c r="AJ156" s="87">
        <f t="shared" si="95"/>
        <v>1.6683543435647152E-11</v>
      </c>
    </row>
    <row r="157" spans="1:36" x14ac:dyDescent="0.2">
      <c r="A157" s="3">
        <v>11346</v>
      </c>
      <c r="B157" s="3">
        <v>63.59</v>
      </c>
      <c r="C157" s="3">
        <v>179.24</v>
      </c>
      <c r="D157" s="82"/>
      <c r="E157" s="82">
        <f t="shared" si="67"/>
        <v>1.1098548713431942</v>
      </c>
      <c r="F157" s="82">
        <f t="shared" si="68"/>
        <v>3.1283281512746366</v>
      </c>
      <c r="G157" s="82"/>
      <c r="H157" s="86">
        <f t="shared" si="69"/>
        <v>1.3175751768146782E-2</v>
      </c>
      <c r="I157" s="155">
        <f t="shared" si="90"/>
        <v>1.3175751768142448E-2</v>
      </c>
      <c r="J157" s="153">
        <f t="shared" si="91"/>
        <v>0.2359109275708883</v>
      </c>
      <c r="K157" s="86">
        <f t="shared" si="70"/>
        <v>1.000014466954035</v>
      </c>
      <c r="L157" s="83">
        <f t="shared" si="71"/>
        <v>-85.983903732256337</v>
      </c>
      <c r="M157" s="83">
        <f t="shared" si="72"/>
        <v>1.771242784870025</v>
      </c>
      <c r="N157" s="83">
        <f t="shared" si="73"/>
        <v>42.655570252861622</v>
      </c>
      <c r="O157" s="84">
        <f t="shared" si="74"/>
        <v>-3776.3126927202134</v>
      </c>
      <c r="P157" s="84">
        <f t="shared" si="75"/>
        <v>-758.13586618652585</v>
      </c>
      <c r="Q157" s="84">
        <f t="shared" si="76"/>
        <v>9269.8320233136255</v>
      </c>
      <c r="S157" s="83">
        <f t="shared" si="85"/>
        <v>-85.983903732256294</v>
      </c>
      <c r="T157" s="83">
        <f t="shared" si="86"/>
        <v>1.771242784869969</v>
      </c>
      <c r="U157" s="83">
        <f t="shared" si="87"/>
        <v>42.655570252862162</v>
      </c>
      <c r="V157" s="85">
        <f t="shared" si="77"/>
        <v>95.999305599768434</v>
      </c>
      <c r="W157" s="86">
        <f t="shared" si="92"/>
        <v>1.3175751768641941E-2</v>
      </c>
      <c r="X157" s="86">
        <f t="shared" si="78"/>
        <v>1.0000144669540361</v>
      </c>
      <c r="Y157" s="83">
        <f t="shared" si="79"/>
        <v>96.000000000000256</v>
      </c>
      <c r="Z157" s="82">
        <f t="shared" si="80"/>
        <v>1.1098548713432137</v>
      </c>
      <c r="AA157" s="86">
        <f t="shared" si="93"/>
        <v>3.128328151274959</v>
      </c>
      <c r="AB157" s="86">
        <f t="shared" si="94"/>
        <v>1.326450231486451E-2</v>
      </c>
      <c r="AC157" s="82">
        <f t="shared" si="81"/>
        <v>3.128328151274959</v>
      </c>
      <c r="AD157" s="84">
        <f t="shared" si="82"/>
        <v>11346.000000000005</v>
      </c>
      <c r="AE157" s="84">
        <f t="shared" si="83"/>
        <v>63.590000000001119</v>
      </c>
      <c r="AF157" s="84">
        <f t="shared" si="84"/>
        <v>179.24000000001848</v>
      </c>
      <c r="AG157" s="82"/>
      <c r="AH157" s="87">
        <f t="shared" si="88"/>
        <v>5.4569682106375694E-12</v>
      </c>
      <c r="AI157" s="87">
        <f t="shared" si="89"/>
        <v>1.1155520951433573E-12</v>
      </c>
      <c r="AJ157" s="87">
        <f t="shared" si="95"/>
        <v>1.8474111129762605E-11</v>
      </c>
    </row>
    <row r="158" spans="1:36" x14ac:dyDescent="0.2">
      <c r="A158" s="3">
        <v>11443</v>
      </c>
      <c r="B158" s="3">
        <v>63.59</v>
      </c>
      <c r="C158" s="3">
        <v>180.25</v>
      </c>
      <c r="D158" s="82"/>
      <c r="E158" s="82">
        <f t="shared" si="67"/>
        <v>1.1098548713431942</v>
      </c>
      <c r="F158" s="82">
        <f t="shared" si="68"/>
        <v>3.1459559767197791</v>
      </c>
      <c r="G158" s="82"/>
      <c r="H158" s="86">
        <f t="shared" si="69"/>
        <v>1.5788041895010041E-2</v>
      </c>
      <c r="I158" s="155">
        <f t="shared" si="90"/>
        <v>1.5788041895007973E-2</v>
      </c>
      <c r="J158" s="153">
        <f t="shared" si="91"/>
        <v>0.27976953629684592</v>
      </c>
      <c r="K158" s="86">
        <f t="shared" si="70"/>
        <v>1.0000207723733503</v>
      </c>
      <c r="L158" s="83">
        <f t="shared" si="71"/>
        <v>-86.874081565163621</v>
      </c>
      <c r="M158" s="83">
        <f t="shared" si="72"/>
        <v>0.38664343612791591</v>
      </c>
      <c r="N158" s="83">
        <f t="shared" si="73"/>
        <v>43.145672069135543</v>
      </c>
      <c r="O158" s="84">
        <f t="shared" si="74"/>
        <v>-3863.1867742853769</v>
      </c>
      <c r="P158" s="84">
        <f t="shared" si="75"/>
        <v>-757.74922275039796</v>
      </c>
      <c r="Q158" s="84">
        <f t="shared" si="76"/>
        <v>9312.9776953827604</v>
      </c>
      <c r="S158" s="83">
        <f t="shared" si="85"/>
        <v>-86.874081565163578</v>
      </c>
      <c r="T158" s="83">
        <f t="shared" si="86"/>
        <v>0.38664343612788343</v>
      </c>
      <c r="U158" s="83">
        <f t="shared" si="87"/>
        <v>43.145672069134889</v>
      </c>
      <c r="V158" s="85">
        <f t="shared" si="77"/>
        <v>96.998992568143308</v>
      </c>
      <c r="W158" s="86">
        <f t="shared" si="92"/>
        <v>1.5788041894420068E-2</v>
      </c>
      <c r="X158" s="86">
        <f t="shared" si="78"/>
        <v>1.0000207723733487</v>
      </c>
      <c r="Y158" s="83">
        <f t="shared" si="79"/>
        <v>96.999999999999588</v>
      </c>
      <c r="Z158" s="82">
        <f t="shared" si="80"/>
        <v>1.1098548713431839</v>
      </c>
      <c r="AA158" s="86">
        <f t="shared" si="93"/>
        <v>3.1372293304601646</v>
      </c>
      <c r="AB158" s="86">
        <f t="shared" si="94"/>
        <v>-4.363323129664338E-3</v>
      </c>
      <c r="AC158" s="82">
        <f t="shared" si="81"/>
        <v>-3.1372293304601646</v>
      </c>
      <c r="AD158" s="84">
        <f t="shared" si="82"/>
        <v>11443.000000000005</v>
      </c>
      <c r="AE158" s="84">
        <f t="shared" si="83"/>
        <v>63.589999999999414</v>
      </c>
      <c r="AF158" s="84">
        <f t="shared" si="84"/>
        <v>180.24999999997954</v>
      </c>
      <c r="AG158" s="82"/>
      <c r="AH158" s="87">
        <f t="shared" si="88"/>
        <v>5.4569682106375694E-12</v>
      </c>
      <c r="AI158" s="87">
        <f t="shared" si="89"/>
        <v>5.8975047068088315E-13</v>
      </c>
      <c r="AJ158" s="87">
        <f t="shared" si="95"/>
        <v>2.0463630789890885E-11</v>
      </c>
    </row>
    <row r="159" spans="1:36" x14ac:dyDescent="0.2">
      <c r="A159" s="3">
        <v>11539</v>
      </c>
      <c r="B159" s="3">
        <v>63.58</v>
      </c>
      <c r="C159" s="3">
        <v>180.94</v>
      </c>
      <c r="D159" s="82"/>
      <c r="E159" s="82">
        <f t="shared" si="67"/>
        <v>1.1096803384179947</v>
      </c>
      <c r="F159" s="82">
        <f t="shared" si="68"/>
        <v>3.1579987485585397</v>
      </c>
      <c r="G159" s="82"/>
      <c r="H159" s="86">
        <f t="shared" si="69"/>
        <v>1.0786849305648216E-2</v>
      </c>
      <c r="I159" s="155">
        <f t="shared" si="90"/>
        <v>1.0786849305652338E-2</v>
      </c>
      <c r="J159" s="153">
        <f t="shared" si="91"/>
        <v>0.19313779358039543</v>
      </c>
      <c r="K159" s="86">
        <f t="shared" si="70"/>
        <v>1.0000096964559861</v>
      </c>
      <c r="L159" s="83">
        <f t="shared" si="71"/>
        <v>-85.971790162760385</v>
      </c>
      <c r="M159" s="83">
        <f t="shared" si="72"/>
        <v>-0.89280167964061807</v>
      </c>
      <c r="N159" s="83">
        <f t="shared" si="73"/>
        <v>42.707901379242919</v>
      </c>
      <c r="O159" s="84">
        <f t="shared" si="74"/>
        <v>-3949.1585644481374</v>
      </c>
      <c r="P159" s="84">
        <f t="shared" si="75"/>
        <v>-758.64202443003853</v>
      </c>
      <c r="Q159" s="84">
        <f t="shared" si="76"/>
        <v>9355.6855967620031</v>
      </c>
      <c r="S159" s="83">
        <f t="shared" si="85"/>
        <v>-85.971790162760499</v>
      </c>
      <c r="T159" s="83">
        <f t="shared" si="86"/>
        <v>-0.89280167964057</v>
      </c>
      <c r="U159" s="83">
        <f t="shared" si="87"/>
        <v>42.707901379242685</v>
      </c>
      <c r="V159" s="85">
        <f t="shared" si="77"/>
        <v>95.999534576205178</v>
      </c>
      <c r="W159" s="86">
        <f t="shared" si="92"/>
        <v>1.0786849306329671E-2</v>
      </c>
      <c r="X159" s="86">
        <f t="shared" si="78"/>
        <v>1.0000096964559873</v>
      </c>
      <c r="Y159" s="83">
        <f t="shared" si="79"/>
        <v>96.000000000000085</v>
      </c>
      <c r="Z159" s="82">
        <f t="shared" si="80"/>
        <v>1.1096803384180123</v>
      </c>
      <c r="AA159" s="86">
        <f t="shared" si="93"/>
        <v>3.1251865586206655</v>
      </c>
      <c r="AB159" s="86">
        <f t="shared" si="94"/>
        <v>-1.6406094969102485E-2</v>
      </c>
      <c r="AC159" s="82">
        <f t="shared" si="81"/>
        <v>-3.1251865586206655</v>
      </c>
      <c r="AD159" s="84">
        <f t="shared" si="82"/>
        <v>11539.000000000005</v>
      </c>
      <c r="AE159" s="84">
        <f t="shared" si="83"/>
        <v>63.580000000001007</v>
      </c>
      <c r="AF159" s="84">
        <f t="shared" si="84"/>
        <v>180.94000000002183</v>
      </c>
      <c r="AG159" s="82"/>
      <c r="AH159" s="87">
        <f t="shared" si="88"/>
        <v>5.4569682106375694E-12</v>
      </c>
      <c r="AI159" s="87">
        <f t="shared" si="89"/>
        <v>1.0089706847793423E-12</v>
      </c>
      <c r="AJ159" s="87">
        <f t="shared" si="95"/>
        <v>2.1827872842550278E-11</v>
      </c>
    </row>
    <row r="160" spans="1:36" x14ac:dyDescent="0.2">
      <c r="A160" s="3">
        <v>11635</v>
      </c>
      <c r="B160" s="3">
        <v>63.76</v>
      </c>
      <c r="C160" s="3">
        <v>181.62</v>
      </c>
      <c r="D160" s="82"/>
      <c r="E160" s="82">
        <f t="shared" si="67"/>
        <v>1.1128219310715846</v>
      </c>
      <c r="F160" s="82">
        <f t="shared" si="68"/>
        <v>3.1698669874721013</v>
      </c>
      <c r="G160" s="82"/>
      <c r="H160" s="86">
        <f t="shared" si="69"/>
        <v>1.1091172488408407E-2</v>
      </c>
      <c r="I160" s="155">
        <f t="shared" si="90"/>
        <v>1.1091172488412217E-2</v>
      </c>
      <c r="J160" s="153">
        <f t="shared" si="91"/>
        <v>0.19858667919919148</v>
      </c>
      <c r="K160" s="86">
        <f t="shared" si="70"/>
        <v>1.0000102513017026</v>
      </c>
      <c r="L160" s="83">
        <f t="shared" si="71"/>
        <v>-86.018196760779873</v>
      </c>
      <c r="M160" s="83">
        <f t="shared" si="72"/>
        <v>-1.9223817157489864</v>
      </c>
      <c r="N160" s="83">
        <f t="shared" si="73"/>
        <v>42.580274777363698</v>
      </c>
      <c r="O160" s="84">
        <f t="shared" si="74"/>
        <v>-4035.1767612089175</v>
      </c>
      <c r="P160" s="84">
        <f t="shared" si="75"/>
        <v>-760.56440614578753</v>
      </c>
      <c r="Q160" s="84">
        <f t="shared" si="76"/>
        <v>9398.2658715393663</v>
      </c>
      <c r="S160" s="83">
        <f t="shared" si="85"/>
        <v>-86.018196760780029</v>
      </c>
      <c r="T160" s="83">
        <f t="shared" si="86"/>
        <v>-1.9223817157489975</v>
      </c>
      <c r="U160" s="83">
        <f t="shared" si="87"/>
        <v>42.580274777363229</v>
      </c>
      <c r="V160" s="85">
        <f t="shared" si="77"/>
        <v>95.999507944327874</v>
      </c>
      <c r="W160" s="86">
        <f t="shared" si="92"/>
        <v>1.1091172487777801E-2</v>
      </c>
      <c r="X160" s="86">
        <f t="shared" si="78"/>
        <v>1.0000102513017015</v>
      </c>
      <c r="Y160" s="83">
        <f t="shared" si="79"/>
        <v>95.999999999999858</v>
      </c>
      <c r="Z160" s="82">
        <f t="shared" si="80"/>
        <v>1.1128219310715752</v>
      </c>
      <c r="AA160" s="86">
        <f t="shared" si="93"/>
        <v>3.113318319707874</v>
      </c>
      <c r="AB160" s="86">
        <f t="shared" si="94"/>
        <v>-2.8274333881927613E-2</v>
      </c>
      <c r="AC160" s="82">
        <f t="shared" si="81"/>
        <v>-3.113318319707874</v>
      </c>
      <c r="AD160" s="84">
        <f t="shared" si="82"/>
        <v>11635.000000000005</v>
      </c>
      <c r="AE160" s="84">
        <f t="shared" si="83"/>
        <v>63.759999999999472</v>
      </c>
      <c r="AF160" s="84">
        <f t="shared" si="84"/>
        <v>181.61999999997772</v>
      </c>
      <c r="AG160" s="82"/>
      <c r="AH160" s="87">
        <f t="shared" si="88"/>
        <v>5.4569682106375694E-12</v>
      </c>
      <c r="AI160" s="87">
        <f t="shared" si="89"/>
        <v>5.2580162446247414E-13</v>
      </c>
      <c r="AJ160" s="87">
        <f t="shared" si="95"/>
        <v>2.2282620193436742E-11</v>
      </c>
    </row>
    <row r="161" spans="1:36" x14ac:dyDescent="0.2">
      <c r="A161" s="3">
        <v>11730</v>
      </c>
      <c r="B161" s="3">
        <v>63.91</v>
      </c>
      <c r="C161" s="3">
        <v>181.79</v>
      </c>
      <c r="D161" s="82"/>
      <c r="E161" s="82">
        <f t="shared" si="67"/>
        <v>1.1154399249495759</v>
      </c>
      <c r="F161" s="82">
        <f t="shared" si="68"/>
        <v>3.1728340472004914</v>
      </c>
      <c r="G161" s="82"/>
      <c r="H161" s="86">
        <f t="shared" si="69"/>
        <v>3.7343745912903348E-3</v>
      </c>
      <c r="I161" s="155">
        <f t="shared" si="90"/>
        <v>3.7343745913178063E-3</v>
      </c>
      <c r="J161" s="153">
        <f t="shared" si="91"/>
        <v>6.7567548379524597E-2</v>
      </c>
      <c r="K161" s="86">
        <f t="shared" si="70"/>
        <v>1.0000011621310863</v>
      </c>
      <c r="L161" s="83">
        <f t="shared" si="71"/>
        <v>-85.227330931137033</v>
      </c>
      <c r="M161" s="83">
        <f t="shared" si="72"/>
        <v>-2.5370135747851581</v>
      </c>
      <c r="N161" s="83">
        <f t="shared" si="73"/>
        <v>41.890991111004439</v>
      </c>
      <c r="O161" s="84">
        <f t="shared" si="74"/>
        <v>-4120.4040921400547</v>
      </c>
      <c r="P161" s="84">
        <f t="shared" si="75"/>
        <v>-763.10141972057272</v>
      </c>
      <c r="Q161" s="84">
        <f t="shared" si="76"/>
        <v>9440.1568626503704</v>
      </c>
      <c r="S161" s="83">
        <f t="shared" si="85"/>
        <v>-85.227330931137203</v>
      </c>
      <c r="T161" s="83">
        <f t="shared" si="86"/>
        <v>-2.5370135747851918</v>
      </c>
      <c r="U161" s="83">
        <f t="shared" si="87"/>
        <v>41.890991111004041</v>
      </c>
      <c r="V161" s="85">
        <f t="shared" si="77"/>
        <v>94.999944798859957</v>
      </c>
      <c r="W161" s="86">
        <f t="shared" si="92"/>
        <v>3.7343745917719495E-3</v>
      </c>
      <c r="X161" s="86">
        <f t="shared" si="78"/>
        <v>1.0000011621310867</v>
      </c>
      <c r="Y161" s="83">
        <f t="shared" si="79"/>
        <v>94.999999999999972</v>
      </c>
      <c r="Z161" s="82">
        <f t="shared" si="80"/>
        <v>1.1154399249495945</v>
      </c>
      <c r="AA161" s="86">
        <f t="shared" si="93"/>
        <v>3.1103512599787138</v>
      </c>
      <c r="AB161" s="86">
        <f t="shared" si="94"/>
        <v>-3.1241393611087152E-2</v>
      </c>
      <c r="AC161" s="82">
        <f t="shared" si="81"/>
        <v>-3.1103512599787138</v>
      </c>
      <c r="AD161" s="84">
        <f t="shared" si="82"/>
        <v>11730.000000000005</v>
      </c>
      <c r="AE161" s="84">
        <f t="shared" si="83"/>
        <v>63.910000000001062</v>
      </c>
      <c r="AF161" s="84">
        <f t="shared" si="84"/>
        <v>181.79000000002182</v>
      </c>
      <c r="AG161" s="82"/>
      <c r="AH161" s="87">
        <f t="shared" si="88"/>
        <v>5.4569682106375694E-12</v>
      </c>
      <c r="AI161" s="87">
        <f t="shared" si="89"/>
        <v>1.0658141036401503E-12</v>
      </c>
      <c r="AJ161" s="87">
        <f t="shared" si="95"/>
        <v>2.1827872842550278E-11</v>
      </c>
    </row>
    <row r="162" spans="1:36" x14ac:dyDescent="0.2">
      <c r="A162" s="3">
        <v>11826</v>
      </c>
      <c r="B162" s="3">
        <v>64.38</v>
      </c>
      <c r="C162" s="3">
        <v>181.59</v>
      </c>
      <c r="D162" s="82"/>
      <c r="E162" s="82">
        <f t="shared" si="67"/>
        <v>1.1236429724339494</v>
      </c>
      <c r="F162" s="82">
        <f t="shared" si="68"/>
        <v>3.169343388696503</v>
      </c>
      <c r="G162" s="82"/>
      <c r="H162" s="86">
        <f t="shared" si="69"/>
        <v>8.7839236947286903E-3</v>
      </c>
      <c r="I162" s="155">
        <f t="shared" si="90"/>
        <v>8.7839236947241557E-3</v>
      </c>
      <c r="J162" s="153">
        <f t="shared" si="91"/>
        <v>0.15727554852278577</v>
      </c>
      <c r="K162" s="86">
        <f t="shared" si="70"/>
        <v>1.0000064298259004</v>
      </c>
      <c r="L162" s="83">
        <f t="shared" si="71"/>
        <v>-86.352582538612452</v>
      </c>
      <c r="M162" s="83">
        <f t="shared" si="72"/>
        <v>-2.5475004288567913</v>
      </c>
      <c r="N162" s="83">
        <f t="shared" si="73"/>
        <v>41.865050744161486</v>
      </c>
      <c r="O162" s="84">
        <f t="shared" si="74"/>
        <v>-4206.756674678667</v>
      </c>
      <c r="P162" s="84">
        <f t="shared" si="75"/>
        <v>-765.6489201494295</v>
      </c>
      <c r="Q162" s="84">
        <f t="shared" si="76"/>
        <v>9482.021913394532</v>
      </c>
      <c r="S162" s="83">
        <f t="shared" si="85"/>
        <v>-86.352582538612296</v>
      </c>
      <c r="T162" s="83">
        <f t="shared" si="86"/>
        <v>-2.5475004288567789</v>
      </c>
      <c r="U162" s="83">
        <f t="shared" si="87"/>
        <v>41.865050744161636</v>
      </c>
      <c r="V162" s="85">
        <f t="shared" si="77"/>
        <v>95.999691371035681</v>
      </c>
      <c r="W162" s="86">
        <f t="shared" si="92"/>
        <v>8.7839236949069921E-3</v>
      </c>
      <c r="X162" s="86">
        <f t="shared" si="78"/>
        <v>1.0000064298259006</v>
      </c>
      <c r="Y162" s="83">
        <f t="shared" si="79"/>
        <v>95.999999999999929</v>
      </c>
      <c r="Z162" s="82">
        <f t="shared" si="80"/>
        <v>1.123642972433927</v>
      </c>
      <c r="AA162" s="86">
        <f t="shared" si="93"/>
        <v>3.1138419184834856</v>
      </c>
      <c r="AB162" s="86">
        <f t="shared" si="94"/>
        <v>-2.7750735106329808E-2</v>
      </c>
      <c r="AC162" s="82">
        <f t="shared" si="81"/>
        <v>-3.1138419184834856</v>
      </c>
      <c r="AD162" s="84">
        <f t="shared" si="82"/>
        <v>11826.000000000005</v>
      </c>
      <c r="AE162" s="84">
        <f t="shared" si="83"/>
        <v>64.379999999998716</v>
      </c>
      <c r="AF162" s="84">
        <f t="shared" si="84"/>
        <v>181.58999999997695</v>
      </c>
      <c r="AG162" s="82"/>
      <c r="AH162" s="87">
        <f t="shared" si="88"/>
        <v>5.4569682106375694E-12</v>
      </c>
      <c r="AI162" s="87">
        <f t="shared" si="89"/>
        <v>1.2789769243681803E-12</v>
      </c>
      <c r="AJ162" s="87">
        <f t="shared" si="95"/>
        <v>2.305000634805765E-11</v>
      </c>
    </row>
    <row r="163" spans="1:36" x14ac:dyDescent="0.2">
      <c r="A163" s="3">
        <v>11923</v>
      </c>
      <c r="B163" s="3">
        <v>64.58</v>
      </c>
      <c r="C163" s="3">
        <v>181.39</v>
      </c>
      <c r="D163" s="82"/>
      <c r="E163" s="82">
        <f t="shared" si="67"/>
        <v>1.1271336309379381</v>
      </c>
      <c r="F163" s="82">
        <f t="shared" si="68"/>
        <v>3.1658527301925141</v>
      </c>
      <c r="G163" s="82"/>
      <c r="H163" s="86">
        <f t="shared" si="69"/>
        <v>4.7018888850745011E-3</v>
      </c>
      <c r="I163" s="155">
        <f t="shared" si="90"/>
        <v>4.7018888850797642E-3</v>
      </c>
      <c r="J163" s="153">
        <f t="shared" si="91"/>
        <v>8.3319089336363228E-2</v>
      </c>
      <c r="K163" s="86">
        <f t="shared" si="70"/>
        <v>1.0000018423173302</v>
      </c>
      <c r="L163" s="83">
        <f t="shared" si="71"/>
        <v>-87.506490501829148</v>
      </c>
      <c r="M163" s="83">
        <f t="shared" si="72"/>
        <v>-2.2760275872427163</v>
      </c>
      <c r="N163" s="83">
        <f t="shared" si="73"/>
        <v>41.790148171102835</v>
      </c>
      <c r="O163" s="84">
        <f t="shared" si="74"/>
        <v>-4294.2631651804959</v>
      </c>
      <c r="P163" s="84">
        <f t="shared" si="75"/>
        <v>-767.92494773667227</v>
      </c>
      <c r="Q163" s="84">
        <f t="shared" si="76"/>
        <v>9523.8120615656353</v>
      </c>
      <c r="S163" s="83">
        <f t="shared" si="85"/>
        <v>-87.506490501828921</v>
      </c>
      <c r="T163" s="83">
        <f t="shared" si="86"/>
        <v>-2.2760275872427655</v>
      </c>
      <c r="U163" s="83">
        <f t="shared" si="87"/>
        <v>41.790148171103283</v>
      </c>
      <c r="V163" s="85">
        <f t="shared" si="77"/>
        <v>96.999910647831697</v>
      </c>
      <c r="W163" s="86">
        <f t="shared" si="92"/>
        <v>4.701888884611094E-3</v>
      </c>
      <c r="X163" s="86">
        <f t="shared" si="78"/>
        <v>1.0000018423173298</v>
      </c>
      <c r="Y163" s="83">
        <f t="shared" si="79"/>
        <v>96.999999999999957</v>
      </c>
      <c r="Z163" s="82">
        <f t="shared" si="80"/>
        <v>1.1271336309379494</v>
      </c>
      <c r="AA163" s="86">
        <f t="shared" si="93"/>
        <v>3.1173325769866782</v>
      </c>
      <c r="AB163" s="86">
        <f t="shared" si="94"/>
        <v>-2.4260076603123622E-2</v>
      </c>
      <c r="AC163" s="82">
        <f t="shared" si="81"/>
        <v>-3.1173325769866782</v>
      </c>
      <c r="AD163" s="84">
        <f t="shared" si="82"/>
        <v>11923.000000000005</v>
      </c>
      <c r="AE163" s="84">
        <f t="shared" si="83"/>
        <v>64.580000000000652</v>
      </c>
      <c r="AF163" s="84">
        <f t="shared" si="84"/>
        <v>181.39000000002255</v>
      </c>
      <c r="AG163" s="82"/>
      <c r="AH163" s="87">
        <f t="shared" si="88"/>
        <v>5.4569682106375694E-12</v>
      </c>
      <c r="AI163" s="87">
        <f t="shared" si="89"/>
        <v>6.5369931689929217E-13</v>
      </c>
      <c r="AJ163" s="87">
        <f t="shared" si="95"/>
        <v>2.2566837287740782E-11</v>
      </c>
    </row>
    <row r="164" spans="1:36" x14ac:dyDescent="0.2">
      <c r="A164" s="3">
        <v>12020</v>
      </c>
      <c r="B164" s="3">
        <v>63.81</v>
      </c>
      <c r="C164" s="3">
        <v>181.82</v>
      </c>
      <c r="D164" s="82"/>
      <c r="E164" s="82">
        <f t="shared" si="67"/>
        <v>1.1136945956975817</v>
      </c>
      <c r="F164" s="82">
        <f t="shared" si="68"/>
        <v>3.1733576459760897</v>
      </c>
      <c r="G164" s="82"/>
      <c r="H164" s="86">
        <f t="shared" si="69"/>
        <v>1.5041847504048134E-2</v>
      </c>
      <c r="I164" s="155">
        <f t="shared" si="90"/>
        <v>1.5041847504048788E-2</v>
      </c>
      <c r="J164" s="153">
        <f t="shared" si="91"/>
        <v>0.2665467148643349</v>
      </c>
      <c r="K164" s="86">
        <f t="shared" si="70"/>
        <v>1.000018855191307</v>
      </c>
      <c r="L164" s="83">
        <f t="shared" si="71"/>
        <v>-87.292066050879015</v>
      </c>
      <c r="M164" s="83">
        <f t="shared" si="72"/>
        <v>-2.4448466961381206</v>
      </c>
      <c r="N164" s="83">
        <f t="shared" si="73"/>
        <v>42.224880414967544</v>
      </c>
      <c r="O164" s="84">
        <f t="shared" si="74"/>
        <v>-4381.5552312313748</v>
      </c>
      <c r="P164" s="84">
        <f t="shared" si="75"/>
        <v>-770.36979443281041</v>
      </c>
      <c r="Q164" s="84">
        <f t="shared" si="76"/>
        <v>9566.0369419806029</v>
      </c>
      <c r="S164" s="83">
        <f t="shared" si="85"/>
        <v>-87.29206605087893</v>
      </c>
      <c r="T164" s="83">
        <f t="shared" si="86"/>
        <v>-2.4448466961381428</v>
      </c>
      <c r="U164" s="83">
        <f t="shared" si="87"/>
        <v>42.224880414967629</v>
      </c>
      <c r="V164" s="85">
        <f t="shared" si="77"/>
        <v>96.999085546498549</v>
      </c>
      <c r="W164" s="86">
        <f t="shared" si="92"/>
        <v>1.5041847503757477E-2</v>
      </c>
      <c r="X164" s="86">
        <f t="shared" si="78"/>
        <v>1.0000188551913063</v>
      </c>
      <c r="Y164" s="83">
        <f t="shared" si="79"/>
        <v>96.999999999999929</v>
      </c>
      <c r="Z164" s="82">
        <f t="shared" si="80"/>
        <v>1.1136945956975666</v>
      </c>
      <c r="AA164" s="86">
        <f t="shared" si="93"/>
        <v>3.1098276612038869</v>
      </c>
      <c r="AB164" s="86">
        <f t="shared" si="94"/>
        <v>-3.1764992385900373E-2</v>
      </c>
      <c r="AC164" s="82">
        <f t="shared" si="81"/>
        <v>-3.1098276612038869</v>
      </c>
      <c r="AD164" s="84">
        <f t="shared" si="82"/>
        <v>12020.000000000005</v>
      </c>
      <c r="AE164" s="84">
        <f t="shared" si="83"/>
        <v>63.809999999999135</v>
      </c>
      <c r="AF164" s="84">
        <f t="shared" si="84"/>
        <v>181.81999999997763</v>
      </c>
      <c r="AG164" s="82"/>
      <c r="AH164" s="87">
        <f t="shared" si="88"/>
        <v>5.4569682106375694E-12</v>
      </c>
      <c r="AI164" s="87">
        <f t="shared" si="89"/>
        <v>8.6686213762732223E-13</v>
      </c>
      <c r="AJ164" s="87">
        <f t="shared" si="95"/>
        <v>2.2367885321727954E-11</v>
      </c>
    </row>
    <row r="165" spans="1:36" x14ac:dyDescent="0.2">
      <c r="A165" s="3">
        <v>12114</v>
      </c>
      <c r="B165" s="3">
        <v>63.73</v>
      </c>
      <c r="C165" s="3">
        <v>183.1</v>
      </c>
      <c r="D165" s="82"/>
      <c r="E165" s="82">
        <f t="shared" si="67"/>
        <v>1.1122983322959861</v>
      </c>
      <c r="F165" s="82">
        <f t="shared" si="68"/>
        <v>3.1956978604016175</v>
      </c>
      <c r="G165" s="82"/>
      <c r="H165" s="86">
        <f t="shared" si="69"/>
        <v>2.0088276331526655E-2</v>
      </c>
      <c r="I165" s="155">
        <f t="shared" si="90"/>
        <v>2.0088276331527776E-2</v>
      </c>
      <c r="J165" s="153">
        <f t="shared" si="91"/>
        <v>0.36733195260287921</v>
      </c>
      <c r="K165" s="86">
        <f t="shared" si="70"/>
        <v>1.0000336295942496</v>
      </c>
      <c r="L165" s="83">
        <f t="shared" si="71"/>
        <v>-84.240408523384076</v>
      </c>
      <c r="M165" s="83">
        <f t="shared" si="72"/>
        <v>-3.6187701589866186</v>
      </c>
      <c r="N165" s="83">
        <f t="shared" si="73"/>
        <v>41.547093029995224</v>
      </c>
      <c r="O165" s="84">
        <f t="shared" si="74"/>
        <v>-4465.7956397547587</v>
      </c>
      <c r="P165" s="84">
        <f t="shared" si="75"/>
        <v>-773.98856459179706</v>
      </c>
      <c r="Q165" s="84">
        <f t="shared" si="76"/>
        <v>9607.5840350105973</v>
      </c>
      <c r="S165" s="83">
        <f t="shared" si="85"/>
        <v>-84.240408523383849</v>
      </c>
      <c r="T165" s="83">
        <f t="shared" si="86"/>
        <v>-3.6187701589866492</v>
      </c>
      <c r="U165" s="83">
        <f t="shared" si="87"/>
        <v>41.547093029994357</v>
      </c>
      <c r="V165" s="85">
        <f t="shared" si="77"/>
        <v>93.99841948082522</v>
      </c>
      <c r="W165" s="86">
        <f t="shared" si="92"/>
        <v>2.0088276332279165E-2</v>
      </c>
      <c r="X165" s="86">
        <f t="shared" si="78"/>
        <v>1.0000336295942522</v>
      </c>
      <c r="Y165" s="83">
        <f t="shared" si="79"/>
        <v>93.999999999999531</v>
      </c>
      <c r="Z165" s="82">
        <f t="shared" si="80"/>
        <v>1.1122983322960194</v>
      </c>
      <c r="AA165" s="86">
        <f t="shared" si="93"/>
        <v>3.0874874467775619</v>
      </c>
      <c r="AB165" s="86">
        <f t="shared" si="94"/>
        <v>-5.4105206812215298E-2</v>
      </c>
      <c r="AC165" s="82">
        <f t="shared" si="81"/>
        <v>-3.0874874467775619</v>
      </c>
      <c r="AD165" s="84">
        <f t="shared" si="82"/>
        <v>12114.000000000005</v>
      </c>
      <c r="AE165" s="84">
        <f t="shared" si="83"/>
        <v>63.730000000001901</v>
      </c>
      <c r="AF165" s="84">
        <f t="shared" si="84"/>
        <v>183.10000000002333</v>
      </c>
      <c r="AG165" s="82"/>
      <c r="AH165" s="87">
        <f t="shared" si="88"/>
        <v>5.4569682106375694E-12</v>
      </c>
      <c r="AI165" s="87">
        <f t="shared" si="89"/>
        <v>1.9042545318370685E-12</v>
      </c>
      <c r="AJ165" s="87">
        <f t="shared" si="95"/>
        <v>2.333422344236169E-11</v>
      </c>
    </row>
    <row r="166" spans="1:36" x14ac:dyDescent="0.2">
      <c r="A166" s="3">
        <v>12210</v>
      </c>
      <c r="B166" s="3">
        <v>63.76</v>
      </c>
      <c r="C166" s="3">
        <v>184.64</v>
      </c>
      <c r="D166" s="82"/>
      <c r="E166" s="82">
        <f t="shared" si="67"/>
        <v>1.1128219310715846</v>
      </c>
      <c r="F166" s="82">
        <f t="shared" si="68"/>
        <v>3.2225759308823299</v>
      </c>
      <c r="G166" s="82"/>
      <c r="H166" s="86">
        <f t="shared" si="69"/>
        <v>2.4110714799949085E-2</v>
      </c>
      <c r="I166" s="155">
        <f t="shared" si="90"/>
        <v>2.4110714799949095E-2</v>
      </c>
      <c r="J166" s="153">
        <f t="shared" si="91"/>
        <v>0.4317006872127167</v>
      </c>
      <c r="K166" s="86">
        <f t="shared" si="70"/>
        <v>1.0000484466970174</v>
      </c>
      <c r="L166" s="83">
        <f t="shared" si="71"/>
        <v>-85.896148577219094</v>
      </c>
      <c r="M166" s="83">
        <f t="shared" si="72"/>
        <v>-5.8107791631482764</v>
      </c>
      <c r="N166" s="83">
        <f t="shared" si="73"/>
        <v>42.469283664364532</v>
      </c>
      <c r="O166" s="84">
        <f t="shared" si="74"/>
        <v>-4551.6917883319775</v>
      </c>
      <c r="P166" s="84">
        <f t="shared" si="75"/>
        <v>-779.79934375494531</v>
      </c>
      <c r="Q166" s="84">
        <f t="shared" si="76"/>
        <v>9650.0533186749617</v>
      </c>
      <c r="S166" s="83">
        <f t="shared" si="85"/>
        <v>-85.89614857721881</v>
      </c>
      <c r="T166" s="83">
        <f t="shared" si="86"/>
        <v>-5.8107791631482542</v>
      </c>
      <c r="U166" s="83">
        <f t="shared" si="87"/>
        <v>42.469283664364411</v>
      </c>
      <c r="V166" s="85">
        <f t="shared" si="77"/>
        <v>95.997674710623983</v>
      </c>
      <c r="W166" s="86">
        <f t="shared" si="92"/>
        <v>2.4110714799214339E-2</v>
      </c>
      <c r="X166" s="86">
        <f t="shared" si="78"/>
        <v>1.0000484466970145</v>
      </c>
      <c r="Y166" s="83">
        <f t="shared" si="79"/>
        <v>95.999999999999517</v>
      </c>
      <c r="Z166" s="82">
        <f t="shared" si="80"/>
        <v>1.1128219310715464</v>
      </c>
      <c r="AA166" s="86">
        <f t="shared" si="93"/>
        <v>3.0606093762976689</v>
      </c>
      <c r="AB166" s="86">
        <f t="shared" si="94"/>
        <v>-8.0983277292130146E-2</v>
      </c>
      <c r="AC166" s="82">
        <f t="shared" si="81"/>
        <v>-3.0606093762976689</v>
      </c>
      <c r="AD166" s="84">
        <f t="shared" si="82"/>
        <v>12210.000000000005</v>
      </c>
      <c r="AE166" s="84">
        <f t="shared" si="83"/>
        <v>63.759999999997817</v>
      </c>
      <c r="AF166" s="84">
        <f t="shared" si="84"/>
        <v>184.63999999997637</v>
      </c>
      <c r="AG166" s="82"/>
      <c r="AH166" s="87">
        <f t="shared" si="88"/>
        <v>5.4569682106375694E-12</v>
      </c>
      <c r="AI166" s="87">
        <f t="shared" si="89"/>
        <v>2.1813661987835076E-12</v>
      </c>
      <c r="AJ166" s="87">
        <f t="shared" si="95"/>
        <v>2.361844053666573E-11</v>
      </c>
    </row>
    <row r="167" spans="1:36" x14ac:dyDescent="0.2">
      <c r="A167" s="3">
        <v>12307</v>
      </c>
      <c r="B167" s="3">
        <v>63.8</v>
      </c>
      <c r="C167" s="3">
        <v>185.53</v>
      </c>
      <c r="D167" s="82"/>
      <c r="E167" s="82">
        <f t="shared" si="67"/>
        <v>1.1135200627723822</v>
      </c>
      <c r="F167" s="82">
        <f t="shared" si="68"/>
        <v>3.2381093612250798</v>
      </c>
      <c r="G167" s="82"/>
      <c r="H167" s="86">
        <f t="shared" si="69"/>
        <v>1.3952554616359247E-2</v>
      </c>
      <c r="I167" s="155">
        <f t="shared" si="90"/>
        <v>1.3952554616361284E-2</v>
      </c>
      <c r="J167" s="153">
        <f t="shared" si="91"/>
        <v>0.24724406998242013</v>
      </c>
      <c r="K167" s="86">
        <f t="shared" si="70"/>
        <v>1.0000162231308487</v>
      </c>
      <c r="L167" s="83">
        <f t="shared" si="71"/>
        <v>-86.675402973998374</v>
      </c>
      <c r="M167" s="83">
        <f t="shared" si="72"/>
        <v>-7.7128185056857186</v>
      </c>
      <c r="N167" s="83">
        <f t="shared" si="73"/>
        <v>42.85713838460584</v>
      </c>
      <c r="O167" s="84">
        <f t="shared" si="74"/>
        <v>-4638.3671913059761</v>
      </c>
      <c r="P167" s="84">
        <f t="shared" si="75"/>
        <v>-787.51216226063104</v>
      </c>
      <c r="Q167" s="84">
        <f t="shared" si="76"/>
        <v>9692.9104570595682</v>
      </c>
      <c r="S167" s="83">
        <f t="shared" si="85"/>
        <v>-86.675402973998644</v>
      </c>
      <c r="T167" s="83">
        <f t="shared" si="86"/>
        <v>-7.7128185056857319</v>
      </c>
      <c r="U167" s="83">
        <f t="shared" si="87"/>
        <v>42.857138384606515</v>
      </c>
      <c r="V167" s="85">
        <f t="shared" si="77"/>
        <v>96.999213195386361</v>
      </c>
      <c r="W167" s="86">
        <f t="shared" si="92"/>
        <v>1.395255461711864E-2</v>
      </c>
      <c r="X167" s="86">
        <f t="shared" si="78"/>
        <v>1.0000162231308505</v>
      </c>
      <c r="Y167" s="83">
        <f t="shared" si="79"/>
        <v>97.000000000000611</v>
      </c>
      <c r="Z167" s="82">
        <f t="shared" si="80"/>
        <v>1.1135200627724129</v>
      </c>
      <c r="AA167" s="86">
        <f t="shared" si="93"/>
        <v>3.0450759459540961</v>
      </c>
      <c r="AB167" s="86">
        <f t="shared" si="94"/>
        <v>-9.651670763569821E-2</v>
      </c>
      <c r="AC167" s="82">
        <f t="shared" si="81"/>
        <v>-3.0450759459540961</v>
      </c>
      <c r="AD167" s="84">
        <f t="shared" si="82"/>
        <v>12307.000000000005</v>
      </c>
      <c r="AE167" s="84">
        <f t="shared" si="83"/>
        <v>63.800000000001759</v>
      </c>
      <c r="AF167" s="84">
        <f t="shared" si="84"/>
        <v>185.53000000002353</v>
      </c>
      <c r="AG167" s="82"/>
      <c r="AH167" s="87">
        <f t="shared" si="88"/>
        <v>5.4569682106375694E-12</v>
      </c>
      <c r="AI167" s="87">
        <f t="shared" si="89"/>
        <v>1.7621459846850485E-12</v>
      </c>
      <c r="AJ167" s="87">
        <f t="shared" si="95"/>
        <v>2.3533175408374518E-11</v>
      </c>
    </row>
    <row r="168" spans="1:36" x14ac:dyDescent="0.2">
      <c r="A168" s="3">
        <v>12403</v>
      </c>
      <c r="B168" s="3">
        <v>63.85</v>
      </c>
      <c r="C168" s="3">
        <v>185.57</v>
      </c>
      <c r="D168" s="82"/>
      <c r="E168" s="82">
        <f t="shared" si="67"/>
        <v>1.1143927273983794</v>
      </c>
      <c r="F168" s="82">
        <f t="shared" si="68"/>
        <v>3.2388074929258774</v>
      </c>
      <c r="G168" s="82"/>
      <c r="H168" s="86">
        <f t="shared" si="69"/>
        <v>1.074287926803974E-3</v>
      </c>
      <c r="I168" s="155">
        <f t="shared" si="90"/>
        <v>1.0742879268428116E-3</v>
      </c>
      <c r="J168" s="153">
        <f t="shared" si="91"/>
        <v>1.9235051308664628E-2</v>
      </c>
      <c r="K168" s="86">
        <f t="shared" si="70"/>
        <v>1.0000000961745568</v>
      </c>
      <c r="L168" s="83">
        <f t="shared" si="71"/>
        <v>-85.75140263306254</v>
      </c>
      <c r="M168" s="83">
        <f t="shared" si="72"/>
        <v>-8.3324598159880665</v>
      </c>
      <c r="N168" s="83">
        <f t="shared" si="73"/>
        <v>42.346973605356453</v>
      </c>
      <c r="O168" s="84">
        <f t="shared" si="74"/>
        <v>-4724.1185939390389</v>
      </c>
      <c r="P168" s="84">
        <f t="shared" si="75"/>
        <v>-795.84462207661909</v>
      </c>
      <c r="Q168" s="84">
        <f t="shared" si="76"/>
        <v>9735.257430664924</v>
      </c>
      <c r="S168" s="83">
        <f t="shared" si="85"/>
        <v>-85.751402633062753</v>
      </c>
      <c r="T168" s="83">
        <f t="shared" si="86"/>
        <v>-8.3324598159880452</v>
      </c>
      <c r="U168" s="83">
        <f t="shared" si="87"/>
        <v>42.346973605355743</v>
      </c>
      <c r="V168" s="85">
        <f t="shared" si="77"/>
        <v>95.999995383621723</v>
      </c>
      <c r="W168" s="86">
        <f t="shared" si="92"/>
        <v>1.0742879260901006E-3</v>
      </c>
      <c r="X168" s="86">
        <f t="shared" si="78"/>
        <v>1.0000000961745568</v>
      </c>
      <c r="Y168" s="83">
        <f t="shared" si="79"/>
        <v>95.999999999999858</v>
      </c>
      <c r="Z168" s="82">
        <f t="shared" si="80"/>
        <v>1.1143927273983638</v>
      </c>
      <c r="AA168" s="86">
        <f t="shared" si="93"/>
        <v>3.0443778142541218</v>
      </c>
      <c r="AB168" s="86">
        <f t="shared" si="94"/>
        <v>-9.721483933567282E-2</v>
      </c>
      <c r="AC168" s="82">
        <f t="shared" si="81"/>
        <v>-3.0443778142541218</v>
      </c>
      <c r="AD168" s="84">
        <f t="shared" si="82"/>
        <v>12403.000000000005</v>
      </c>
      <c r="AE168" s="84">
        <f t="shared" si="83"/>
        <v>63.849999999999106</v>
      </c>
      <c r="AF168" s="84">
        <f t="shared" si="84"/>
        <v>185.56999999997635</v>
      </c>
      <c r="AG168" s="82"/>
      <c r="AH168" s="87">
        <f t="shared" si="88"/>
        <v>5.4569682106375694E-12</v>
      </c>
      <c r="AI168" s="87">
        <f t="shared" si="89"/>
        <v>8.9528384705772623E-13</v>
      </c>
      <c r="AJ168" s="87">
        <f t="shared" si="95"/>
        <v>2.3646862246096134E-11</v>
      </c>
    </row>
    <row r="169" spans="1:36" x14ac:dyDescent="0.2">
      <c r="A169" s="3">
        <v>12500</v>
      </c>
      <c r="B169" s="3">
        <v>63.83</v>
      </c>
      <c r="C169" s="3">
        <v>185.3</v>
      </c>
      <c r="D169" s="82"/>
      <c r="E169" s="82">
        <f t="shared" si="67"/>
        <v>1.1140436615479805</v>
      </c>
      <c r="F169" s="82">
        <f t="shared" si="68"/>
        <v>3.234095103945493</v>
      </c>
      <c r="G169" s="82"/>
      <c r="H169" s="86">
        <f t="shared" si="69"/>
        <v>4.2440604800668691E-3</v>
      </c>
      <c r="I169" s="155">
        <f t="shared" si="90"/>
        <v>4.2440604800593924E-3</v>
      </c>
      <c r="J169" s="153">
        <f t="shared" si="91"/>
        <v>7.5206212424566279E-2</v>
      </c>
      <c r="K169" s="86">
        <f t="shared" si="70"/>
        <v>1.0000015010068168</v>
      </c>
      <c r="L169" s="83">
        <f t="shared" si="71"/>
        <v>-86.672411301583054</v>
      </c>
      <c r="M169" s="83">
        <f t="shared" si="72"/>
        <v>-8.2463940760219145</v>
      </c>
      <c r="N169" s="83">
        <f t="shared" si="73"/>
        <v>42.765359591297099</v>
      </c>
      <c r="O169" s="84">
        <f t="shared" si="74"/>
        <v>-4810.7910052406223</v>
      </c>
      <c r="P169" s="84">
        <f t="shared" si="75"/>
        <v>-804.09101615264103</v>
      </c>
      <c r="Q169" s="84">
        <f t="shared" si="76"/>
        <v>9778.0227902562219</v>
      </c>
      <c r="S169" s="83">
        <f t="shared" si="85"/>
        <v>-86.672411301583452</v>
      </c>
      <c r="T169" s="83">
        <f t="shared" si="86"/>
        <v>-8.246394076021943</v>
      </c>
      <c r="U169" s="83">
        <f t="shared" si="87"/>
        <v>42.765359591297965</v>
      </c>
      <c r="V169" s="85">
        <f t="shared" si="77"/>
        <v>96.999927201317632</v>
      </c>
      <c r="W169" s="86">
        <f t="shared" si="92"/>
        <v>4.2440604792570724E-3</v>
      </c>
      <c r="X169" s="86">
        <f t="shared" si="78"/>
        <v>1.0000015010068162</v>
      </c>
      <c r="Y169" s="83">
        <f t="shared" si="79"/>
        <v>97.000000000000711</v>
      </c>
      <c r="Z169" s="82">
        <f t="shared" si="80"/>
        <v>1.1140436615479827</v>
      </c>
      <c r="AA169" s="86">
        <f t="shared" si="93"/>
        <v>3.0490902032336837</v>
      </c>
      <c r="AB169" s="86">
        <f t="shared" si="94"/>
        <v>-9.2502450356112417E-2</v>
      </c>
      <c r="AC169" s="82">
        <f t="shared" si="81"/>
        <v>-3.0490902032336837</v>
      </c>
      <c r="AD169" s="84">
        <f t="shared" si="82"/>
        <v>12500.000000000005</v>
      </c>
      <c r="AE169" s="84">
        <f t="shared" si="83"/>
        <v>63.830000000000126</v>
      </c>
      <c r="AF169" s="84">
        <f t="shared" si="84"/>
        <v>185.30000000002349</v>
      </c>
      <c r="AG169" s="82"/>
      <c r="AH169" s="87">
        <f t="shared" si="88"/>
        <v>5.4569682106375694E-12</v>
      </c>
      <c r="AI169" s="87">
        <f t="shared" si="89"/>
        <v>1.2789769243681803E-13</v>
      </c>
      <c r="AJ169" s="87">
        <f t="shared" si="95"/>
        <v>2.347633198951371E-11</v>
      </c>
    </row>
    <row r="170" spans="1:36" x14ac:dyDescent="0.2">
      <c r="A170" s="3">
        <v>12596</v>
      </c>
      <c r="B170" s="3">
        <v>63.86</v>
      </c>
      <c r="C170" s="3">
        <v>184.9</v>
      </c>
      <c r="D170" s="82"/>
      <c r="E170" s="82">
        <f t="shared" si="67"/>
        <v>1.1145672603235788</v>
      </c>
      <c r="F170" s="82">
        <f t="shared" si="68"/>
        <v>3.2271137869375153</v>
      </c>
      <c r="G170" s="82"/>
      <c r="H170" s="86">
        <f t="shared" si="69"/>
        <v>6.2882982074403682E-3</v>
      </c>
      <c r="I170" s="155">
        <f t="shared" si="90"/>
        <v>6.2882982074301411E-3</v>
      </c>
      <c r="J170" s="153">
        <f t="shared" si="91"/>
        <v>0.11259154612687942</v>
      </c>
      <c r="K170" s="86">
        <f t="shared" si="70"/>
        <v>1.000003295237559</v>
      </c>
      <c r="L170" s="83">
        <f t="shared" si="71"/>
        <v>-85.828684444209458</v>
      </c>
      <c r="M170" s="83">
        <f t="shared" si="72"/>
        <v>-7.6599671922690469</v>
      </c>
      <c r="N170" s="83">
        <f t="shared" si="73"/>
        <v>42.317035109284859</v>
      </c>
      <c r="O170" s="84">
        <f t="shared" si="74"/>
        <v>-4896.6196896848314</v>
      </c>
      <c r="P170" s="84">
        <f t="shared" si="75"/>
        <v>-811.75098334491008</v>
      </c>
      <c r="Q170" s="84">
        <f t="shared" si="76"/>
        <v>9820.3398253655068</v>
      </c>
      <c r="S170" s="83">
        <f t="shared" si="85"/>
        <v>-85.828684444209102</v>
      </c>
      <c r="T170" s="83">
        <f t="shared" si="86"/>
        <v>-7.6599671922690504</v>
      </c>
      <c r="U170" s="83">
        <f t="shared" si="87"/>
        <v>42.317035109284916</v>
      </c>
      <c r="V170" s="85">
        <f t="shared" si="77"/>
        <v>95.999841829300493</v>
      </c>
      <c r="W170" s="86">
        <f t="shared" si="92"/>
        <v>6.2882982082612671E-3</v>
      </c>
      <c r="X170" s="86">
        <f t="shared" si="78"/>
        <v>1.0000032952375599</v>
      </c>
      <c r="Y170" s="83">
        <f t="shared" si="79"/>
        <v>95.999999999999744</v>
      </c>
      <c r="Z170" s="82">
        <f t="shared" si="80"/>
        <v>1.1145672603235734</v>
      </c>
      <c r="AA170" s="86">
        <f t="shared" si="93"/>
        <v>3.0560715202424751</v>
      </c>
      <c r="AB170" s="86">
        <f t="shared" si="94"/>
        <v>-8.5521133347313219E-2</v>
      </c>
      <c r="AC170" s="82">
        <f t="shared" si="81"/>
        <v>-3.0560715202424751</v>
      </c>
      <c r="AD170" s="84">
        <f t="shared" si="82"/>
        <v>12596.000000000005</v>
      </c>
      <c r="AE170" s="84">
        <f t="shared" si="83"/>
        <v>63.859999999999694</v>
      </c>
      <c r="AF170" s="84">
        <f t="shared" si="84"/>
        <v>184.89999999997684</v>
      </c>
      <c r="AG170" s="82"/>
      <c r="AH170" s="87">
        <f t="shared" si="88"/>
        <v>5.4569682106375694E-12</v>
      </c>
      <c r="AI170" s="87">
        <f t="shared" si="89"/>
        <v>3.0553337637684308E-13</v>
      </c>
      <c r="AJ170" s="87">
        <f t="shared" si="95"/>
        <v>2.3163693185779266E-11</v>
      </c>
    </row>
    <row r="171" spans="1:36" x14ac:dyDescent="0.2">
      <c r="A171" s="3">
        <v>12693</v>
      </c>
      <c r="B171" s="3">
        <v>63.87</v>
      </c>
      <c r="C171" s="3">
        <v>183.99</v>
      </c>
      <c r="D171" s="82"/>
      <c r="E171" s="82">
        <f t="shared" si="67"/>
        <v>1.1147417932487782</v>
      </c>
      <c r="F171" s="82">
        <f t="shared" si="68"/>
        <v>3.211231290744367</v>
      </c>
      <c r="G171" s="82"/>
      <c r="H171" s="86">
        <f t="shared" si="69"/>
        <v>1.4259687610802096E-2</v>
      </c>
      <c r="I171" s="155">
        <f t="shared" si="90"/>
        <v>1.4259687610806293E-2</v>
      </c>
      <c r="J171" s="153">
        <f t="shared" si="91"/>
        <v>0.25268657235276759</v>
      </c>
      <c r="K171" s="86">
        <f t="shared" si="70"/>
        <v>1.0000169452354588</v>
      </c>
      <c r="L171" s="83">
        <f t="shared" si="71"/>
        <v>-86.819398089037648</v>
      </c>
      <c r="M171" s="83">
        <f t="shared" si="72"/>
        <v>-6.7489545765626922</v>
      </c>
      <c r="N171" s="83">
        <f t="shared" si="73"/>
        <v>42.728027033586393</v>
      </c>
      <c r="O171" s="84">
        <f t="shared" si="74"/>
        <v>-4983.4390877738688</v>
      </c>
      <c r="P171" s="84">
        <f t="shared" si="75"/>
        <v>-818.49993792147279</v>
      </c>
      <c r="Q171" s="84">
        <f t="shared" si="76"/>
        <v>9863.0678523990937</v>
      </c>
      <c r="S171" s="83">
        <f t="shared" si="85"/>
        <v>-86.81939808903735</v>
      </c>
      <c r="T171" s="83">
        <f t="shared" si="86"/>
        <v>-6.7489545765627099</v>
      </c>
      <c r="U171" s="83">
        <f t="shared" si="87"/>
        <v>42.728027033586841</v>
      </c>
      <c r="V171" s="85">
        <f t="shared" si="77"/>
        <v>96.999178174880313</v>
      </c>
      <c r="W171" s="86">
        <f t="shared" si="92"/>
        <v>1.4259687610099547E-2</v>
      </c>
      <c r="X171" s="86">
        <f t="shared" si="78"/>
        <v>1.000016945235457</v>
      </c>
      <c r="Y171" s="83">
        <f t="shared" si="79"/>
        <v>96.999999999999858</v>
      </c>
      <c r="Z171" s="82">
        <f t="shared" si="80"/>
        <v>1.11474179324877</v>
      </c>
      <c r="AA171" s="86">
        <f t="shared" si="93"/>
        <v>3.0719540164348107</v>
      </c>
      <c r="AB171" s="86">
        <f t="shared" si="94"/>
        <v>-6.9638637154978505E-2</v>
      </c>
      <c r="AC171" s="82">
        <f t="shared" si="81"/>
        <v>-3.0719540164348107</v>
      </c>
      <c r="AD171" s="84">
        <f t="shared" si="82"/>
        <v>12693.000000000005</v>
      </c>
      <c r="AE171" s="84">
        <f t="shared" si="83"/>
        <v>63.869999999999528</v>
      </c>
      <c r="AF171" s="84">
        <f t="shared" si="84"/>
        <v>183.99000000002343</v>
      </c>
      <c r="AG171" s="82"/>
      <c r="AH171" s="87">
        <f t="shared" si="88"/>
        <v>5.4569682106375694E-12</v>
      </c>
      <c r="AI171" s="87">
        <f t="shared" si="89"/>
        <v>4.6895820560166612E-13</v>
      </c>
      <c r="AJ171" s="87">
        <f t="shared" si="95"/>
        <v>2.3419488570652902E-11</v>
      </c>
    </row>
    <row r="172" spans="1:36" x14ac:dyDescent="0.2">
      <c r="A172" s="3">
        <v>12788</v>
      </c>
      <c r="B172" s="3">
        <v>63.93</v>
      </c>
      <c r="C172" s="3">
        <v>183.53</v>
      </c>
      <c r="D172" s="82"/>
      <c r="E172" s="82">
        <f t="shared" si="67"/>
        <v>1.115788990799975</v>
      </c>
      <c r="F172" s="82">
        <f t="shared" si="68"/>
        <v>3.2032027761851931</v>
      </c>
      <c r="G172" s="82"/>
      <c r="H172" s="86">
        <f t="shared" si="69"/>
        <v>7.2854768269792203E-3</v>
      </c>
      <c r="I172" s="155">
        <f t="shared" si="90"/>
        <v>7.2854768269817053E-3</v>
      </c>
      <c r="J172" s="153">
        <f t="shared" si="91"/>
        <v>0.13181907597671749</v>
      </c>
      <c r="K172" s="86">
        <f t="shared" si="70"/>
        <v>1.0000044232045273</v>
      </c>
      <c r="L172" s="83">
        <f t="shared" si="71"/>
        <v>-85.128668426537331</v>
      </c>
      <c r="M172" s="83">
        <f t="shared" si="72"/>
        <v>-5.59446143274638</v>
      </c>
      <c r="N172" s="83">
        <f t="shared" si="73"/>
        <v>41.79440027161337</v>
      </c>
      <c r="O172" s="84">
        <f t="shared" si="74"/>
        <v>-5068.5677562004057</v>
      </c>
      <c r="P172" s="84">
        <f t="shared" si="75"/>
        <v>-824.09439935421915</v>
      </c>
      <c r="Q172" s="84">
        <f t="shared" si="76"/>
        <v>9904.8622526707077</v>
      </c>
      <c r="S172" s="83">
        <f t="shared" si="85"/>
        <v>-85.128668426536933</v>
      </c>
      <c r="T172" s="83">
        <f t="shared" si="86"/>
        <v>-5.5944614327463569</v>
      </c>
      <c r="U172" s="83">
        <f t="shared" si="87"/>
        <v>41.794400271613995</v>
      </c>
      <c r="V172" s="85">
        <f t="shared" si="77"/>
        <v>94.99978989903947</v>
      </c>
      <c r="W172" s="86">
        <f t="shared" si="92"/>
        <v>7.2854768278545201E-3</v>
      </c>
      <c r="X172" s="86">
        <f t="shared" si="78"/>
        <v>1.0000044232045284</v>
      </c>
      <c r="Y172" s="83">
        <f t="shared" si="79"/>
        <v>94.999999999999986</v>
      </c>
      <c r="Z172" s="82">
        <f t="shared" si="80"/>
        <v>1.1157889907999694</v>
      </c>
      <c r="AA172" s="86">
        <f t="shared" si="93"/>
        <v>3.0799825309947826</v>
      </c>
      <c r="AB172" s="86">
        <f t="shared" si="94"/>
        <v>-6.1610122594991282E-2</v>
      </c>
      <c r="AC172" s="82">
        <f t="shared" si="81"/>
        <v>-3.0799825309947826</v>
      </c>
      <c r="AD172" s="84">
        <f t="shared" si="82"/>
        <v>12788.000000000005</v>
      </c>
      <c r="AE172" s="84">
        <f t="shared" si="83"/>
        <v>63.929999999999687</v>
      </c>
      <c r="AF172" s="84">
        <f t="shared" si="84"/>
        <v>183.52999999997769</v>
      </c>
      <c r="AG172" s="82"/>
      <c r="AH172" s="87">
        <f t="shared" si="88"/>
        <v>5.4569682106375694E-12</v>
      </c>
      <c r="AI172" s="87">
        <f t="shared" si="89"/>
        <v>3.1263880373444408E-13</v>
      </c>
      <c r="AJ172" s="87">
        <f t="shared" si="95"/>
        <v>2.2311041902867146E-11</v>
      </c>
    </row>
    <row r="173" spans="1:36" x14ac:dyDescent="0.2">
      <c r="A173" s="3">
        <v>12885</v>
      </c>
      <c r="B173" s="3">
        <v>63.78</v>
      </c>
      <c r="C173" s="3">
        <v>182.62</v>
      </c>
      <c r="D173" s="82"/>
      <c r="E173" s="82">
        <f t="shared" si="67"/>
        <v>1.1131709969219834</v>
      </c>
      <c r="F173" s="82">
        <f t="shared" si="68"/>
        <v>3.1873202799920448</v>
      </c>
      <c r="G173" s="82"/>
      <c r="H173" s="86">
        <f t="shared" si="69"/>
        <v>1.4495761308515265E-2</v>
      </c>
      <c r="I173" s="155">
        <f t="shared" si="90"/>
        <v>1.4495761308518405E-2</v>
      </c>
      <c r="J173" s="153">
        <f t="shared" si="91"/>
        <v>0.25686987952792589</v>
      </c>
      <c r="K173" s="86">
        <f t="shared" si="70"/>
        <v>1.000017510959279</v>
      </c>
      <c r="L173" s="83">
        <f t="shared" si="71"/>
        <v>-86.94844111817396</v>
      </c>
      <c r="M173" s="83">
        <f t="shared" si="72"/>
        <v>-4.6713554065373195</v>
      </c>
      <c r="N173" s="83">
        <f t="shared" si="73"/>
        <v>42.743213142971101</v>
      </c>
      <c r="O173" s="84">
        <f t="shared" si="74"/>
        <v>-5155.5161973185795</v>
      </c>
      <c r="P173" s="84">
        <f t="shared" si="75"/>
        <v>-828.76575476075652</v>
      </c>
      <c r="Q173" s="84">
        <f t="shared" si="76"/>
        <v>9947.6054658136782</v>
      </c>
      <c r="S173" s="83">
        <f t="shared" si="85"/>
        <v>-86.948441118173832</v>
      </c>
      <c r="T173" s="83">
        <f t="shared" si="86"/>
        <v>-4.6713554065373728</v>
      </c>
      <c r="U173" s="83">
        <f t="shared" si="87"/>
        <v>42.74321314297049</v>
      </c>
      <c r="V173" s="85">
        <f t="shared" si="77"/>
        <v>96.999150738550966</v>
      </c>
      <c r="W173" s="86">
        <f t="shared" si="92"/>
        <v>1.4495761307814714E-2</v>
      </c>
      <c r="X173" s="86">
        <f t="shared" si="78"/>
        <v>1.0000175109592773</v>
      </c>
      <c r="Y173" s="83">
        <f t="shared" si="79"/>
        <v>96.999999999999545</v>
      </c>
      <c r="Z173" s="82">
        <f t="shared" si="80"/>
        <v>1.1131709969219967</v>
      </c>
      <c r="AA173" s="86">
        <f t="shared" si="93"/>
        <v>3.0958650271871457</v>
      </c>
      <c r="AB173" s="86">
        <f t="shared" si="94"/>
        <v>-4.5727626402642732E-2</v>
      </c>
      <c r="AC173" s="82">
        <f t="shared" si="81"/>
        <v>-3.0958650271871457</v>
      </c>
      <c r="AD173" s="84">
        <f t="shared" si="82"/>
        <v>12885.000000000005</v>
      </c>
      <c r="AE173" s="84">
        <f t="shared" si="83"/>
        <v>63.780000000000769</v>
      </c>
      <c r="AF173" s="84">
        <f t="shared" si="84"/>
        <v>182.62000000002269</v>
      </c>
      <c r="AG173" s="82"/>
      <c r="AH173" s="87">
        <f t="shared" si="88"/>
        <v>5.4569682106375694E-12</v>
      </c>
      <c r="AI173" s="87">
        <f t="shared" si="89"/>
        <v>7.673861546209082E-13</v>
      </c>
      <c r="AJ173" s="87">
        <f t="shared" si="95"/>
        <v>2.2680524125462398E-11</v>
      </c>
    </row>
    <row r="174" spans="1:36" x14ac:dyDescent="0.2">
      <c r="A174" s="3">
        <v>12981</v>
      </c>
      <c r="B174" s="3">
        <v>63.62</v>
      </c>
      <c r="C174" s="3">
        <v>181.85</v>
      </c>
      <c r="D174" s="82"/>
      <c r="E174" s="82">
        <f t="shared" si="67"/>
        <v>1.1103784701187924</v>
      </c>
      <c r="F174" s="82">
        <f t="shared" si="68"/>
        <v>3.173881244751688</v>
      </c>
      <c r="G174" s="82"/>
      <c r="H174" s="86">
        <f t="shared" si="69"/>
        <v>1.2367288093220408E-2</v>
      </c>
      <c r="I174" s="155">
        <f t="shared" si="90"/>
        <v>1.2367288093220042E-2</v>
      </c>
      <c r="J174" s="153">
        <f t="shared" si="91"/>
        <v>0.22143544117622649</v>
      </c>
      <c r="K174" s="86">
        <f t="shared" si="70"/>
        <v>1.0000127460128485</v>
      </c>
      <c r="L174" s="83">
        <f t="shared" si="71"/>
        <v>-85.996282962517085</v>
      </c>
      <c r="M174" s="83">
        <f t="shared" si="72"/>
        <v>-3.3566542390443086</v>
      </c>
      <c r="N174" s="83">
        <f t="shared" si="73"/>
        <v>42.535335006219512</v>
      </c>
      <c r="O174" s="84">
        <f t="shared" si="74"/>
        <v>-5241.5124802810969</v>
      </c>
      <c r="P174" s="84">
        <f t="shared" si="75"/>
        <v>-832.12240899980088</v>
      </c>
      <c r="Q174" s="84">
        <f t="shared" si="76"/>
        <v>9990.1408008198978</v>
      </c>
      <c r="S174" s="83">
        <f t="shared" si="85"/>
        <v>-85.996282962517398</v>
      </c>
      <c r="T174" s="83">
        <f t="shared" si="86"/>
        <v>-3.3566542390443601</v>
      </c>
      <c r="U174" s="83">
        <f t="shared" si="87"/>
        <v>42.535335006219611</v>
      </c>
      <c r="V174" s="85">
        <f t="shared" si="77"/>
        <v>95.99938820191089</v>
      </c>
      <c r="W174" s="86">
        <f t="shared" si="92"/>
        <v>1.2367288093876105E-2</v>
      </c>
      <c r="X174" s="86">
        <f t="shared" si="78"/>
        <v>1.0000127460128498</v>
      </c>
      <c r="Y174" s="83">
        <f t="shared" si="79"/>
        <v>96.000000000000398</v>
      </c>
      <c r="Z174" s="82">
        <f t="shared" si="80"/>
        <v>1.1103784701187822</v>
      </c>
      <c r="AA174" s="86">
        <f t="shared" si="93"/>
        <v>3.1093040624282908</v>
      </c>
      <c r="AB174" s="86">
        <f t="shared" si="94"/>
        <v>-3.2288591161499104E-2</v>
      </c>
      <c r="AC174" s="82">
        <f t="shared" si="81"/>
        <v>-3.1093040624282908</v>
      </c>
      <c r="AD174" s="84">
        <f t="shared" si="82"/>
        <v>12981.000000000005</v>
      </c>
      <c r="AE174" s="84">
        <f t="shared" si="83"/>
        <v>63.619999999999415</v>
      </c>
      <c r="AF174" s="84">
        <f t="shared" si="84"/>
        <v>181.84999999997748</v>
      </c>
      <c r="AG174" s="82"/>
      <c r="AH174" s="87">
        <f t="shared" si="88"/>
        <v>5.4569682106375694E-12</v>
      </c>
      <c r="AI174" s="87">
        <f t="shared" si="89"/>
        <v>5.8264504332328215E-13</v>
      </c>
      <c r="AJ174" s="87">
        <f t="shared" si="95"/>
        <v>2.2509993868879974E-11</v>
      </c>
    </row>
    <row r="175" spans="1:36" x14ac:dyDescent="0.2">
      <c r="A175" s="3">
        <v>13078</v>
      </c>
      <c r="B175" s="3">
        <v>63.49</v>
      </c>
      <c r="C175" s="3">
        <v>181.84</v>
      </c>
      <c r="D175" s="82"/>
      <c r="E175" s="82">
        <f t="shared" si="67"/>
        <v>1.1081095420911999</v>
      </c>
      <c r="F175" s="82">
        <f t="shared" si="68"/>
        <v>3.173706711826489</v>
      </c>
      <c r="G175" s="82"/>
      <c r="H175" s="86">
        <f t="shared" si="69"/>
        <v>2.2743031350376253E-3</v>
      </c>
      <c r="I175" s="155">
        <f t="shared" si="90"/>
        <v>2.2743031350787968E-3</v>
      </c>
      <c r="J175" s="153">
        <f t="shared" si="91"/>
        <v>4.0301434320936393E-2</v>
      </c>
      <c r="K175" s="86">
        <f t="shared" si="70"/>
        <v>1.0000004310381188</v>
      </c>
      <c r="L175" s="83">
        <f t="shared" si="71"/>
        <v>-86.805096456256507</v>
      </c>
      <c r="M175" s="83">
        <f t="shared" si="72"/>
        <v>-2.7962099276653247</v>
      </c>
      <c r="N175" s="83">
        <f t="shared" si="73"/>
        <v>43.197828459606228</v>
      </c>
      <c r="O175" s="84">
        <f t="shared" si="74"/>
        <v>-5328.3175767373532</v>
      </c>
      <c r="P175" s="84">
        <f t="shared" si="75"/>
        <v>-834.91861892746624</v>
      </c>
      <c r="Q175" s="84">
        <f t="shared" si="76"/>
        <v>10033.338629279504</v>
      </c>
      <c r="S175" s="83">
        <f t="shared" si="85"/>
        <v>-86.805096456256251</v>
      </c>
      <c r="T175" s="83">
        <f t="shared" si="86"/>
        <v>-2.7962099276653589</v>
      </c>
      <c r="U175" s="83">
        <f t="shared" si="87"/>
        <v>43.197828459606171</v>
      </c>
      <c r="V175" s="85">
        <f t="shared" si="77"/>
        <v>96.999979094663132</v>
      </c>
      <c r="W175" s="86">
        <f t="shared" si="92"/>
        <v>2.2743031347123299E-3</v>
      </c>
      <c r="X175" s="86">
        <f t="shared" si="78"/>
        <v>1.0000004310381185</v>
      </c>
      <c r="Y175" s="83">
        <f t="shared" si="79"/>
        <v>96.99999999999973</v>
      </c>
      <c r="Z175" s="82">
        <f t="shared" si="80"/>
        <v>1.1081095420912084</v>
      </c>
      <c r="AA175" s="86">
        <f t="shared" si="93"/>
        <v>3.1094785953527317</v>
      </c>
      <c r="AB175" s="86">
        <f t="shared" si="94"/>
        <v>-3.2114058237089557E-2</v>
      </c>
      <c r="AC175" s="82">
        <f t="shared" si="81"/>
        <v>-3.1094785953527317</v>
      </c>
      <c r="AD175" s="84">
        <f t="shared" si="82"/>
        <v>13078.000000000005</v>
      </c>
      <c r="AE175" s="84">
        <f t="shared" si="83"/>
        <v>63.490000000000492</v>
      </c>
      <c r="AF175" s="84">
        <f t="shared" si="84"/>
        <v>181.84000000002095</v>
      </c>
      <c r="AG175" s="82"/>
      <c r="AH175" s="87">
        <f t="shared" si="88"/>
        <v>5.4569682106375694E-12</v>
      </c>
      <c r="AI175" s="87">
        <f t="shared" si="89"/>
        <v>4.9027448767446913E-13</v>
      </c>
      <c r="AJ175" s="87">
        <f t="shared" si="95"/>
        <v>2.0946799850207753E-11</v>
      </c>
    </row>
    <row r="176" spans="1:36" x14ac:dyDescent="0.2">
      <c r="A176" s="3">
        <v>13175</v>
      </c>
      <c r="B176" s="3">
        <v>63.47</v>
      </c>
      <c r="C176" s="3">
        <v>182.42</v>
      </c>
      <c r="D176" s="82"/>
      <c r="E176" s="82">
        <f t="shared" si="67"/>
        <v>1.1077604762408009</v>
      </c>
      <c r="F176" s="82">
        <f t="shared" si="68"/>
        <v>3.1838296214880559</v>
      </c>
      <c r="G176" s="82"/>
      <c r="H176" s="86">
        <f t="shared" si="69"/>
        <v>9.0644783028364095E-3</v>
      </c>
      <c r="I176" s="155">
        <f t="shared" si="90"/>
        <v>9.064478302834196E-3</v>
      </c>
      <c r="J176" s="153">
        <f t="shared" si="91"/>
        <v>0.16062567533209288</v>
      </c>
      <c r="K176" s="86">
        <f t="shared" si="70"/>
        <v>1.0000068471201677</v>
      </c>
      <c r="L176" s="83">
        <f t="shared" si="71"/>
        <v>-86.733034559146006</v>
      </c>
      <c r="M176" s="83">
        <f t="shared" si="72"/>
        <v>-3.2257929621750558</v>
      </c>
      <c r="N176" s="83">
        <f t="shared" si="73"/>
        <v>43.311783062802846</v>
      </c>
      <c r="O176" s="84">
        <f t="shared" si="74"/>
        <v>-5415.0506112964995</v>
      </c>
      <c r="P176" s="84">
        <f t="shared" si="75"/>
        <v>-838.14441188964133</v>
      </c>
      <c r="Q176" s="84">
        <f t="shared" si="76"/>
        <v>10076.650412342307</v>
      </c>
      <c r="S176" s="83">
        <f t="shared" si="85"/>
        <v>-86.73303455914629</v>
      </c>
      <c r="T176" s="83">
        <f t="shared" si="86"/>
        <v>-3.2257929621750918</v>
      </c>
      <c r="U176" s="83">
        <f t="shared" si="87"/>
        <v>43.311783062803443</v>
      </c>
      <c r="V176" s="85">
        <f t="shared" si="77"/>
        <v>96.999667917742016</v>
      </c>
      <c r="W176" s="86">
        <f t="shared" si="92"/>
        <v>9.0644783021893716E-3</v>
      </c>
      <c r="X176" s="86">
        <f t="shared" si="78"/>
        <v>1.0000068471201666</v>
      </c>
      <c r="Y176" s="83">
        <f t="shared" si="79"/>
        <v>97.000000000000483</v>
      </c>
      <c r="Z176" s="82">
        <f t="shared" si="80"/>
        <v>1.1077604762407827</v>
      </c>
      <c r="AA176" s="86">
        <f t="shared" si="93"/>
        <v>3.0993556856918891</v>
      </c>
      <c r="AB176" s="86">
        <f t="shared" si="94"/>
        <v>-4.2236967897897534E-2</v>
      </c>
      <c r="AC176" s="82">
        <f t="shared" si="81"/>
        <v>-3.0993556856918891</v>
      </c>
      <c r="AD176" s="84">
        <f t="shared" si="82"/>
        <v>13175.000000000005</v>
      </c>
      <c r="AE176" s="84">
        <f t="shared" si="83"/>
        <v>63.469999999998954</v>
      </c>
      <c r="AF176" s="84">
        <f t="shared" si="84"/>
        <v>182.41999999997944</v>
      </c>
      <c r="AG176" s="82"/>
      <c r="AH176" s="87">
        <f t="shared" si="88"/>
        <v>5.4569682106375694E-12</v>
      </c>
      <c r="AI176" s="87">
        <f t="shared" si="89"/>
        <v>1.0444978215673473E-12</v>
      </c>
      <c r="AJ176" s="87">
        <f t="shared" si="95"/>
        <v>2.0548895918182097E-11</v>
      </c>
    </row>
    <row r="177" spans="1:36" x14ac:dyDescent="0.2">
      <c r="A177" s="3">
        <v>13271</v>
      </c>
      <c r="B177" s="3">
        <v>63.53</v>
      </c>
      <c r="C177" s="3">
        <v>183.09</v>
      </c>
      <c r="D177" s="82"/>
      <c r="E177" s="82">
        <f t="shared" si="67"/>
        <v>1.1088076737919976</v>
      </c>
      <c r="F177" s="82">
        <f t="shared" si="68"/>
        <v>3.1955233274764181</v>
      </c>
      <c r="G177" s="82"/>
      <c r="H177" s="86">
        <f t="shared" si="69"/>
        <v>1.0517350436440864E-2</v>
      </c>
      <c r="I177" s="155">
        <f t="shared" si="90"/>
        <v>1.0517350436450973E-2</v>
      </c>
      <c r="J177" s="153">
        <f t="shared" si="91"/>
        <v>0.18831243489629249</v>
      </c>
      <c r="K177" s="86">
        <f t="shared" si="70"/>
        <v>1.0000092179903148</v>
      </c>
      <c r="L177" s="83">
        <f t="shared" si="71"/>
        <v>-85.813705448489017</v>
      </c>
      <c r="M177" s="83">
        <f t="shared" si="72"/>
        <v>-4.1295651121023171</v>
      </c>
      <c r="N177" s="83">
        <f t="shared" si="73"/>
        <v>42.835379039283282</v>
      </c>
      <c r="O177" s="84">
        <f t="shared" si="74"/>
        <v>-5500.8643167449882</v>
      </c>
      <c r="P177" s="84">
        <f t="shared" si="75"/>
        <v>-842.27397700174367</v>
      </c>
      <c r="Q177" s="84">
        <f t="shared" si="76"/>
        <v>10119.48579138159</v>
      </c>
      <c r="S177" s="83">
        <f t="shared" si="85"/>
        <v>-85.81370544848869</v>
      </c>
      <c r="T177" s="83">
        <f t="shared" si="86"/>
        <v>-4.1295651121023411</v>
      </c>
      <c r="U177" s="83">
        <f t="shared" si="87"/>
        <v>42.835379039282998</v>
      </c>
      <c r="V177" s="85">
        <f t="shared" si="77"/>
        <v>95.99955754197056</v>
      </c>
      <c r="W177" s="86">
        <f t="shared" si="92"/>
        <v>1.0517350437124762E-2</v>
      </c>
      <c r="X177" s="86">
        <f t="shared" si="78"/>
        <v>1.0000092179903159</v>
      </c>
      <c r="Y177" s="83">
        <f t="shared" si="79"/>
        <v>95.999999999999645</v>
      </c>
      <c r="Z177" s="82">
        <f t="shared" si="80"/>
        <v>1.1088076737920198</v>
      </c>
      <c r="AA177" s="86">
        <f t="shared" si="93"/>
        <v>3.0876619797028058</v>
      </c>
      <c r="AB177" s="86">
        <f t="shared" si="94"/>
        <v>-5.3930673886984033E-2</v>
      </c>
      <c r="AC177" s="82">
        <f t="shared" si="81"/>
        <v>-3.0876619797028058</v>
      </c>
      <c r="AD177" s="84">
        <f t="shared" si="82"/>
        <v>13271.000000000005</v>
      </c>
      <c r="AE177" s="84">
        <f t="shared" si="83"/>
        <v>63.53000000000128</v>
      </c>
      <c r="AF177" s="84">
        <f t="shared" si="84"/>
        <v>183.09000000002078</v>
      </c>
      <c r="AG177" s="82"/>
      <c r="AH177" s="87">
        <f t="shared" si="88"/>
        <v>5.4569682106375694E-12</v>
      </c>
      <c r="AI177" s="87">
        <f t="shared" si="89"/>
        <v>1.2789769243681803E-12</v>
      </c>
      <c r="AJ177" s="87">
        <f t="shared" si="95"/>
        <v>2.0776269593625329E-11</v>
      </c>
    </row>
    <row r="178" spans="1:36" x14ac:dyDescent="0.2">
      <c r="A178" s="3">
        <v>13368</v>
      </c>
      <c r="B178" s="3">
        <v>63.72</v>
      </c>
      <c r="C178" s="3">
        <v>183.57</v>
      </c>
      <c r="D178" s="82"/>
      <c r="E178" s="82">
        <f t="shared" si="67"/>
        <v>1.1121237993707869</v>
      </c>
      <c r="F178" s="82">
        <f t="shared" si="68"/>
        <v>3.2039009078859908</v>
      </c>
      <c r="G178" s="82"/>
      <c r="H178" s="86">
        <f t="shared" si="69"/>
        <v>8.2054489935536878E-3</v>
      </c>
      <c r="I178" s="155">
        <f t="shared" si="90"/>
        <v>8.205448993546402E-3</v>
      </c>
      <c r="J178" s="153">
        <f t="shared" si="91"/>
        <v>0.14540338031149341</v>
      </c>
      <c r="K178" s="86">
        <f t="shared" si="70"/>
        <v>1.0000056108205428</v>
      </c>
      <c r="L178" s="83">
        <f t="shared" si="71"/>
        <v>-86.755708289384899</v>
      </c>
      <c r="M178" s="83">
        <f t="shared" si="72"/>
        <v>-5.0481800415849412</v>
      </c>
      <c r="N178" s="83">
        <f t="shared" si="73"/>
        <v>43.091880508262079</v>
      </c>
      <c r="O178" s="84">
        <f t="shared" si="74"/>
        <v>-5587.6200250343727</v>
      </c>
      <c r="P178" s="84">
        <f t="shared" si="75"/>
        <v>-847.32215704332862</v>
      </c>
      <c r="Q178" s="84">
        <f t="shared" si="76"/>
        <v>10162.577671889852</v>
      </c>
      <c r="S178" s="83">
        <f t="shared" si="85"/>
        <v>-86.755708289384529</v>
      </c>
      <c r="T178" s="83">
        <f t="shared" si="86"/>
        <v>-5.048180041584942</v>
      </c>
      <c r="U178" s="83">
        <f t="shared" si="87"/>
        <v>43.091880508261966</v>
      </c>
      <c r="V178" s="85">
        <f t="shared" si="77"/>
        <v>96.999727877264519</v>
      </c>
      <c r="W178" s="86">
        <f t="shared" si="92"/>
        <v>8.2054489929710428E-3</v>
      </c>
      <c r="X178" s="86">
        <f t="shared" si="78"/>
        <v>1.0000056108205422</v>
      </c>
      <c r="Y178" s="83">
        <f t="shared" si="79"/>
        <v>96.999999999999574</v>
      </c>
      <c r="Z178" s="82">
        <f t="shared" si="80"/>
        <v>1.1121237993707624</v>
      </c>
      <c r="AA178" s="86">
        <f t="shared" si="93"/>
        <v>3.0792843992939471</v>
      </c>
      <c r="AB178" s="86">
        <f t="shared" si="94"/>
        <v>-6.2308254295836106E-2</v>
      </c>
      <c r="AC178" s="82">
        <f t="shared" si="81"/>
        <v>-3.0792843992939471</v>
      </c>
      <c r="AD178" s="84">
        <f t="shared" si="82"/>
        <v>13368.000000000005</v>
      </c>
      <c r="AE178" s="84">
        <f t="shared" si="83"/>
        <v>63.719999999998606</v>
      </c>
      <c r="AF178" s="84">
        <f t="shared" si="84"/>
        <v>183.56999999997984</v>
      </c>
      <c r="AG178" s="82"/>
      <c r="AH178" s="87">
        <f t="shared" si="88"/>
        <v>5.4569682106375694E-12</v>
      </c>
      <c r="AI178" s="87">
        <f t="shared" si="89"/>
        <v>1.3926637620897964E-12</v>
      </c>
      <c r="AJ178" s="87">
        <f t="shared" si="95"/>
        <v>2.0150991986156441E-11</v>
      </c>
    </row>
    <row r="179" spans="1:36" x14ac:dyDescent="0.2">
      <c r="A179" s="3">
        <v>13463</v>
      </c>
      <c r="B179" s="3">
        <v>63.76</v>
      </c>
      <c r="C179" s="3">
        <v>182.6</v>
      </c>
      <c r="D179" s="82"/>
      <c r="E179" s="82">
        <f t="shared" si="67"/>
        <v>1.1128219310715846</v>
      </c>
      <c r="F179" s="82">
        <f t="shared" si="68"/>
        <v>3.1869712141416455</v>
      </c>
      <c r="G179" s="82"/>
      <c r="H179" s="86">
        <f t="shared" si="69"/>
        <v>1.519848027872106E-2</v>
      </c>
      <c r="I179" s="155">
        <f t="shared" si="90"/>
        <v>1.5198480278720502E-2</v>
      </c>
      <c r="J179" s="153">
        <f t="shared" si="91"/>
        <v>0.27499224473164163</v>
      </c>
      <c r="K179" s="86">
        <f t="shared" si="70"/>
        <v>1.0000192499282268</v>
      </c>
      <c r="L179" s="83">
        <f t="shared" si="71"/>
        <v>-85.070701006155971</v>
      </c>
      <c r="M179" s="83">
        <f t="shared" si="72"/>
        <v>-4.5848036337268736</v>
      </c>
      <c r="N179" s="83">
        <f t="shared" si="73"/>
        <v>42.03310220183441</v>
      </c>
      <c r="O179" s="84">
        <f t="shared" si="74"/>
        <v>-5672.6907260405287</v>
      </c>
      <c r="P179" s="84">
        <f t="shared" si="75"/>
        <v>-851.90696067705551</v>
      </c>
      <c r="Q179" s="84">
        <f t="shared" si="76"/>
        <v>10204.610774091687</v>
      </c>
      <c r="S179" s="83">
        <f t="shared" si="85"/>
        <v>-85.070701006156014</v>
      </c>
      <c r="T179" s="83">
        <f t="shared" si="86"/>
        <v>-4.5848036337268923</v>
      </c>
      <c r="U179" s="83">
        <f t="shared" si="87"/>
        <v>42.033102201834481</v>
      </c>
      <c r="V179" s="85">
        <f t="shared" si="77"/>
        <v>94.999085652170834</v>
      </c>
      <c r="W179" s="86">
        <f t="shared" si="92"/>
        <v>1.5198480278079796E-2</v>
      </c>
      <c r="X179" s="86">
        <f t="shared" si="78"/>
        <v>1.0000192499282252</v>
      </c>
      <c r="Y179" s="83">
        <f t="shared" si="79"/>
        <v>95</v>
      </c>
      <c r="Z179" s="82">
        <f t="shared" si="80"/>
        <v>1.1128219310716054</v>
      </c>
      <c r="AA179" s="86">
        <f t="shared" si="93"/>
        <v>3.0962140930375943</v>
      </c>
      <c r="AB179" s="86">
        <f t="shared" si="94"/>
        <v>-4.5378560552204211E-2</v>
      </c>
      <c r="AC179" s="82">
        <f t="shared" si="81"/>
        <v>-3.0962140930375943</v>
      </c>
      <c r="AD179" s="84">
        <f t="shared" si="82"/>
        <v>13463.000000000005</v>
      </c>
      <c r="AE179" s="84">
        <f t="shared" si="83"/>
        <v>63.760000000001199</v>
      </c>
      <c r="AF179" s="84">
        <f t="shared" si="84"/>
        <v>182.60000000001983</v>
      </c>
      <c r="AG179" s="82"/>
      <c r="AH179" s="87">
        <f t="shared" si="88"/>
        <v>5.4569682106375694E-12</v>
      </c>
      <c r="AI179" s="87">
        <f t="shared" si="89"/>
        <v>1.2008172234345693E-12</v>
      </c>
      <c r="AJ179" s="87">
        <f t="shared" si="95"/>
        <v>1.9838353182421997E-11</v>
      </c>
    </row>
    <row r="180" spans="1:36" x14ac:dyDescent="0.2">
      <c r="A180" s="3">
        <v>13559</v>
      </c>
      <c r="B180" s="3">
        <v>63.67</v>
      </c>
      <c r="C180" s="3">
        <v>181.39</v>
      </c>
      <c r="D180" s="82"/>
      <c r="E180" s="82">
        <f t="shared" si="67"/>
        <v>1.1112511347447898</v>
      </c>
      <c r="F180" s="82">
        <f t="shared" si="68"/>
        <v>3.1658527301925141</v>
      </c>
      <c r="G180" s="82"/>
      <c r="H180" s="86">
        <f t="shared" si="69"/>
        <v>1.8999854359873503E-2</v>
      </c>
      <c r="I180" s="155">
        <f t="shared" si="90"/>
        <v>1.8999854359875178E-2</v>
      </c>
      <c r="J180" s="153">
        <f t="shared" si="91"/>
        <v>0.3401910831824963</v>
      </c>
      <c r="K180" s="86">
        <f t="shared" si="70"/>
        <v>1.000030083958156</v>
      </c>
      <c r="L180" s="83">
        <f t="shared" si="71"/>
        <v>-86.01941128865198</v>
      </c>
      <c r="M180" s="83">
        <f t="shared" si="72"/>
        <v>-2.9967010738258977</v>
      </c>
      <c r="N180" s="83">
        <f t="shared" si="73"/>
        <v>42.513567526312144</v>
      </c>
      <c r="O180" s="84">
        <f t="shared" si="74"/>
        <v>-5758.7101373291807</v>
      </c>
      <c r="P180" s="84">
        <f t="shared" si="75"/>
        <v>-854.90366175088138</v>
      </c>
      <c r="Q180" s="84">
        <f t="shared" si="76"/>
        <v>10247.124341617999</v>
      </c>
      <c r="S180" s="83">
        <f t="shared" si="85"/>
        <v>-86.019411288652009</v>
      </c>
      <c r="T180" s="83">
        <f t="shared" si="86"/>
        <v>-2.996701073825875</v>
      </c>
      <c r="U180" s="83">
        <f t="shared" si="87"/>
        <v>42.513567526311817</v>
      </c>
      <c r="V180" s="85">
        <f t="shared" si="77"/>
        <v>95.998556028652942</v>
      </c>
      <c r="W180" s="86">
        <f t="shared" si="92"/>
        <v>1.8999854360539636E-2</v>
      </c>
      <c r="X180" s="86">
        <f t="shared" si="78"/>
        <v>1.0000300839581582</v>
      </c>
      <c r="Y180" s="83">
        <f t="shared" si="79"/>
        <v>96</v>
      </c>
      <c r="Z180" s="82">
        <f t="shared" si="80"/>
        <v>1.1112511347447782</v>
      </c>
      <c r="AA180" s="86">
        <f t="shared" si="93"/>
        <v>3.1173325769874016</v>
      </c>
      <c r="AB180" s="86">
        <f t="shared" si="94"/>
        <v>-2.4260076602373219E-2</v>
      </c>
      <c r="AC180" s="82">
        <f t="shared" si="81"/>
        <v>-3.1173325769874016</v>
      </c>
      <c r="AD180" s="84">
        <f t="shared" si="82"/>
        <v>13559.000000000005</v>
      </c>
      <c r="AE180" s="84">
        <f t="shared" si="83"/>
        <v>63.669999999999348</v>
      </c>
      <c r="AF180" s="84">
        <f t="shared" si="84"/>
        <v>181.38999999998111</v>
      </c>
      <c r="AG180" s="82"/>
      <c r="AH180" s="87">
        <f t="shared" si="88"/>
        <v>5.4569682106375694E-12</v>
      </c>
      <c r="AI180" s="87">
        <f t="shared" si="89"/>
        <v>6.5369931689929217E-13</v>
      </c>
      <c r="AJ180" s="87">
        <f t="shared" si="95"/>
        <v>1.8872015061788261E-11</v>
      </c>
    </row>
    <row r="181" spans="1:36" x14ac:dyDescent="0.2">
      <c r="A181" s="3">
        <v>13654</v>
      </c>
      <c r="B181" s="3">
        <v>63.67</v>
      </c>
      <c r="C181" s="3">
        <v>181.02</v>
      </c>
      <c r="D181" s="82"/>
      <c r="E181" s="82">
        <f t="shared" si="67"/>
        <v>1.1112511347447898</v>
      </c>
      <c r="F181" s="82">
        <f t="shared" si="68"/>
        <v>3.1593950119601355</v>
      </c>
      <c r="G181" s="82"/>
      <c r="H181" s="86">
        <f t="shared" si="69"/>
        <v>5.7877558586423294E-3</v>
      </c>
      <c r="I181" s="155">
        <f t="shared" si="90"/>
        <v>5.7877558586531862E-3</v>
      </c>
      <c r="J181" s="153">
        <f t="shared" si="91"/>
        <v>0.10472020533231201</v>
      </c>
      <c r="K181" s="86">
        <f t="shared" si="70"/>
        <v>1.0000027915191743</v>
      </c>
      <c r="L181" s="83">
        <f t="shared" si="71"/>
        <v>-85.125124454706921</v>
      </c>
      <c r="M181" s="83">
        <f t="shared" si="72"/>
        <v>-1.7905490075957662</v>
      </c>
      <c r="N181" s="83">
        <f t="shared" si="73"/>
        <v>42.136467904583917</v>
      </c>
      <c r="O181" s="84">
        <f t="shared" si="74"/>
        <v>-5843.8352617838873</v>
      </c>
      <c r="P181" s="84">
        <f t="shared" si="75"/>
        <v>-856.6942107584772</v>
      </c>
      <c r="Q181" s="84">
        <f t="shared" si="76"/>
        <v>10289.260809522582</v>
      </c>
      <c r="S181" s="83">
        <f t="shared" si="85"/>
        <v>-85.125124454706565</v>
      </c>
      <c r="T181" s="83">
        <f t="shared" si="86"/>
        <v>-1.7905490075958141</v>
      </c>
      <c r="U181" s="83">
        <f t="shared" si="87"/>
        <v>42.136467904583697</v>
      </c>
      <c r="V181" s="85">
        <f t="shared" si="77"/>
        <v>94.999867403338499</v>
      </c>
      <c r="W181" s="86">
        <f t="shared" si="92"/>
        <v>5.7877558580408106E-3</v>
      </c>
      <c r="X181" s="86">
        <f t="shared" si="78"/>
        <v>1.0000027915191738</v>
      </c>
      <c r="Y181" s="83">
        <f t="shared" si="79"/>
        <v>94.999999999999559</v>
      </c>
      <c r="Z181" s="82">
        <f t="shared" si="80"/>
        <v>1.1112511347448015</v>
      </c>
      <c r="AA181" s="86">
        <f t="shared" si="93"/>
        <v>3.1237902952191052</v>
      </c>
      <c r="AB181" s="86">
        <f t="shared" si="94"/>
        <v>-1.7802358370672858E-2</v>
      </c>
      <c r="AC181" s="82">
        <f t="shared" si="81"/>
        <v>-3.1237902952191052</v>
      </c>
      <c r="AD181" s="84">
        <f t="shared" si="82"/>
        <v>13654.000000000005</v>
      </c>
      <c r="AE181" s="84">
        <f t="shared" si="83"/>
        <v>63.670000000000684</v>
      </c>
      <c r="AF181" s="84">
        <f t="shared" si="84"/>
        <v>181.02000000001982</v>
      </c>
      <c r="AG181" s="82"/>
      <c r="AH181" s="87">
        <f t="shared" si="88"/>
        <v>5.4569682106375694E-12</v>
      </c>
      <c r="AI181" s="87">
        <f t="shared" si="89"/>
        <v>6.8212102632969618E-13</v>
      </c>
      <c r="AJ181" s="87">
        <f t="shared" si="95"/>
        <v>1.9809931472991593E-11</v>
      </c>
    </row>
    <row r="182" spans="1:36" x14ac:dyDescent="0.2">
      <c r="A182" s="3">
        <v>13750</v>
      </c>
      <c r="B182" s="3">
        <v>63.6</v>
      </c>
      <c r="C182" s="3">
        <v>180.72</v>
      </c>
      <c r="D182" s="82"/>
      <c r="E182" s="82">
        <f t="shared" si="67"/>
        <v>1.1100294042683936</v>
      </c>
      <c r="F182" s="82">
        <f t="shared" si="68"/>
        <v>3.1541590242041524</v>
      </c>
      <c r="G182" s="82"/>
      <c r="H182" s="86">
        <f t="shared" si="69"/>
        <v>4.8478285916391251E-3</v>
      </c>
      <c r="I182" s="155">
        <f t="shared" si="90"/>
        <v>4.8478285916320118E-3</v>
      </c>
      <c r="J182" s="153">
        <f t="shared" si="91"/>
        <v>8.6800036907428657E-2</v>
      </c>
      <c r="K182" s="86">
        <f t="shared" si="70"/>
        <v>1.0000019584581072</v>
      </c>
      <c r="L182" s="83">
        <f t="shared" si="71"/>
        <v>-86.004328567987912</v>
      </c>
      <c r="M182" s="83">
        <f t="shared" si="72"/>
        <v>-1.3060896361654453</v>
      </c>
      <c r="N182" s="83">
        <f t="shared" si="73"/>
        <v>42.632517499422015</v>
      </c>
      <c r="O182" s="84">
        <f t="shared" si="74"/>
        <v>-5929.8395903518749</v>
      </c>
      <c r="P182" s="84">
        <f t="shared" si="75"/>
        <v>-858.00030039464264</v>
      </c>
      <c r="Q182" s="84">
        <f t="shared" si="76"/>
        <v>10331.893327022004</v>
      </c>
      <c r="S182" s="83">
        <f t="shared" si="85"/>
        <v>-86.004328567987613</v>
      </c>
      <c r="T182" s="83">
        <f t="shared" si="86"/>
        <v>-1.3060896361654386</v>
      </c>
      <c r="U182" s="83">
        <f t="shared" si="87"/>
        <v>42.632517499421738</v>
      </c>
      <c r="V182" s="85">
        <f t="shared" si="77"/>
        <v>95.999905994259038</v>
      </c>
      <c r="W182" s="86">
        <f t="shared" si="92"/>
        <v>4.8478285922923803E-3</v>
      </c>
      <c r="X182" s="86">
        <f t="shared" si="78"/>
        <v>1.0000019584581077</v>
      </c>
      <c r="Y182" s="83">
        <f t="shared" si="79"/>
        <v>95.999999999999673</v>
      </c>
      <c r="Z182" s="82">
        <f t="shared" si="80"/>
        <v>1.1100294042683851</v>
      </c>
      <c r="AA182" s="86">
        <f t="shared" si="93"/>
        <v>3.1290262829757074</v>
      </c>
      <c r="AB182" s="86">
        <f t="shared" si="94"/>
        <v>-1.2566370614013113E-2</v>
      </c>
      <c r="AC182" s="82">
        <f t="shared" si="81"/>
        <v>-3.1290262829757074</v>
      </c>
      <c r="AD182" s="84">
        <f t="shared" si="82"/>
        <v>13750.000000000005</v>
      </c>
      <c r="AE182" s="84">
        <f t="shared" si="83"/>
        <v>63.599999999999518</v>
      </c>
      <c r="AF182" s="84">
        <f t="shared" si="84"/>
        <v>180.71999999998434</v>
      </c>
      <c r="AG182" s="82"/>
      <c r="AH182" s="87">
        <f t="shared" si="88"/>
        <v>5.4569682106375694E-12</v>
      </c>
      <c r="AI182" s="87">
        <f t="shared" si="89"/>
        <v>4.8316906031686813E-13</v>
      </c>
      <c r="AJ182" s="87">
        <f t="shared" si="95"/>
        <v>1.5660361896152608E-11</v>
      </c>
    </row>
    <row r="183" spans="1:36" x14ac:dyDescent="0.2">
      <c r="A183" s="3">
        <v>13846</v>
      </c>
      <c r="B183" s="3">
        <v>62.95</v>
      </c>
      <c r="C183" s="3">
        <v>177.91</v>
      </c>
      <c r="D183" s="82"/>
      <c r="E183" s="82">
        <f t="shared" si="67"/>
        <v>1.0986847641304305</v>
      </c>
      <c r="F183" s="82">
        <f t="shared" si="68"/>
        <v>3.1051152722231117</v>
      </c>
      <c r="G183" s="82"/>
      <c r="H183" s="86">
        <f t="shared" si="69"/>
        <v>4.5248597184193384E-2</v>
      </c>
      <c r="I183" s="155">
        <f t="shared" si="90"/>
        <v>4.5248597184195348E-2</v>
      </c>
      <c r="J183" s="153">
        <f t="shared" si="91"/>
        <v>0.81017301485681925</v>
      </c>
      <c r="K183" s="86">
        <f t="shared" si="70"/>
        <v>1.0001706545694364</v>
      </c>
      <c r="L183" s="83">
        <f t="shared" si="71"/>
        <v>-85.726239171435154</v>
      </c>
      <c r="M183" s="83">
        <f t="shared" si="72"/>
        <v>1.0189434720829222</v>
      </c>
      <c r="N183" s="83">
        <f t="shared" si="73"/>
        <v>43.178714067622195</v>
      </c>
      <c r="O183" s="84">
        <f t="shared" si="74"/>
        <v>-6015.5658295233097</v>
      </c>
      <c r="P183" s="84">
        <f t="shared" si="75"/>
        <v>-856.98135692255971</v>
      </c>
      <c r="Q183" s="84">
        <f t="shared" si="76"/>
        <v>10375.072041089627</v>
      </c>
      <c r="S183" s="83">
        <f t="shared" si="85"/>
        <v>-85.726239171434827</v>
      </c>
      <c r="T183" s="83">
        <f t="shared" si="86"/>
        <v>1.018943472082924</v>
      </c>
      <c r="U183" s="83">
        <f t="shared" si="87"/>
        <v>43.178714067622423</v>
      </c>
      <c r="V183" s="85">
        <f t="shared" si="77"/>
        <v>95.991810467408314</v>
      </c>
      <c r="W183" s="86">
        <f t="shared" si="92"/>
        <v>4.5248597183700223E-2</v>
      </c>
      <c r="X183" s="86">
        <f t="shared" si="78"/>
        <v>1.0001706545694327</v>
      </c>
      <c r="Y183" s="83">
        <f t="shared" si="79"/>
        <v>95.999999999999616</v>
      </c>
      <c r="Z183" s="82">
        <f t="shared" si="80"/>
        <v>1.0986847641304256</v>
      </c>
      <c r="AA183" s="86">
        <f t="shared" si="93"/>
        <v>3.1051152722234168</v>
      </c>
      <c r="AB183" s="86">
        <f t="shared" si="94"/>
        <v>3.647738136640679E-2</v>
      </c>
      <c r="AC183" s="82">
        <f t="shared" si="81"/>
        <v>3.1051152722234168</v>
      </c>
      <c r="AD183" s="84">
        <f t="shared" si="82"/>
        <v>13846.000000000005</v>
      </c>
      <c r="AE183" s="84">
        <f t="shared" si="83"/>
        <v>62.949999999999726</v>
      </c>
      <c r="AF183" s="84">
        <f t="shared" si="84"/>
        <v>177.91000000001748</v>
      </c>
      <c r="AG183" s="82"/>
      <c r="AH183" s="87">
        <f t="shared" si="88"/>
        <v>5.4569682106375694E-12</v>
      </c>
      <c r="AI183" s="87">
        <f t="shared" si="89"/>
        <v>2.7711166694643907E-13</v>
      </c>
      <c r="AJ183" s="87">
        <f t="shared" si="95"/>
        <v>1.7479351299698465E-11</v>
      </c>
    </row>
    <row r="184" spans="1:36" x14ac:dyDescent="0.2">
      <c r="A184" s="3">
        <v>13942</v>
      </c>
      <c r="B184" s="3">
        <v>62.12</v>
      </c>
      <c r="C184" s="3">
        <v>175.21</v>
      </c>
      <c r="D184" s="82"/>
      <c r="E184" s="82">
        <f t="shared" si="67"/>
        <v>1.0841985313388776</v>
      </c>
      <c r="F184" s="82">
        <f t="shared" si="68"/>
        <v>3.057991382419265</v>
      </c>
      <c r="G184" s="82"/>
      <c r="H184" s="86">
        <f t="shared" si="69"/>
        <v>4.424960317157911E-2</v>
      </c>
      <c r="I184" s="155">
        <f t="shared" si="90"/>
        <v>4.4249603171579339E-2</v>
      </c>
      <c r="J184" s="153">
        <f t="shared" si="91"/>
        <v>0.79228609589380783</v>
      </c>
      <c r="K184" s="86">
        <f t="shared" si="70"/>
        <v>1.0001632009036618</v>
      </c>
      <c r="L184" s="83">
        <f t="shared" si="71"/>
        <v>-85.01511839571063</v>
      </c>
      <c r="M184" s="83">
        <f t="shared" si="72"/>
        <v>5.1028221118892825</v>
      </c>
      <c r="N184" s="83">
        <f t="shared" si="73"/>
        <v>44.281905828147288</v>
      </c>
      <c r="O184" s="84">
        <f t="shared" si="74"/>
        <v>-6100.5809479190202</v>
      </c>
      <c r="P184" s="84">
        <f t="shared" si="75"/>
        <v>-851.87853481067043</v>
      </c>
      <c r="Q184" s="84">
        <f t="shared" si="76"/>
        <v>10419.353946917774</v>
      </c>
      <c r="S184" s="83">
        <f t="shared" si="85"/>
        <v>-85.015118395710488</v>
      </c>
      <c r="T184" s="83">
        <f t="shared" si="86"/>
        <v>5.1028221118892816</v>
      </c>
      <c r="U184" s="83">
        <f t="shared" si="87"/>
        <v>44.281905828147501</v>
      </c>
      <c r="V184" s="85">
        <f t="shared" si="77"/>
        <v>95.992168082167936</v>
      </c>
      <c r="W184" s="86">
        <f t="shared" si="92"/>
        <v>4.424960317208626E-2</v>
      </c>
      <c r="X184" s="86">
        <f t="shared" si="78"/>
        <v>1.0001632009036656</v>
      </c>
      <c r="Y184" s="83">
        <f t="shared" si="79"/>
        <v>96.000000000000171</v>
      </c>
      <c r="Z184" s="82">
        <f t="shared" si="80"/>
        <v>1.0841985313388833</v>
      </c>
      <c r="AA184" s="86">
        <f t="shared" si="93"/>
        <v>3.0579913824189484</v>
      </c>
      <c r="AB184" s="86">
        <f t="shared" si="94"/>
        <v>8.36012711708356E-2</v>
      </c>
      <c r="AC184" s="82">
        <f t="shared" si="81"/>
        <v>3.0579913824189484</v>
      </c>
      <c r="AD184" s="84">
        <f t="shared" si="82"/>
        <v>13942.000000000005</v>
      </c>
      <c r="AE184" s="84">
        <f t="shared" si="83"/>
        <v>62.120000000000331</v>
      </c>
      <c r="AF184" s="84">
        <f t="shared" si="84"/>
        <v>175.20999999998187</v>
      </c>
      <c r="AG184" s="82"/>
      <c r="AH184" s="87">
        <f t="shared" si="88"/>
        <v>5.4569682106375694E-12</v>
      </c>
      <c r="AI184" s="87">
        <f t="shared" si="89"/>
        <v>3.3395508580724709E-13</v>
      </c>
      <c r="AJ184" s="87">
        <f t="shared" si="95"/>
        <v>1.8133050616597757E-11</v>
      </c>
    </row>
    <row r="185" spans="1:36" x14ac:dyDescent="0.2">
      <c r="A185" s="3">
        <v>14037</v>
      </c>
      <c r="B185" s="3">
        <v>61.45</v>
      </c>
      <c r="C185" s="3">
        <v>173.39</v>
      </c>
      <c r="D185" s="82"/>
      <c r="E185" s="82">
        <f t="shared" si="67"/>
        <v>1.0725048253505156</v>
      </c>
      <c r="F185" s="82">
        <f t="shared" si="68"/>
        <v>3.0262263900329676</v>
      </c>
      <c r="G185" s="82"/>
      <c r="H185" s="86">
        <f t="shared" si="69"/>
        <v>3.0334614201861232E-2</v>
      </c>
      <c r="I185" s="155">
        <f t="shared" si="90"/>
        <v>3.03346142018622E-2</v>
      </c>
      <c r="J185" s="153">
        <f t="shared" si="91"/>
        <v>0.54885643166029163</v>
      </c>
      <c r="K185" s="86">
        <f t="shared" si="70"/>
        <v>1.0000766894584505</v>
      </c>
      <c r="L185" s="83">
        <f t="shared" si="71"/>
        <v>-83.293035713538202</v>
      </c>
      <c r="M185" s="83">
        <f t="shared" si="72"/>
        <v>8.3095585184538763</v>
      </c>
      <c r="N185" s="83">
        <f t="shared" si="73"/>
        <v>44.916916650685835</v>
      </c>
      <c r="O185" s="84">
        <f t="shared" si="74"/>
        <v>-6183.8739836325585</v>
      </c>
      <c r="P185" s="84">
        <f t="shared" si="75"/>
        <v>-843.56897629221658</v>
      </c>
      <c r="Q185" s="84">
        <f t="shared" si="76"/>
        <v>10464.270863568459</v>
      </c>
      <c r="S185" s="83">
        <f t="shared" si="85"/>
        <v>-83.293035713538302</v>
      </c>
      <c r="T185" s="83">
        <f t="shared" si="86"/>
        <v>8.309558518453855</v>
      </c>
      <c r="U185" s="83">
        <f t="shared" si="87"/>
        <v>44.91691665068538</v>
      </c>
      <c r="V185" s="85">
        <f t="shared" si="77"/>
        <v>94.996357627821681</v>
      </c>
      <c r="W185" s="86">
        <f t="shared" si="92"/>
        <v>3.0334614201348309E-2</v>
      </c>
      <c r="X185" s="86">
        <f t="shared" si="78"/>
        <v>1.0000766894584481</v>
      </c>
      <c r="Y185" s="83">
        <f t="shared" si="79"/>
        <v>94.999999999999744</v>
      </c>
      <c r="Z185" s="82">
        <f t="shared" si="80"/>
        <v>1.0725048253505149</v>
      </c>
      <c r="AA185" s="86">
        <f t="shared" si="93"/>
        <v>3.0262263900332873</v>
      </c>
      <c r="AB185" s="86">
        <f t="shared" si="94"/>
        <v>0.11536626355650635</v>
      </c>
      <c r="AC185" s="82">
        <f t="shared" si="81"/>
        <v>3.0262263900332873</v>
      </c>
      <c r="AD185" s="84">
        <f t="shared" si="82"/>
        <v>14037.000000000005</v>
      </c>
      <c r="AE185" s="84">
        <f t="shared" si="83"/>
        <v>61.449999999999967</v>
      </c>
      <c r="AF185" s="84">
        <f t="shared" si="84"/>
        <v>173.39000000001829</v>
      </c>
      <c r="AG185" s="82"/>
      <c r="AH185" s="87">
        <f t="shared" si="88"/>
        <v>5.4569682106375694E-12</v>
      </c>
      <c r="AI185" s="87">
        <f t="shared" si="89"/>
        <v>3.5527136788005009E-14</v>
      </c>
      <c r="AJ185" s="87">
        <f t="shared" si="95"/>
        <v>1.8303580873180181E-11</v>
      </c>
    </row>
    <row r="186" spans="1:36" x14ac:dyDescent="0.2">
      <c r="A186" s="3">
        <v>14133</v>
      </c>
      <c r="B186" s="3">
        <v>60.75</v>
      </c>
      <c r="C186" s="3">
        <v>171.99</v>
      </c>
      <c r="D186" s="82"/>
      <c r="E186" s="82">
        <f t="shared" si="67"/>
        <v>1.0602875205865552</v>
      </c>
      <c r="F186" s="82">
        <f t="shared" si="68"/>
        <v>3.0017917805050476</v>
      </c>
      <c r="G186" s="82"/>
      <c r="H186" s="86">
        <f t="shared" si="69"/>
        <v>2.4634291584818113E-2</v>
      </c>
      <c r="I186" s="155">
        <f t="shared" si="90"/>
        <v>2.463429158481641E-2</v>
      </c>
      <c r="J186" s="153">
        <f t="shared" si="91"/>
        <v>0.44107529347022439</v>
      </c>
      <c r="K186" s="86">
        <f t="shared" si="70"/>
        <v>1.0000505737625531</v>
      </c>
      <c r="L186" s="83">
        <f t="shared" si="71"/>
        <v>-83.358380746527743</v>
      </c>
      <c r="M186" s="83">
        <f t="shared" si="72"/>
        <v>10.689751748783623</v>
      </c>
      <c r="N186" s="83">
        <f t="shared" si="73"/>
        <v>46.396589495161841</v>
      </c>
      <c r="O186" s="84">
        <f t="shared" si="74"/>
        <v>-6267.232364379086</v>
      </c>
      <c r="P186" s="84">
        <f t="shared" si="75"/>
        <v>-832.879224543433</v>
      </c>
      <c r="Q186" s="84">
        <f t="shared" si="76"/>
        <v>10510.667453063621</v>
      </c>
      <c r="S186" s="83">
        <f t="shared" si="85"/>
        <v>-83.358380746527473</v>
      </c>
      <c r="T186" s="83">
        <f t="shared" si="86"/>
        <v>10.689751748783578</v>
      </c>
      <c r="U186" s="83">
        <f t="shared" si="87"/>
        <v>46.396589495161606</v>
      </c>
      <c r="V186" s="85">
        <f t="shared" si="77"/>
        <v>95.997572625125287</v>
      </c>
      <c r="W186" s="86">
        <f t="shared" si="92"/>
        <v>2.4634291585304169E-2</v>
      </c>
      <c r="X186" s="86">
        <f t="shared" si="78"/>
        <v>1.0000505737625551</v>
      </c>
      <c r="Y186" s="83">
        <f t="shared" si="79"/>
        <v>95.99999999999973</v>
      </c>
      <c r="Z186" s="82">
        <f t="shared" si="80"/>
        <v>1.0602875205865603</v>
      </c>
      <c r="AA186" s="86">
        <f t="shared" si="93"/>
        <v>3.0017917805047261</v>
      </c>
      <c r="AB186" s="86">
        <f t="shared" si="94"/>
        <v>0.13980087308506731</v>
      </c>
      <c r="AC186" s="82">
        <f t="shared" si="81"/>
        <v>3.0017917805047261</v>
      </c>
      <c r="AD186" s="84">
        <f t="shared" si="82"/>
        <v>14133.000000000005</v>
      </c>
      <c r="AE186" s="84">
        <f t="shared" si="83"/>
        <v>60.750000000000291</v>
      </c>
      <c r="AF186" s="84">
        <f t="shared" si="84"/>
        <v>171.98999999998159</v>
      </c>
      <c r="AG186" s="82"/>
      <c r="AH186" s="87">
        <f t="shared" si="88"/>
        <v>5.4569682106375694E-12</v>
      </c>
      <c r="AI186" s="87">
        <f t="shared" si="89"/>
        <v>2.9132252166164108E-13</v>
      </c>
      <c r="AJ186" s="87">
        <f t="shared" si="95"/>
        <v>1.8417267710901797E-11</v>
      </c>
    </row>
    <row r="187" spans="1:36" x14ac:dyDescent="0.2">
      <c r="A187" s="3">
        <v>14229</v>
      </c>
      <c r="B187" s="3">
        <v>60.17</v>
      </c>
      <c r="C187" s="3">
        <v>170.14</v>
      </c>
      <c r="D187" s="82"/>
      <c r="E187" s="82">
        <f t="shared" si="67"/>
        <v>1.050164610924988</v>
      </c>
      <c r="F187" s="82">
        <f t="shared" si="68"/>
        <v>2.9695031893431523</v>
      </c>
      <c r="G187" s="82"/>
      <c r="H187" s="86">
        <f t="shared" si="69"/>
        <v>2.9859221288327076E-2</v>
      </c>
      <c r="I187" s="155">
        <f t="shared" si="90"/>
        <v>2.9859221288325029E-2</v>
      </c>
      <c r="J187" s="153">
        <f t="shared" si="91"/>
        <v>0.5346272998026006</v>
      </c>
      <c r="K187" s="86">
        <f t="shared" si="70"/>
        <v>1.0000743043827813</v>
      </c>
      <c r="L187" s="83">
        <f t="shared" si="71"/>
        <v>-82.502531326856612</v>
      </c>
      <c r="M187" s="83">
        <f t="shared" si="72"/>
        <v>12.967275174181369</v>
      </c>
      <c r="N187" s="83">
        <f t="shared" si="73"/>
        <v>47.333892629167948</v>
      </c>
      <c r="O187" s="84">
        <f t="shared" si="74"/>
        <v>-6349.734895705943</v>
      </c>
      <c r="P187" s="84">
        <f t="shared" si="75"/>
        <v>-819.9119493692516</v>
      </c>
      <c r="Q187" s="84">
        <f t="shared" si="76"/>
        <v>10558.001345692788</v>
      </c>
      <c r="S187" s="83">
        <f t="shared" si="85"/>
        <v>-82.502531326857024</v>
      </c>
      <c r="T187" s="83">
        <f t="shared" si="86"/>
        <v>12.967275174181395</v>
      </c>
      <c r="U187" s="83">
        <f t="shared" si="87"/>
        <v>47.333892629167167</v>
      </c>
      <c r="V187" s="85">
        <f t="shared" si="77"/>
        <v>95.996433747361124</v>
      </c>
      <c r="W187" s="86">
        <f t="shared" si="92"/>
        <v>2.9859221287799276E-2</v>
      </c>
      <c r="X187" s="86">
        <f t="shared" si="78"/>
        <v>1.0000743043827787</v>
      </c>
      <c r="Y187" s="83">
        <f t="shared" si="79"/>
        <v>95.999999999999872</v>
      </c>
      <c r="Z187" s="82">
        <f t="shared" si="80"/>
        <v>1.0501646109249971</v>
      </c>
      <c r="AA187" s="86">
        <f t="shared" si="93"/>
        <v>2.9695031893434729</v>
      </c>
      <c r="AB187" s="86">
        <f t="shared" si="94"/>
        <v>0.17208946424631646</v>
      </c>
      <c r="AC187" s="82">
        <f t="shared" si="81"/>
        <v>2.9695031893434729</v>
      </c>
      <c r="AD187" s="84">
        <f t="shared" si="82"/>
        <v>14229.000000000005</v>
      </c>
      <c r="AE187" s="84">
        <f t="shared" si="83"/>
        <v>60.17000000000052</v>
      </c>
      <c r="AF187" s="84">
        <f t="shared" si="84"/>
        <v>170.14000000001838</v>
      </c>
      <c r="AG187" s="82"/>
      <c r="AH187" s="87">
        <f t="shared" si="88"/>
        <v>5.4569682106375694E-12</v>
      </c>
      <c r="AI187" s="87">
        <f t="shared" si="89"/>
        <v>5.1869619710487314E-13</v>
      </c>
      <c r="AJ187" s="87">
        <f t="shared" si="95"/>
        <v>1.8388846001471393E-11</v>
      </c>
    </row>
    <row r="188" spans="1:36" x14ac:dyDescent="0.2">
      <c r="A188" s="3">
        <v>14326</v>
      </c>
      <c r="B188" s="3">
        <v>60.02</v>
      </c>
      <c r="C188" s="3">
        <v>167.73</v>
      </c>
      <c r="D188" s="82"/>
      <c r="E188" s="82">
        <f t="shared" si="67"/>
        <v>1.0475466170469967</v>
      </c>
      <c r="F188" s="82">
        <f t="shared" si="68"/>
        <v>2.9274407543700889</v>
      </c>
      <c r="G188" s="82"/>
      <c r="H188" s="86">
        <f t="shared" si="69"/>
        <v>3.655513709896252E-2</v>
      </c>
      <c r="I188" s="155">
        <f t="shared" si="90"/>
        <v>3.6555137098963637E-2</v>
      </c>
      <c r="J188" s="153">
        <f t="shared" si="91"/>
        <v>0.64776961091525331</v>
      </c>
      <c r="K188" s="86">
        <f t="shared" si="70"/>
        <v>1.0001113713863645</v>
      </c>
      <c r="L188" s="83">
        <f t="shared" si="71"/>
        <v>-82.512760014561451</v>
      </c>
      <c r="M188" s="83">
        <f t="shared" si="72"/>
        <v>16.134665244389101</v>
      </c>
      <c r="N188" s="83">
        <f t="shared" si="73"/>
        <v>48.3659932757826</v>
      </c>
      <c r="O188" s="84">
        <f t="shared" si="74"/>
        <v>-6432.2476557205046</v>
      </c>
      <c r="P188" s="84">
        <f t="shared" si="75"/>
        <v>-803.77728412486249</v>
      </c>
      <c r="Q188" s="84">
        <f t="shared" si="76"/>
        <v>10606.36733896857</v>
      </c>
      <c r="S188" s="83">
        <f t="shared" si="85"/>
        <v>-82.512760014561536</v>
      </c>
      <c r="T188" s="83">
        <f t="shared" si="86"/>
        <v>16.134665244389112</v>
      </c>
      <c r="U188" s="83">
        <f t="shared" si="87"/>
        <v>48.365993275781875</v>
      </c>
      <c r="V188" s="85">
        <f t="shared" si="77"/>
        <v>96.994599299765667</v>
      </c>
      <c r="W188" s="86">
        <f t="shared" si="92"/>
        <v>3.655513709951741E-2</v>
      </c>
      <c r="X188" s="86">
        <f t="shared" si="78"/>
        <v>1.0001113713863681</v>
      </c>
      <c r="Y188" s="83">
        <f t="shared" si="79"/>
        <v>96.999999999999901</v>
      </c>
      <c r="Z188" s="82">
        <f t="shared" si="80"/>
        <v>1.0475466170470078</v>
      </c>
      <c r="AA188" s="86">
        <f t="shared" si="93"/>
        <v>2.9274407543697625</v>
      </c>
      <c r="AB188" s="86">
        <f t="shared" si="94"/>
        <v>0.21415189922002512</v>
      </c>
      <c r="AC188" s="82">
        <f t="shared" si="81"/>
        <v>2.9274407543697625</v>
      </c>
      <c r="AD188" s="84">
        <f t="shared" si="82"/>
        <v>14326.000000000005</v>
      </c>
      <c r="AE188" s="84">
        <f t="shared" si="83"/>
        <v>60.020000000000643</v>
      </c>
      <c r="AF188" s="84">
        <f t="shared" si="84"/>
        <v>167.72999999998129</v>
      </c>
      <c r="AG188" s="82"/>
      <c r="AH188" s="87">
        <f t="shared" si="88"/>
        <v>5.4569682106375694E-12</v>
      </c>
      <c r="AI188" s="87">
        <f t="shared" si="89"/>
        <v>6.3948846218409017E-13</v>
      </c>
      <c r="AJ188" s="87">
        <f t="shared" si="95"/>
        <v>1.8701484805205837E-11</v>
      </c>
    </row>
    <row r="189" spans="1:36" x14ac:dyDescent="0.2">
      <c r="A189" s="3">
        <v>14422</v>
      </c>
      <c r="B189" s="3">
        <v>59.84</v>
      </c>
      <c r="C189" s="3">
        <v>164.93</v>
      </c>
      <c r="D189" s="82"/>
      <c r="E189" s="82">
        <f t="shared" si="67"/>
        <v>1.0444050243934069</v>
      </c>
      <c r="F189" s="82">
        <f t="shared" si="68"/>
        <v>2.878571535314248</v>
      </c>
      <c r="G189" s="82"/>
      <c r="H189" s="86">
        <f t="shared" si="69"/>
        <v>4.2407535711037392E-2</v>
      </c>
      <c r="I189" s="155">
        <f t="shared" si="90"/>
        <v>4.2407535711038592E-2</v>
      </c>
      <c r="J189" s="153">
        <f t="shared" si="91"/>
        <v>0.75930400493523853</v>
      </c>
      <c r="K189" s="86">
        <f t="shared" si="70"/>
        <v>1.0001498935473232</v>
      </c>
      <c r="L189" s="83">
        <f t="shared" si="71"/>
        <v>-80.714669505171813</v>
      </c>
      <c r="M189" s="83">
        <f t="shared" si="72"/>
        <v>19.629447501632036</v>
      </c>
      <c r="N189" s="83">
        <f t="shared" si="73"/>
        <v>48.108687674349234</v>
      </c>
      <c r="O189" s="84">
        <f t="shared" si="74"/>
        <v>-6512.9623252256761</v>
      </c>
      <c r="P189" s="84">
        <f t="shared" si="75"/>
        <v>-784.14783662323043</v>
      </c>
      <c r="Q189" s="84">
        <f t="shared" si="76"/>
        <v>10654.476026642918</v>
      </c>
      <c r="S189" s="83">
        <f t="shared" si="85"/>
        <v>-80.714669505171514</v>
      </c>
      <c r="T189" s="83">
        <f t="shared" si="86"/>
        <v>19.629447501632058</v>
      </c>
      <c r="U189" s="83">
        <f t="shared" si="87"/>
        <v>48.108687674348403</v>
      </c>
      <c r="V189" s="85">
        <f t="shared" si="77"/>
        <v>95.992806565369236</v>
      </c>
      <c r="W189" s="86">
        <f t="shared" si="92"/>
        <v>4.2407535710470956E-2</v>
      </c>
      <c r="X189" s="86">
        <f t="shared" si="78"/>
        <v>1.0001498935473192</v>
      </c>
      <c r="Y189" s="83">
        <f t="shared" si="79"/>
        <v>95.999999999999147</v>
      </c>
      <c r="Z189" s="82">
        <f t="shared" si="80"/>
        <v>1.0444050243934009</v>
      </c>
      <c r="AA189" s="86">
        <f t="shared" si="93"/>
        <v>2.8785715353145731</v>
      </c>
      <c r="AB189" s="86">
        <f t="shared" si="94"/>
        <v>0.26302111827522068</v>
      </c>
      <c r="AC189" s="82">
        <f t="shared" si="81"/>
        <v>2.8785715353145731</v>
      </c>
      <c r="AD189" s="84">
        <f t="shared" si="82"/>
        <v>14422.000000000005</v>
      </c>
      <c r="AE189" s="84">
        <f t="shared" si="83"/>
        <v>59.839999999999662</v>
      </c>
      <c r="AF189" s="84">
        <f t="shared" si="84"/>
        <v>164.93000000001865</v>
      </c>
      <c r="AG189" s="82"/>
      <c r="AH189" s="87">
        <f t="shared" si="88"/>
        <v>5.4569682106375694E-12</v>
      </c>
      <c r="AI189" s="87">
        <f t="shared" si="89"/>
        <v>3.4106051316484809E-13</v>
      </c>
      <c r="AJ189" s="87">
        <f t="shared" si="95"/>
        <v>1.8644641386345029E-11</v>
      </c>
    </row>
    <row r="190" spans="1:36" x14ac:dyDescent="0.2">
      <c r="A190" s="3">
        <v>14517</v>
      </c>
      <c r="B190" s="3">
        <v>59.37</v>
      </c>
      <c r="C190" s="3">
        <v>161.79</v>
      </c>
      <c r="D190" s="82"/>
      <c r="E190" s="82">
        <f t="shared" si="67"/>
        <v>1.0362019769090334</v>
      </c>
      <c r="F190" s="82">
        <f t="shared" si="68"/>
        <v>2.8237681968016255</v>
      </c>
      <c r="G190" s="82"/>
      <c r="H190" s="86">
        <f t="shared" si="69"/>
        <v>4.7975757949658027E-2</v>
      </c>
      <c r="I190" s="155">
        <f t="shared" si="90"/>
        <v>4.7975757949657034E-2</v>
      </c>
      <c r="J190" s="153">
        <f t="shared" si="91"/>
        <v>0.86804477351261455</v>
      </c>
      <c r="K190" s="86">
        <f t="shared" si="70"/>
        <v>1.0001918502703568</v>
      </c>
      <c r="L190" s="83">
        <f t="shared" si="71"/>
        <v>-78.497928101936807</v>
      </c>
      <c r="M190" s="83">
        <f t="shared" si="72"/>
        <v>23.455294817851186</v>
      </c>
      <c r="N190" s="83">
        <f t="shared" si="73"/>
        <v>48.074874012833767</v>
      </c>
      <c r="O190" s="84">
        <f t="shared" si="74"/>
        <v>-6591.4602533276129</v>
      </c>
      <c r="P190" s="84">
        <f t="shared" si="75"/>
        <v>-760.69254180537928</v>
      </c>
      <c r="Q190" s="84">
        <f t="shared" si="76"/>
        <v>10702.550900655751</v>
      </c>
      <c r="S190" s="83">
        <f t="shared" si="85"/>
        <v>-78.49792810193685</v>
      </c>
      <c r="T190" s="83">
        <f t="shared" si="86"/>
        <v>23.455294817851154</v>
      </c>
      <c r="U190" s="83">
        <f t="shared" si="87"/>
        <v>48.074874012832879</v>
      </c>
      <c r="V190" s="85">
        <f t="shared" si="77"/>
        <v>94.990889471774693</v>
      </c>
      <c r="W190" s="86">
        <f t="shared" si="92"/>
        <v>4.7975757950207143E-2</v>
      </c>
      <c r="X190" s="86">
        <f t="shared" si="78"/>
        <v>1.0001918502703611</v>
      </c>
      <c r="Y190" s="83">
        <f t="shared" si="79"/>
        <v>94.999999999999787</v>
      </c>
      <c r="Z190" s="82">
        <f t="shared" si="80"/>
        <v>1.0362019769090636</v>
      </c>
      <c r="AA190" s="86">
        <f t="shared" si="93"/>
        <v>2.8237681968013018</v>
      </c>
      <c r="AB190" s="86">
        <f t="shared" si="94"/>
        <v>0.31782445678849292</v>
      </c>
      <c r="AC190" s="82">
        <f t="shared" si="81"/>
        <v>2.8237681968013018</v>
      </c>
      <c r="AD190" s="84">
        <f t="shared" si="82"/>
        <v>14517.000000000005</v>
      </c>
      <c r="AE190" s="84">
        <f t="shared" si="83"/>
        <v>59.370000000001724</v>
      </c>
      <c r="AF190" s="84">
        <f t="shared" si="84"/>
        <v>161.78999999998143</v>
      </c>
      <c r="AG190" s="82"/>
      <c r="AH190" s="87">
        <f t="shared" si="88"/>
        <v>5.4569682106375694E-12</v>
      </c>
      <c r="AI190" s="87">
        <f t="shared" si="89"/>
        <v>1.7266188478970435E-12</v>
      </c>
      <c r="AJ190" s="87">
        <f t="shared" si="95"/>
        <v>1.8559376258053817E-11</v>
      </c>
    </row>
    <row r="191" spans="1:36" x14ac:dyDescent="0.2">
      <c r="A191" s="3">
        <v>14611</v>
      </c>
      <c r="B191" s="3">
        <v>58.42</v>
      </c>
      <c r="C191" s="3">
        <v>158.69</v>
      </c>
      <c r="D191" s="82"/>
      <c r="E191" s="82">
        <f t="shared" si="67"/>
        <v>1.0196213490150874</v>
      </c>
      <c r="F191" s="82">
        <f t="shared" si="68"/>
        <v>2.7696629899898015</v>
      </c>
      <c r="G191" s="82"/>
      <c r="H191" s="86">
        <f t="shared" si="69"/>
        <v>4.9201415031729478E-2</v>
      </c>
      <c r="I191" s="155">
        <f t="shared" si="90"/>
        <v>4.9201415031730457E-2</v>
      </c>
      <c r="J191" s="153">
        <f t="shared" si="91"/>
        <v>0.89969151937966807</v>
      </c>
      <c r="K191" s="86">
        <f t="shared" si="70"/>
        <v>1.0002017804501604</v>
      </c>
      <c r="L191" s="83">
        <f t="shared" si="71"/>
        <v>-75.734322744487372</v>
      </c>
      <c r="M191" s="83">
        <f t="shared" si="72"/>
        <v>27.194750036824061</v>
      </c>
      <c r="N191" s="83">
        <f t="shared" si="73"/>
        <v>48.56928630574113</v>
      </c>
      <c r="O191" s="84">
        <f t="shared" si="74"/>
        <v>-6667.1945760721001</v>
      </c>
      <c r="P191" s="84">
        <f t="shared" si="75"/>
        <v>-733.4977917685552</v>
      </c>
      <c r="Q191" s="84">
        <f t="shared" si="76"/>
        <v>10751.120186961492</v>
      </c>
      <c r="S191" s="83">
        <f t="shared" si="85"/>
        <v>-75.734322744487145</v>
      </c>
      <c r="T191" s="83">
        <f t="shared" si="86"/>
        <v>27.194750036824075</v>
      </c>
      <c r="U191" s="83">
        <f t="shared" si="87"/>
        <v>48.569286305741116</v>
      </c>
      <c r="V191" s="85">
        <f t="shared" si="77"/>
        <v>93.990518901538877</v>
      </c>
      <c r="W191" s="86">
        <f t="shared" si="92"/>
        <v>4.9201415031239204E-2</v>
      </c>
      <c r="X191" s="86">
        <f t="shared" si="78"/>
        <v>1.0002017804501562</v>
      </c>
      <c r="Y191" s="83">
        <f t="shared" si="79"/>
        <v>93.999999999999631</v>
      </c>
      <c r="Z191" s="82">
        <f t="shared" si="80"/>
        <v>1.019621349015047</v>
      </c>
      <c r="AA191" s="86">
        <f t="shared" si="93"/>
        <v>2.7696629899901257</v>
      </c>
      <c r="AB191" s="86">
        <f t="shared" si="94"/>
        <v>0.37192966359966828</v>
      </c>
      <c r="AC191" s="82">
        <f t="shared" si="81"/>
        <v>2.7696629899901257</v>
      </c>
      <c r="AD191" s="84">
        <f t="shared" si="82"/>
        <v>14611.000000000005</v>
      </c>
      <c r="AE191" s="84">
        <f t="shared" si="83"/>
        <v>58.419999999997692</v>
      </c>
      <c r="AF191" s="84">
        <f t="shared" si="84"/>
        <v>158.69000000001859</v>
      </c>
      <c r="AG191" s="82"/>
      <c r="AH191" s="87">
        <f t="shared" si="88"/>
        <v>5.4569682106375694E-12</v>
      </c>
      <c r="AI191" s="87">
        <f t="shared" si="89"/>
        <v>2.3092638912203256E-12</v>
      </c>
      <c r="AJ191" s="87">
        <f t="shared" si="95"/>
        <v>1.8587797967484221E-11</v>
      </c>
    </row>
    <row r="192" spans="1:36" x14ac:dyDescent="0.2">
      <c r="A192" s="3">
        <v>14707</v>
      </c>
      <c r="B192" s="3">
        <v>57.8</v>
      </c>
      <c r="C192" s="3">
        <v>156</v>
      </c>
      <c r="D192" s="82"/>
      <c r="E192" s="82">
        <f t="shared" si="67"/>
        <v>1.0088003076527223</v>
      </c>
      <c r="F192" s="82">
        <f t="shared" si="68"/>
        <v>2.7227136331111539</v>
      </c>
      <c r="G192" s="82"/>
      <c r="H192" s="86">
        <f t="shared" si="69"/>
        <v>4.1304225629585245E-2</v>
      </c>
      <c r="I192" s="155">
        <f t="shared" si="90"/>
        <v>4.1304225629585044E-2</v>
      </c>
      <c r="J192" s="153">
        <f t="shared" si="91"/>
        <v>0.73954931394728751</v>
      </c>
      <c r="K192" s="86">
        <f t="shared" si="70"/>
        <v>1.00014219418017</v>
      </c>
      <c r="L192" s="83">
        <f t="shared" si="71"/>
        <v>-75.212234500777342</v>
      </c>
      <c r="M192" s="83">
        <f t="shared" si="72"/>
        <v>31.385593645373476</v>
      </c>
      <c r="N192" s="83">
        <f t="shared" si="73"/>
        <v>50.722323778014548</v>
      </c>
      <c r="O192" s="84">
        <f t="shared" si="74"/>
        <v>-6742.4068105728775</v>
      </c>
      <c r="P192" s="84">
        <f t="shared" si="75"/>
        <v>-702.11219812318177</v>
      </c>
      <c r="Q192" s="84">
        <f t="shared" si="76"/>
        <v>10801.842510739507</v>
      </c>
      <c r="S192" s="83">
        <f t="shared" si="85"/>
        <v>-75.212234500777413</v>
      </c>
      <c r="T192" s="83">
        <f t="shared" si="86"/>
        <v>31.385593645373433</v>
      </c>
      <c r="U192" s="83">
        <f t="shared" si="87"/>
        <v>50.72232377801447</v>
      </c>
      <c r="V192" s="85">
        <f t="shared" si="77"/>
        <v>95.993175989307545</v>
      </c>
      <c r="W192" s="86">
        <f t="shared" si="92"/>
        <v>4.1304225630095726E-2</v>
      </c>
      <c r="X192" s="86">
        <f t="shared" si="78"/>
        <v>1.0001421941801736</v>
      </c>
      <c r="Y192" s="83">
        <f t="shared" si="79"/>
        <v>96.000000000000156</v>
      </c>
      <c r="Z192" s="82">
        <f t="shared" si="80"/>
        <v>1.0088003076527716</v>
      </c>
      <c r="AA192" s="86">
        <f t="shared" si="93"/>
        <v>2.7227136331108301</v>
      </c>
      <c r="AB192" s="86">
        <f t="shared" si="94"/>
        <v>0.4188790204789628</v>
      </c>
      <c r="AC192" s="82">
        <f t="shared" si="81"/>
        <v>2.7227136331108301</v>
      </c>
      <c r="AD192" s="84">
        <f t="shared" si="82"/>
        <v>14707.000000000005</v>
      </c>
      <c r="AE192" s="84">
        <f t="shared" si="83"/>
        <v>57.800000000002818</v>
      </c>
      <c r="AF192" s="84">
        <f t="shared" si="84"/>
        <v>155.99999999998144</v>
      </c>
      <c r="AG192" s="82"/>
      <c r="AH192" s="87">
        <f t="shared" si="88"/>
        <v>5.4569682106375694E-12</v>
      </c>
      <c r="AI192" s="87">
        <f t="shared" si="89"/>
        <v>2.8208546609675977E-12</v>
      </c>
      <c r="AJ192" s="87">
        <f t="shared" si="95"/>
        <v>1.8559376258053817E-11</v>
      </c>
    </row>
    <row r="193" spans="1:36" x14ac:dyDescent="0.2">
      <c r="A193" s="3">
        <v>14803</v>
      </c>
      <c r="B193" s="3">
        <v>57.91</v>
      </c>
      <c r="C193" s="3">
        <v>153.36000000000001</v>
      </c>
      <c r="D193" s="82"/>
      <c r="E193" s="82">
        <f t="shared" si="67"/>
        <v>1.0107201698299162</v>
      </c>
      <c r="F193" s="82">
        <f t="shared" si="68"/>
        <v>2.6766369408585042</v>
      </c>
      <c r="G193" s="82"/>
      <c r="H193" s="86">
        <f t="shared" si="69"/>
        <v>3.9059554502228755E-2</v>
      </c>
      <c r="I193" s="155">
        <f t="shared" si="90"/>
        <v>3.9059554502227874E-2</v>
      </c>
      <c r="J193" s="153">
        <f t="shared" si="91"/>
        <v>0.69935863207466265</v>
      </c>
      <c r="K193" s="86">
        <f t="shared" si="70"/>
        <v>1.0001271567995231</v>
      </c>
      <c r="L193" s="83">
        <f t="shared" si="71"/>
        <v>-73.464291193228831</v>
      </c>
      <c r="M193" s="83">
        <f t="shared" si="72"/>
        <v>34.759040063516743</v>
      </c>
      <c r="N193" s="83">
        <f t="shared" si="73"/>
        <v>51.084590774983873</v>
      </c>
      <c r="O193" s="84">
        <f t="shared" si="74"/>
        <v>-6815.8711017661062</v>
      </c>
      <c r="P193" s="84">
        <f t="shared" si="75"/>
        <v>-667.35315805966502</v>
      </c>
      <c r="Q193" s="84">
        <f t="shared" si="76"/>
        <v>10852.927101514491</v>
      </c>
      <c r="S193" s="83">
        <f t="shared" si="85"/>
        <v>-73.464291193228746</v>
      </c>
      <c r="T193" s="83">
        <f t="shared" si="86"/>
        <v>34.75904006351675</v>
      </c>
      <c r="U193" s="83">
        <f t="shared" si="87"/>
        <v>51.084590774984463</v>
      </c>
      <c r="V193" s="85">
        <f t="shared" si="77"/>
        <v>95.993897521187762</v>
      </c>
      <c r="W193" s="86">
        <f t="shared" si="92"/>
        <v>3.9059554501675198E-2</v>
      </c>
      <c r="X193" s="86">
        <f t="shared" si="78"/>
        <v>1.0001271567995194</v>
      </c>
      <c r="Y193" s="83">
        <f t="shared" si="79"/>
        <v>96.000000000000085</v>
      </c>
      <c r="Z193" s="82">
        <f t="shared" si="80"/>
        <v>1.0107201698298489</v>
      </c>
      <c r="AA193" s="86">
        <f t="shared" si="93"/>
        <v>2.6766369408588249</v>
      </c>
      <c r="AB193" s="86">
        <f t="shared" si="94"/>
        <v>0.46495571273096842</v>
      </c>
      <c r="AC193" s="82">
        <f t="shared" si="81"/>
        <v>2.6766369408588249</v>
      </c>
      <c r="AD193" s="84">
        <f t="shared" si="82"/>
        <v>14803.000000000005</v>
      </c>
      <c r="AE193" s="84">
        <f t="shared" si="83"/>
        <v>57.909999999996145</v>
      </c>
      <c r="AF193" s="84">
        <f t="shared" si="84"/>
        <v>153.3600000000184</v>
      </c>
      <c r="AG193" s="82"/>
      <c r="AH193" s="87">
        <f t="shared" si="88"/>
        <v>5.4569682106375694E-12</v>
      </c>
      <c r="AI193" s="87">
        <f t="shared" si="89"/>
        <v>3.851141627819743E-12</v>
      </c>
      <c r="AJ193" s="87">
        <f t="shared" si="95"/>
        <v>1.8388846001471393E-11</v>
      </c>
    </row>
    <row r="194" spans="1:36" x14ac:dyDescent="0.2">
      <c r="A194" s="3">
        <v>14900</v>
      </c>
      <c r="B194" s="3">
        <v>58.12</v>
      </c>
      <c r="C194" s="3">
        <v>151.01</v>
      </c>
      <c r="D194" s="82"/>
      <c r="E194" s="82">
        <f t="shared" si="67"/>
        <v>1.0143853612591043</v>
      </c>
      <c r="F194" s="82">
        <f t="shared" si="68"/>
        <v>2.6356217034366369</v>
      </c>
      <c r="G194" s="82"/>
      <c r="H194" s="86">
        <f t="shared" si="69"/>
        <v>3.498040286232329E-2</v>
      </c>
      <c r="I194" s="155">
        <f t="shared" si="90"/>
        <v>3.498040286232322E-2</v>
      </c>
      <c r="J194" s="153">
        <f t="shared" si="91"/>
        <v>0.61986477825107289</v>
      </c>
      <c r="K194" s="86">
        <f t="shared" si="70"/>
        <v>1.0001019815274703</v>
      </c>
      <c r="L194" s="83">
        <f t="shared" si="71"/>
        <v>-72.759167748110556</v>
      </c>
      <c r="M194" s="83">
        <f t="shared" si="72"/>
        <v>38.388087413560804</v>
      </c>
      <c r="N194" s="83">
        <f t="shared" si="73"/>
        <v>51.385784665447844</v>
      </c>
      <c r="O194" s="84">
        <f t="shared" si="74"/>
        <v>-6888.6302695142167</v>
      </c>
      <c r="P194" s="84">
        <f t="shared" si="75"/>
        <v>-628.96507064610421</v>
      </c>
      <c r="Q194" s="84">
        <f t="shared" si="76"/>
        <v>10904.31288617994</v>
      </c>
      <c r="S194" s="83">
        <f t="shared" si="85"/>
        <v>-72.759167748110485</v>
      </c>
      <c r="T194" s="83">
        <f t="shared" si="86"/>
        <v>38.388087413560811</v>
      </c>
      <c r="U194" s="83">
        <f t="shared" si="87"/>
        <v>51.385784665448227</v>
      </c>
      <c r="V194" s="85">
        <f t="shared" si="77"/>
        <v>96.995054576780774</v>
      </c>
      <c r="W194" s="86">
        <f t="shared" si="92"/>
        <v>3.4980402862873294E-2</v>
      </c>
      <c r="X194" s="86">
        <f t="shared" si="78"/>
        <v>1.0001019815274734</v>
      </c>
      <c r="Y194" s="83">
        <f t="shared" si="79"/>
        <v>97.000000000000313</v>
      </c>
      <c r="Z194" s="82">
        <f t="shared" si="80"/>
        <v>1.01438536125917</v>
      </c>
      <c r="AA194" s="86">
        <f t="shared" si="93"/>
        <v>2.6356217034363167</v>
      </c>
      <c r="AB194" s="86">
        <f t="shared" si="94"/>
        <v>0.50597095015347548</v>
      </c>
      <c r="AC194" s="82">
        <f t="shared" si="81"/>
        <v>2.6356217034363167</v>
      </c>
      <c r="AD194" s="84">
        <f t="shared" si="82"/>
        <v>14900.000000000005</v>
      </c>
      <c r="AE194" s="84">
        <f t="shared" si="83"/>
        <v>58.120000000003763</v>
      </c>
      <c r="AF194" s="84">
        <f t="shared" si="84"/>
        <v>151.00999999998166</v>
      </c>
      <c r="AG194" s="82"/>
      <c r="AH194" s="87">
        <f t="shared" si="88"/>
        <v>5.4569682106375694E-12</v>
      </c>
      <c r="AI194" s="87">
        <f t="shared" si="89"/>
        <v>3.765876499528531E-12</v>
      </c>
      <c r="AJ194" s="87">
        <f t="shared" si="95"/>
        <v>1.8332002582610585E-11</v>
      </c>
    </row>
    <row r="195" spans="1:36" x14ac:dyDescent="0.2">
      <c r="A195" s="3">
        <v>14996</v>
      </c>
      <c r="B195" s="3">
        <v>58.16</v>
      </c>
      <c r="C195" s="3">
        <v>148.28</v>
      </c>
      <c r="D195" s="82"/>
      <c r="E195" s="82">
        <f t="shared" si="67"/>
        <v>1.015083492959902</v>
      </c>
      <c r="F195" s="82">
        <f t="shared" si="68"/>
        <v>2.587974214857192</v>
      </c>
      <c r="G195" s="82"/>
      <c r="H195" s="86">
        <f t="shared" si="69"/>
        <v>4.0473889938413832E-2</v>
      </c>
      <c r="I195" s="155">
        <f t="shared" si="90"/>
        <v>4.0473889938413887E-2</v>
      </c>
      <c r="J195" s="153">
        <f t="shared" si="91"/>
        <v>0.72468221060878746</v>
      </c>
      <c r="K195" s="86">
        <f t="shared" si="70"/>
        <v>1.0001365336800097</v>
      </c>
      <c r="L195" s="83">
        <f t="shared" si="71"/>
        <v>-70.348304262898097</v>
      </c>
      <c r="M195" s="83">
        <f t="shared" si="72"/>
        <v>41.199357850424896</v>
      </c>
      <c r="N195" s="83">
        <f t="shared" si="73"/>
        <v>50.680084653380256</v>
      </c>
      <c r="O195" s="84">
        <f t="shared" si="74"/>
        <v>-6958.9785737771144</v>
      </c>
      <c r="P195" s="84">
        <f t="shared" si="75"/>
        <v>-587.76571279567929</v>
      </c>
      <c r="Q195" s="84">
        <f t="shared" si="76"/>
        <v>10954.99297083332</v>
      </c>
      <c r="S195" s="83">
        <f t="shared" si="85"/>
        <v>-70.348304262897727</v>
      </c>
      <c r="T195" s="83">
        <f t="shared" si="86"/>
        <v>41.199357850424917</v>
      </c>
      <c r="U195" s="83">
        <f t="shared" si="87"/>
        <v>50.680084653380618</v>
      </c>
      <c r="V195" s="85">
        <f t="shared" si="77"/>
        <v>95.993447591106076</v>
      </c>
      <c r="W195" s="86">
        <f t="shared" si="92"/>
        <v>4.0473889937861163E-2</v>
      </c>
      <c r="X195" s="86">
        <f t="shared" si="78"/>
        <v>1.0001365336800059</v>
      </c>
      <c r="Y195" s="83">
        <f t="shared" si="79"/>
        <v>95.999999999999758</v>
      </c>
      <c r="Z195" s="82">
        <f t="shared" si="80"/>
        <v>1.0150834929598194</v>
      </c>
      <c r="AA195" s="86">
        <f t="shared" si="93"/>
        <v>2.5879742148575056</v>
      </c>
      <c r="AB195" s="86">
        <f t="shared" si="94"/>
        <v>0.55361843873228866</v>
      </c>
      <c r="AC195" s="82">
        <f t="shared" si="81"/>
        <v>2.5879742148575056</v>
      </c>
      <c r="AD195" s="84">
        <f t="shared" si="82"/>
        <v>14996.000000000005</v>
      </c>
      <c r="AE195" s="84">
        <f t="shared" si="83"/>
        <v>58.159999999995264</v>
      </c>
      <c r="AF195" s="84">
        <f t="shared" si="84"/>
        <v>148.28000000001796</v>
      </c>
      <c r="AG195" s="82"/>
      <c r="AH195" s="87">
        <f t="shared" si="88"/>
        <v>5.4569682106375694E-12</v>
      </c>
      <c r="AI195" s="87">
        <f t="shared" si="89"/>
        <v>4.7322146201622672E-12</v>
      </c>
      <c r="AJ195" s="87">
        <f t="shared" si="95"/>
        <v>1.7962520360015333E-11</v>
      </c>
    </row>
    <row r="196" spans="1:36" x14ac:dyDescent="0.2">
      <c r="A196" s="3">
        <v>15092</v>
      </c>
      <c r="B196" s="3">
        <v>57.74</v>
      </c>
      <c r="C196" s="3">
        <v>144.81</v>
      </c>
      <c r="D196" s="82"/>
      <c r="E196" s="82">
        <f t="shared" si="67"/>
        <v>1.007753110101526</v>
      </c>
      <c r="F196" s="82">
        <f t="shared" si="68"/>
        <v>2.5274112898129886</v>
      </c>
      <c r="G196" s="82"/>
      <c r="H196" s="86">
        <f t="shared" si="69"/>
        <v>5.1850569488843146E-2</v>
      </c>
      <c r="I196" s="155">
        <f t="shared" si="90"/>
        <v>5.1850569488845415E-2</v>
      </c>
      <c r="J196" s="153">
        <f t="shared" si="91"/>
        <v>0.92838087408140957</v>
      </c>
      <c r="K196" s="86">
        <f t="shared" si="70"/>
        <v>1.0002241003788594</v>
      </c>
      <c r="L196" s="83">
        <f t="shared" si="71"/>
        <v>-67.873778068862492</v>
      </c>
      <c r="M196" s="83">
        <f t="shared" si="72"/>
        <v>44.84127443085594</v>
      </c>
      <c r="N196" s="83">
        <f t="shared" si="73"/>
        <v>50.954350052438286</v>
      </c>
      <c r="O196" s="84">
        <f t="shared" si="74"/>
        <v>-7026.852351845977</v>
      </c>
      <c r="P196" s="84">
        <f t="shared" si="75"/>
        <v>-542.92443836482335</v>
      </c>
      <c r="Q196" s="84">
        <f t="shared" si="76"/>
        <v>11005.947320885758</v>
      </c>
      <c r="S196" s="83">
        <f t="shared" si="85"/>
        <v>-67.873778068862521</v>
      </c>
      <c r="T196" s="83">
        <f t="shared" si="86"/>
        <v>44.841274430855947</v>
      </c>
      <c r="U196" s="83">
        <f t="shared" si="87"/>
        <v>50.954350052437803</v>
      </c>
      <c r="V196" s="85">
        <f t="shared" si="77"/>
        <v>95.98924643516537</v>
      </c>
      <c r="W196" s="86">
        <f t="shared" si="92"/>
        <v>5.1850569489357845E-2</v>
      </c>
      <c r="X196" s="86">
        <f t="shared" si="78"/>
        <v>1.0002241003788639</v>
      </c>
      <c r="Y196" s="83">
        <f t="shared" si="79"/>
        <v>95.999999999999972</v>
      </c>
      <c r="Z196" s="82">
        <f t="shared" si="80"/>
        <v>1.0077531101016262</v>
      </c>
      <c r="AA196" s="86">
        <f t="shared" si="93"/>
        <v>2.5274112898126773</v>
      </c>
      <c r="AB196" s="86">
        <f t="shared" si="94"/>
        <v>0.61418136377711607</v>
      </c>
      <c r="AC196" s="82">
        <f t="shared" si="81"/>
        <v>2.5274112898126773</v>
      </c>
      <c r="AD196" s="84">
        <f t="shared" si="82"/>
        <v>15092.000000000005</v>
      </c>
      <c r="AE196" s="84">
        <f t="shared" si="83"/>
        <v>57.740000000005743</v>
      </c>
      <c r="AF196" s="84">
        <f t="shared" si="84"/>
        <v>144.80999999998215</v>
      </c>
      <c r="AG196" s="82"/>
      <c r="AH196" s="87">
        <f t="shared" si="88"/>
        <v>5.4569682106375694E-12</v>
      </c>
      <c r="AI196" s="87">
        <f t="shared" si="89"/>
        <v>5.7411853049416095E-12</v>
      </c>
      <c r="AJ196" s="87">
        <f t="shared" si="95"/>
        <v>1.7848833522293717E-11</v>
      </c>
    </row>
    <row r="197" spans="1:36" x14ac:dyDescent="0.2">
      <c r="A197" s="3">
        <v>15188</v>
      </c>
      <c r="B197" s="3">
        <v>57.09</v>
      </c>
      <c r="C197" s="3">
        <v>141.53</v>
      </c>
      <c r="D197" s="82"/>
      <c r="E197" s="82">
        <f t="shared" si="67"/>
        <v>0.9964084699635628</v>
      </c>
      <c r="F197" s="82">
        <f t="shared" si="68"/>
        <v>2.4701644903475746</v>
      </c>
      <c r="G197" s="82"/>
      <c r="H197" s="86">
        <f t="shared" si="69"/>
        <v>4.9549481498642134E-2</v>
      </c>
      <c r="I197" s="155">
        <f t="shared" si="90"/>
        <v>4.9549481498640767E-2</v>
      </c>
      <c r="J197" s="153">
        <f t="shared" si="91"/>
        <v>0.88718005216679729</v>
      </c>
      <c r="K197" s="86">
        <f t="shared" si="70"/>
        <v>1.0002046461702729</v>
      </c>
      <c r="L197" s="83">
        <f t="shared" si="71"/>
        <v>-64.735669036710163</v>
      </c>
      <c r="M197" s="83">
        <f t="shared" si="72"/>
        <v>48.470865632147543</v>
      </c>
      <c r="N197" s="83">
        <f t="shared" si="73"/>
        <v>51.710568914741252</v>
      </c>
      <c r="O197" s="84">
        <f t="shared" si="74"/>
        <v>-7091.5880208826875</v>
      </c>
      <c r="P197" s="84">
        <f t="shared" si="75"/>
        <v>-494.45357273267581</v>
      </c>
      <c r="Q197" s="84">
        <f t="shared" si="76"/>
        <v>11057.657889800499</v>
      </c>
      <c r="S197" s="83">
        <f t="shared" si="85"/>
        <v>-64.735669036710533</v>
      </c>
      <c r="T197" s="83">
        <f t="shared" si="86"/>
        <v>48.470865632147536</v>
      </c>
      <c r="U197" s="83">
        <f t="shared" si="87"/>
        <v>51.710568914741089</v>
      </c>
      <c r="V197" s="85">
        <f t="shared" si="77"/>
        <v>95.990179696916968</v>
      </c>
      <c r="W197" s="86">
        <f t="shared" si="92"/>
        <v>4.9549481498152748E-2</v>
      </c>
      <c r="X197" s="86">
        <f t="shared" si="78"/>
        <v>1.0002046461702689</v>
      </c>
      <c r="Y197" s="83">
        <f t="shared" si="79"/>
        <v>95.999999999999957</v>
      </c>
      <c r="Z197" s="82">
        <f t="shared" si="80"/>
        <v>0.99640846996346033</v>
      </c>
      <c r="AA197" s="86">
        <f t="shared" si="93"/>
        <v>2.4701644903478908</v>
      </c>
      <c r="AB197" s="86">
        <f t="shared" si="94"/>
        <v>0.67142816324190402</v>
      </c>
      <c r="AC197" s="82">
        <f t="shared" si="81"/>
        <v>2.4701644903478908</v>
      </c>
      <c r="AD197" s="84">
        <f t="shared" si="82"/>
        <v>15188.000000000005</v>
      </c>
      <c r="AE197" s="84">
        <f t="shared" si="83"/>
        <v>57.089999999994134</v>
      </c>
      <c r="AF197" s="84">
        <f t="shared" si="84"/>
        <v>141.53000000001811</v>
      </c>
      <c r="AG197" s="82"/>
      <c r="AH197" s="87">
        <f t="shared" si="88"/>
        <v>5.4569682106375694E-12</v>
      </c>
      <c r="AI197" s="87">
        <f t="shared" si="89"/>
        <v>5.8690829973784275E-12</v>
      </c>
      <c r="AJ197" s="87">
        <f t="shared" si="95"/>
        <v>1.8104628907167353E-11</v>
      </c>
    </row>
    <row r="198" spans="1:36" x14ac:dyDescent="0.2">
      <c r="A198" s="3">
        <v>15284</v>
      </c>
      <c r="B198" s="3">
        <v>57</v>
      </c>
      <c r="C198" s="3">
        <v>138.85</v>
      </c>
      <c r="D198" s="82"/>
      <c r="E198" s="82">
        <f t="shared" si="67"/>
        <v>0.99483767363676789</v>
      </c>
      <c r="F198" s="82">
        <f t="shared" si="68"/>
        <v>2.4233896663941263</v>
      </c>
      <c r="G198" s="82"/>
      <c r="H198" s="86">
        <f t="shared" si="69"/>
        <v>3.9279017552413364E-2</v>
      </c>
      <c r="I198" s="155">
        <f t="shared" si="90"/>
        <v>3.9279017552412983E-2</v>
      </c>
      <c r="J198" s="153">
        <f t="shared" si="91"/>
        <v>0.7032881028667396</v>
      </c>
      <c r="K198" s="86">
        <f t="shared" si="70"/>
        <v>1.0001285899410794</v>
      </c>
      <c r="L198" s="83">
        <f t="shared" si="71"/>
        <v>-61.870488452525471</v>
      </c>
      <c r="M198" s="83">
        <f t="shared" si="72"/>
        <v>51.565595852582177</v>
      </c>
      <c r="N198" s="83">
        <f t="shared" si="73"/>
        <v>52.2287960984428</v>
      </c>
      <c r="O198" s="84">
        <f t="shared" si="74"/>
        <v>-7153.4585093352125</v>
      </c>
      <c r="P198" s="84">
        <f t="shared" si="75"/>
        <v>-442.88797688009362</v>
      </c>
      <c r="Q198" s="84">
        <f t="shared" si="76"/>
        <v>11109.886685898942</v>
      </c>
      <c r="S198" s="83">
        <f t="shared" si="85"/>
        <v>-61.870488452525024</v>
      </c>
      <c r="T198" s="83">
        <f t="shared" si="86"/>
        <v>51.565595852582192</v>
      </c>
      <c r="U198" s="83">
        <f t="shared" si="87"/>
        <v>52.228796098443127</v>
      </c>
      <c r="V198" s="85">
        <f t="shared" si="77"/>
        <v>95.993828754137226</v>
      </c>
      <c r="W198" s="86">
        <f t="shared" si="92"/>
        <v>3.9279017552956041E-2</v>
      </c>
      <c r="X198" s="86">
        <f t="shared" si="78"/>
        <v>1.000128589941083</v>
      </c>
      <c r="Y198" s="83">
        <f t="shared" si="79"/>
        <v>96.000000000000071</v>
      </c>
      <c r="Z198" s="82">
        <f t="shared" si="80"/>
        <v>0.99483767363686804</v>
      </c>
      <c r="AA198" s="86">
        <f t="shared" si="93"/>
        <v>2.4233896663938048</v>
      </c>
      <c r="AB198" s="86">
        <f t="shared" si="94"/>
        <v>0.71820298719598696</v>
      </c>
      <c r="AC198" s="82">
        <f t="shared" si="81"/>
        <v>2.4233896663938048</v>
      </c>
      <c r="AD198" s="84">
        <f t="shared" si="82"/>
        <v>15284.000000000005</v>
      </c>
      <c r="AE198" s="84">
        <f t="shared" si="83"/>
        <v>57.000000000005741</v>
      </c>
      <c r="AF198" s="84">
        <f t="shared" si="84"/>
        <v>138.84999999998158</v>
      </c>
      <c r="AG198" s="82"/>
      <c r="AH198" s="87">
        <f t="shared" si="88"/>
        <v>5.4569682106375694E-12</v>
      </c>
      <c r="AI198" s="87">
        <f t="shared" si="89"/>
        <v>5.7411853049416095E-12</v>
      </c>
      <c r="AJ198" s="87">
        <f t="shared" si="95"/>
        <v>1.8417267710901797E-11</v>
      </c>
    </row>
    <row r="199" spans="1:36" x14ac:dyDescent="0.2">
      <c r="A199" s="3">
        <v>15380</v>
      </c>
      <c r="B199" s="3">
        <v>57.11</v>
      </c>
      <c r="C199" s="3">
        <v>135.91</v>
      </c>
      <c r="D199" s="82"/>
      <c r="E199" s="82">
        <f t="shared" si="67"/>
        <v>0.99675753581396165</v>
      </c>
      <c r="F199" s="82">
        <f t="shared" si="68"/>
        <v>2.3720769863854931</v>
      </c>
      <c r="G199" s="82"/>
      <c r="H199" s="86">
        <f t="shared" si="69"/>
        <v>4.3102607517828462E-2</v>
      </c>
      <c r="I199" s="155">
        <f t="shared" si="90"/>
        <v>4.3102607517827927E-2</v>
      </c>
      <c r="J199" s="153">
        <f t="shared" si="91"/>
        <v>0.77174921774388261</v>
      </c>
      <c r="K199" s="86">
        <f t="shared" si="70"/>
        <v>1.000154848332895</v>
      </c>
      <c r="L199" s="83">
        <f t="shared" si="71"/>
        <v>-59.271572044669618</v>
      </c>
      <c r="M199" s="83">
        <f t="shared" si="72"/>
        <v>54.542948302174423</v>
      </c>
      <c r="N199" s="83">
        <f t="shared" si="73"/>
        <v>52.216097222116701</v>
      </c>
      <c r="O199" s="84">
        <f t="shared" si="74"/>
        <v>-7212.730081379882</v>
      </c>
      <c r="P199" s="84">
        <f t="shared" si="75"/>
        <v>-388.34502857791921</v>
      </c>
      <c r="Q199" s="84">
        <f t="shared" si="76"/>
        <v>11162.102783121059</v>
      </c>
      <c r="S199" s="83">
        <f t="shared" si="85"/>
        <v>-59.271572044669483</v>
      </c>
      <c r="T199" s="83">
        <f t="shared" si="86"/>
        <v>54.542948302174409</v>
      </c>
      <c r="U199" s="83">
        <f t="shared" si="87"/>
        <v>52.216097222117241</v>
      </c>
      <c r="V199" s="85">
        <f t="shared" si="77"/>
        <v>95.992568833476454</v>
      </c>
      <c r="W199" s="86">
        <f t="shared" si="92"/>
        <v>4.3102607517292224E-2</v>
      </c>
      <c r="X199" s="86">
        <f t="shared" si="78"/>
        <v>1.0001548483328913</v>
      </c>
      <c r="Y199" s="83">
        <f t="shared" si="79"/>
        <v>96</v>
      </c>
      <c r="Z199" s="82">
        <f t="shared" si="80"/>
        <v>0.99675753581384341</v>
      </c>
      <c r="AA199" s="86">
        <f t="shared" si="93"/>
        <v>2.3720769863858089</v>
      </c>
      <c r="AB199" s="86">
        <f t="shared" si="94"/>
        <v>0.76951566720398479</v>
      </c>
      <c r="AC199" s="82">
        <f t="shared" si="81"/>
        <v>2.3720769863858089</v>
      </c>
      <c r="AD199" s="84">
        <f t="shared" si="82"/>
        <v>15380.000000000005</v>
      </c>
      <c r="AE199" s="84">
        <f t="shared" si="83"/>
        <v>57.109999999993228</v>
      </c>
      <c r="AF199" s="84">
        <f t="shared" si="84"/>
        <v>135.91000000001807</v>
      </c>
      <c r="AG199" s="82"/>
      <c r="AH199" s="87">
        <f t="shared" si="88"/>
        <v>5.4569682106375694E-12</v>
      </c>
      <c r="AI199" s="87">
        <f t="shared" si="89"/>
        <v>6.7714722717937548E-12</v>
      </c>
      <c r="AJ199" s="87">
        <f t="shared" si="95"/>
        <v>1.8076207197736949E-11</v>
      </c>
    </row>
    <row r="200" spans="1:36" x14ac:dyDescent="0.2">
      <c r="A200" s="3">
        <v>15476</v>
      </c>
      <c r="B200" s="3">
        <v>56.83</v>
      </c>
      <c r="C200" s="3">
        <v>132.83000000000001</v>
      </c>
      <c r="D200" s="82"/>
      <c r="E200" s="82">
        <f t="shared" si="67"/>
        <v>0.9918706139083775</v>
      </c>
      <c r="F200" s="82">
        <f t="shared" si="68"/>
        <v>2.318320845424068</v>
      </c>
      <c r="G200" s="82"/>
      <c r="H200" s="86">
        <f t="shared" si="69"/>
        <v>4.533083189475029E-2</v>
      </c>
      <c r="I200" s="155">
        <f t="shared" si="90"/>
        <v>4.5330831894748971E-2</v>
      </c>
      <c r="J200" s="153">
        <f t="shared" si="91"/>
        <v>0.81164542168319143</v>
      </c>
      <c r="K200" s="86">
        <f t="shared" si="70"/>
        <v>1.0001712755552539</v>
      </c>
      <c r="L200" s="83">
        <f t="shared" si="71"/>
        <v>-56.273874191582898</v>
      </c>
      <c r="M200" s="83">
        <f t="shared" si="72"/>
        <v>57.520296201419342</v>
      </c>
      <c r="N200" s="83">
        <f t="shared" si="73"/>
        <v>52.336302556697838</v>
      </c>
      <c r="O200" s="84">
        <f t="shared" si="74"/>
        <v>-7269.0039555714648</v>
      </c>
      <c r="P200" s="84">
        <f t="shared" si="75"/>
        <v>-330.82473237649987</v>
      </c>
      <c r="Q200" s="84">
        <f t="shared" si="76"/>
        <v>11214.439085677757</v>
      </c>
      <c r="S200" s="83">
        <f t="shared" si="85"/>
        <v>-56.273874191582763</v>
      </c>
      <c r="T200" s="83">
        <f t="shared" si="86"/>
        <v>57.520296201419342</v>
      </c>
      <c r="U200" s="83">
        <f t="shared" si="87"/>
        <v>52.336302556697774</v>
      </c>
      <c r="V200" s="85">
        <f t="shared" si="77"/>
        <v>95.991780673843692</v>
      </c>
      <c r="W200" s="86">
        <f t="shared" si="92"/>
        <v>4.5330831895256107E-2</v>
      </c>
      <c r="X200" s="86">
        <f t="shared" si="78"/>
        <v>1.0001712755552576</v>
      </c>
      <c r="Y200" s="83">
        <f t="shared" si="79"/>
        <v>96.000000000000057</v>
      </c>
      <c r="Z200" s="82">
        <f t="shared" si="80"/>
        <v>0.9918706139085034</v>
      </c>
      <c r="AA200" s="86">
        <f t="shared" si="93"/>
        <v>2.3183208454237536</v>
      </c>
      <c r="AB200" s="86">
        <f t="shared" si="94"/>
        <v>0.82327180816603995</v>
      </c>
      <c r="AC200" s="82">
        <f t="shared" si="81"/>
        <v>2.3183208454237536</v>
      </c>
      <c r="AD200" s="84">
        <f t="shared" si="82"/>
        <v>15476.000000000005</v>
      </c>
      <c r="AE200" s="84">
        <f t="shared" si="83"/>
        <v>56.830000000007217</v>
      </c>
      <c r="AF200" s="84">
        <f t="shared" si="84"/>
        <v>132.82999999998199</v>
      </c>
      <c r="AG200" s="82"/>
      <c r="AH200" s="87">
        <f t="shared" si="88"/>
        <v>5.4569682106375694E-12</v>
      </c>
      <c r="AI200" s="87">
        <f t="shared" si="89"/>
        <v>7.2191141953226179E-12</v>
      </c>
      <c r="AJ200" s="87">
        <f t="shared" si="95"/>
        <v>1.8019363778876141E-11</v>
      </c>
    </row>
    <row r="201" spans="1:36" s="127" customFormat="1" x14ac:dyDescent="0.2">
      <c r="A201" s="27">
        <v>15572</v>
      </c>
      <c r="B201" s="27">
        <v>56.59</v>
      </c>
      <c r="C201" s="27">
        <v>130.13999999999999</v>
      </c>
      <c r="E201" s="127">
        <f t="shared" si="67"/>
        <v>0.98768182370359114</v>
      </c>
      <c r="F201" s="127">
        <f t="shared" si="68"/>
        <v>2.2713714885454204</v>
      </c>
      <c r="H201" s="128">
        <f t="shared" si="69"/>
        <v>3.9466881168880974E-2</v>
      </c>
      <c r="I201" s="155">
        <f t="shared" si="90"/>
        <v>3.9466881168880578E-2</v>
      </c>
      <c r="J201" s="154">
        <f t="shared" si="91"/>
        <v>0.70665178797538275</v>
      </c>
      <c r="K201" s="128">
        <f t="shared" si="70"/>
        <v>1.0001298231141695</v>
      </c>
      <c r="L201" s="129">
        <f t="shared" si="71"/>
        <v>-53.151416456455607</v>
      </c>
      <c r="M201" s="129">
        <f t="shared" si="72"/>
        <v>60.104538399647907</v>
      </c>
      <c r="N201" s="129">
        <f t="shared" si="73"/>
        <v>52.69891072015303</v>
      </c>
      <c r="O201" s="130">
        <f t="shared" si="74"/>
        <v>-7322.1553720279207</v>
      </c>
      <c r="P201" s="130">
        <f t="shared" si="75"/>
        <v>-270.72019397685199</v>
      </c>
      <c r="Q201" s="131">
        <f t="shared" si="76"/>
        <v>11267.137996397911</v>
      </c>
      <c r="S201" s="129">
        <f t="shared" si="85"/>
        <v>-53.151416456455991</v>
      </c>
      <c r="T201" s="129">
        <f t="shared" si="86"/>
        <v>60.104538399647879</v>
      </c>
      <c r="U201" s="129">
        <f t="shared" si="87"/>
        <v>52.698910720153435</v>
      </c>
      <c r="V201" s="132">
        <f t="shared" si="77"/>
        <v>95.993769582473789</v>
      </c>
      <c r="W201" s="128">
        <f t="shared" si="92"/>
        <v>3.9466881168375156E-2</v>
      </c>
      <c r="X201" s="128">
        <f t="shared" si="78"/>
        <v>1.0001298231141662</v>
      </c>
      <c r="Y201" s="129">
        <f t="shared" si="79"/>
        <v>96.000000000000256</v>
      </c>
      <c r="Z201" s="127">
        <f t="shared" si="80"/>
        <v>0.9876818237034537</v>
      </c>
      <c r="AA201" s="128">
        <f t="shared" si="93"/>
        <v>2.2713714885457392</v>
      </c>
      <c r="AB201" s="128">
        <f t="shared" si="94"/>
        <v>0.87022116504405422</v>
      </c>
      <c r="AC201" s="127">
        <f t="shared" si="81"/>
        <v>2.2713714885457392</v>
      </c>
      <c r="AD201" s="131">
        <f t="shared" si="82"/>
        <v>15572.000000000005</v>
      </c>
      <c r="AE201" s="131">
        <f t="shared" si="83"/>
        <v>56.589999999992131</v>
      </c>
      <c r="AF201" s="131">
        <f t="shared" si="84"/>
        <v>130.14000000001826</v>
      </c>
      <c r="AH201" s="133">
        <f t="shared" si="88"/>
        <v>5.4569682106375694E-12</v>
      </c>
      <c r="AI201" s="133">
        <f t="shared" si="89"/>
        <v>7.8728135122219101E-12</v>
      </c>
      <c r="AJ201" s="133">
        <f t="shared" si="95"/>
        <v>1.8275159163749777E-11</v>
      </c>
    </row>
    <row r="202" spans="1:36" x14ac:dyDescent="0.2">
      <c r="A202" s="3">
        <v>15668</v>
      </c>
      <c r="B202" s="3">
        <v>56.23</v>
      </c>
      <c r="C202" s="3">
        <v>127.72</v>
      </c>
      <c r="D202" s="82"/>
      <c r="E202" s="82">
        <f t="shared" ref="E202:E233" si="96">RADIANS(B202)</f>
        <v>0.9813986383964115</v>
      </c>
      <c r="F202" s="82">
        <f t="shared" ref="F202:F233" si="97">RADIANS(C202)</f>
        <v>2.2291345206471576</v>
      </c>
      <c r="G202" s="82"/>
      <c r="H202" s="86">
        <f t="shared" ref="H202:H233" si="98">ACOS(MAX(-1,MIN(1, COS(E202-E201)-SIN(E201)*SIN(E202)*(1-COS(F202-F201)))))</f>
        <v>3.5739848828474585E-2</v>
      </c>
      <c r="I202" s="155">
        <f t="shared" si="90"/>
        <v>3.573984882847657E-2</v>
      </c>
      <c r="J202" s="153">
        <f t="shared" si="91"/>
        <v>0.63991953072099161</v>
      </c>
      <c r="K202" s="86">
        <f t="shared" ref="K202:K233" si="99">IF(H202=0, 1, 2*TAN(H202/2)/H202)</f>
        <v>1.000106458331192</v>
      </c>
      <c r="L202" s="83">
        <f t="shared" ref="L202:L233" si="100">0.5*(A202-A201)*K202 * (SIN(E201)*COS(F201) + SIN(E202)*COS(F202))</f>
        <v>-50.247239859791556</v>
      </c>
      <c r="M202" s="83">
        <f t="shared" ref="M202:M233" si="101">0.5*(A202-A201)*K202 * (SIN(E201)*SIN(F201) + SIN(E202)*SIN(F202))</f>
        <v>62.199804415293542</v>
      </c>
      <c r="N202" s="83">
        <f t="shared" ref="N202:N233" si="102">0.5*(A202-A201)*K202 * (COS(E201) + COS(E202))</f>
        <v>53.11702424158878</v>
      </c>
      <c r="O202" s="84">
        <f t="shared" ref="O202:O233" si="103">O201+L202</f>
        <v>-7372.4026118877127</v>
      </c>
      <c r="P202" s="84">
        <f t="shared" ref="P202:P233" si="104">P201+M202</f>
        <v>-208.52038956155843</v>
      </c>
      <c r="Q202" s="84">
        <f t="shared" ref="Q202:Q233" si="105">Q201+N202</f>
        <v>11320.255020639499</v>
      </c>
      <c r="S202" s="83">
        <f t="shared" si="85"/>
        <v>-50.247239859791989</v>
      </c>
      <c r="T202" s="83">
        <f t="shared" si="86"/>
        <v>62.199804415293556</v>
      </c>
      <c r="U202" s="83">
        <f t="shared" si="87"/>
        <v>53.117024241588297</v>
      </c>
      <c r="V202" s="85">
        <f t="shared" ref="V202:V233" si="106">SQRT(S202^2+T202^2+U202^2)</f>
        <v>95.994890734401693</v>
      </c>
      <c r="W202" s="86">
        <f t="shared" si="92"/>
        <v>3.5739848828954646E-2</v>
      </c>
      <c r="X202" s="86">
        <f t="shared" ref="X202:X233" si="107">IF(W202=0, 1, 2*TAN(W202/2)/W202)</f>
        <v>1.0001064583311947</v>
      </c>
      <c r="Y202" s="83">
        <f t="shared" ref="Y202:Y233" si="108">IF(W202=0, V202, 0.5*W202*V202/SIN(W202/2))</f>
        <v>96.000000000000114</v>
      </c>
      <c r="Z202" s="82">
        <f t="shared" ref="Z202:Z233" si="109">ACOS(MAX(-1,MIN(1, U202/(0.5*Y202*X202) - COS(Z201))))</f>
        <v>0.98139863839656694</v>
      </c>
      <c r="AA202" s="86">
        <f t="shared" si="93"/>
        <v>2.2291345206468494</v>
      </c>
      <c r="AB202" s="86">
        <f t="shared" si="94"/>
        <v>0.91245813294294298</v>
      </c>
      <c r="AC202" s="82">
        <f t="shared" ref="AC202:AC233" si="110">IF(Z202&lt;0.000001, 0, SIGN(AB202)*AA202)</f>
        <v>2.2291345206468494</v>
      </c>
      <c r="AD202" s="84">
        <f t="shared" ref="AD202:AD233" si="111">AD201+Y202</f>
        <v>15668.000000000005</v>
      </c>
      <c r="AE202" s="84">
        <f t="shared" ref="AE202:AE233" si="112">DEGREES(Z202)</f>
        <v>56.230000000008907</v>
      </c>
      <c r="AF202" s="84">
        <f t="shared" ref="AF202:AF233" si="113">MOD(DEGREES(AC202),360)</f>
        <v>127.71999999998233</v>
      </c>
      <c r="AG202" s="82"/>
      <c r="AH202" s="87">
        <f t="shared" si="88"/>
        <v>5.4569682106375694E-12</v>
      </c>
      <c r="AI202" s="87">
        <f t="shared" si="89"/>
        <v>8.9102059064316563E-12</v>
      </c>
      <c r="AJ202" s="87">
        <f t="shared" si="95"/>
        <v>1.7664092410996091E-11</v>
      </c>
    </row>
    <row r="203" spans="1:36" x14ac:dyDescent="0.2">
      <c r="A203" s="3">
        <v>15764</v>
      </c>
      <c r="B203" s="3">
        <v>56.15</v>
      </c>
      <c r="C203" s="3">
        <v>125.18</v>
      </c>
      <c r="D203" s="82"/>
      <c r="E203" s="82">
        <f t="shared" si="96"/>
        <v>0.98000237499481602</v>
      </c>
      <c r="F203" s="82">
        <f t="shared" si="97"/>
        <v>2.1848031576465017</v>
      </c>
      <c r="G203" s="82"/>
      <c r="H203" s="86">
        <f t="shared" si="98"/>
        <v>3.6859883268077542E-2</v>
      </c>
      <c r="I203" s="155">
        <f t="shared" si="90"/>
        <v>3.6859883268078049E-2</v>
      </c>
      <c r="J203" s="153">
        <f t="shared" si="91"/>
        <v>0.65997367018928843</v>
      </c>
      <c r="K203" s="86">
        <f t="shared" si="99"/>
        <v>1.0001132363010976</v>
      </c>
      <c r="L203" s="83">
        <f t="shared" si="100"/>
        <v>-47.384554717806303</v>
      </c>
      <c r="M203" s="83">
        <f t="shared" si="101"/>
        <v>64.152168694602906</v>
      </c>
      <c r="N203" s="83">
        <f t="shared" si="102"/>
        <v>53.424337424673347</v>
      </c>
      <c r="O203" s="84">
        <f t="shared" si="103"/>
        <v>-7419.7871666055189</v>
      </c>
      <c r="P203" s="84">
        <f t="shared" si="104"/>
        <v>-144.36822086695554</v>
      </c>
      <c r="Q203" s="84">
        <f t="shared" si="105"/>
        <v>11373.679358064172</v>
      </c>
      <c r="S203" s="83">
        <f t="shared" si="85"/>
        <v>-47.384554717806168</v>
      </c>
      <c r="T203" s="83">
        <f t="shared" si="86"/>
        <v>64.152168694602892</v>
      </c>
      <c r="U203" s="83">
        <f t="shared" si="87"/>
        <v>53.424337424672558</v>
      </c>
      <c r="V203" s="85">
        <f t="shared" si="106"/>
        <v>95.994565488317221</v>
      </c>
      <c r="W203" s="86">
        <f t="shared" si="92"/>
        <v>3.6859883267582383E-2</v>
      </c>
      <c r="X203" s="86">
        <f t="shared" si="107"/>
        <v>1.0001132363010945</v>
      </c>
      <c r="Y203" s="83">
        <f t="shared" si="108"/>
        <v>95.999999999999346</v>
      </c>
      <c r="Z203" s="82">
        <f t="shared" si="109"/>
        <v>0.98000237499466714</v>
      </c>
      <c r="AA203" s="86">
        <f t="shared" si="93"/>
        <v>2.1848031576468032</v>
      </c>
      <c r="AB203" s="86">
        <f t="shared" si="94"/>
        <v>0.95678949594298957</v>
      </c>
      <c r="AC203" s="82">
        <f t="shared" si="110"/>
        <v>2.1848031576468032</v>
      </c>
      <c r="AD203" s="84">
        <f t="shared" si="111"/>
        <v>15764.000000000005</v>
      </c>
      <c r="AE203" s="84">
        <f t="shared" si="112"/>
        <v>56.149999999991472</v>
      </c>
      <c r="AF203" s="84">
        <f t="shared" si="113"/>
        <v>125.18000000001727</v>
      </c>
      <c r="AG203" s="82"/>
      <c r="AH203" s="87">
        <f t="shared" si="88"/>
        <v>5.4569682106375694E-12</v>
      </c>
      <c r="AI203" s="87">
        <f t="shared" si="89"/>
        <v>8.5265128291212022E-12</v>
      </c>
      <c r="AJ203" s="87">
        <f t="shared" si="95"/>
        <v>1.7266188478970435E-11</v>
      </c>
    </row>
    <row r="204" spans="1:36" x14ac:dyDescent="0.2">
      <c r="A204" s="3">
        <v>15861</v>
      </c>
      <c r="B204" s="3">
        <v>55.89</v>
      </c>
      <c r="C204" s="3">
        <v>122.24</v>
      </c>
      <c r="D204" s="82"/>
      <c r="E204" s="82">
        <f t="shared" si="96"/>
        <v>0.97546451893963082</v>
      </c>
      <c r="F204" s="82">
        <f t="shared" si="97"/>
        <v>2.1334904776378685</v>
      </c>
      <c r="G204" s="82"/>
      <c r="H204" s="86">
        <f t="shared" si="98"/>
        <v>4.2789907822646134E-2</v>
      </c>
      <c r="I204" s="155">
        <f t="shared" si="90"/>
        <v>4.2789907822646592E-2</v>
      </c>
      <c r="J204" s="153">
        <f t="shared" si="91"/>
        <v>0.75825189401797399</v>
      </c>
      <c r="K204" s="86">
        <f t="shared" si="99"/>
        <v>1.0001526092934154</v>
      </c>
      <c r="L204" s="83">
        <f t="shared" si="100"/>
        <v>-44.635537879179552</v>
      </c>
      <c r="M204" s="83">
        <f t="shared" si="101"/>
        <v>66.897180032244265</v>
      </c>
      <c r="N204" s="83">
        <f t="shared" si="102"/>
        <v>54.221771565086726</v>
      </c>
      <c r="O204" s="84">
        <f t="shared" si="103"/>
        <v>-7464.4227044846984</v>
      </c>
      <c r="P204" s="84">
        <f t="shared" si="104"/>
        <v>-77.471040834711275</v>
      </c>
      <c r="Q204" s="84">
        <f t="shared" si="105"/>
        <v>11427.901129629257</v>
      </c>
      <c r="S204" s="83">
        <f t="shared" si="85"/>
        <v>-44.635537879179537</v>
      </c>
      <c r="T204" s="83">
        <f t="shared" si="86"/>
        <v>66.897180032244265</v>
      </c>
      <c r="U204" s="83">
        <f t="shared" si="87"/>
        <v>54.221771565085874</v>
      </c>
      <c r="V204" s="85">
        <f t="shared" si="106"/>
        <v>96.992599973846083</v>
      </c>
      <c r="W204" s="86">
        <f t="shared" si="92"/>
        <v>4.2789907823128637E-2</v>
      </c>
      <c r="X204" s="86">
        <f t="shared" si="107"/>
        <v>1.000152609293419</v>
      </c>
      <c r="Y204" s="83">
        <f t="shared" si="108"/>
        <v>96.999999999999687</v>
      </c>
      <c r="Z204" s="82">
        <f t="shared" si="109"/>
        <v>0.97546451893980202</v>
      </c>
      <c r="AA204" s="86">
        <f t="shared" si="93"/>
        <v>2.1334904776375705</v>
      </c>
      <c r="AB204" s="86">
        <f t="shared" si="94"/>
        <v>1.00810217595222</v>
      </c>
      <c r="AC204" s="82">
        <f t="shared" si="110"/>
        <v>2.1334904776375705</v>
      </c>
      <c r="AD204" s="84">
        <f t="shared" si="111"/>
        <v>15861.000000000005</v>
      </c>
      <c r="AE204" s="84">
        <f t="shared" si="112"/>
        <v>55.890000000009813</v>
      </c>
      <c r="AF204" s="84">
        <f t="shared" si="113"/>
        <v>122.23999999998293</v>
      </c>
      <c r="AG204" s="82"/>
      <c r="AH204" s="87">
        <f t="shared" si="88"/>
        <v>5.4569682106375694E-12</v>
      </c>
      <c r="AI204" s="87">
        <f t="shared" si="89"/>
        <v>9.8125951808469836E-12</v>
      </c>
      <c r="AJ204" s="87">
        <f t="shared" si="95"/>
        <v>1.7067236512957606E-11</v>
      </c>
    </row>
    <row r="205" spans="1:36" x14ac:dyDescent="0.2">
      <c r="A205" s="3">
        <v>15958</v>
      </c>
      <c r="B205" s="3">
        <v>55.59</v>
      </c>
      <c r="C205" s="3">
        <v>119.34</v>
      </c>
      <c r="D205" s="82"/>
      <c r="E205" s="82">
        <f t="shared" si="96"/>
        <v>0.97022853118364782</v>
      </c>
      <c r="F205" s="82">
        <f t="shared" si="97"/>
        <v>2.082875929330033</v>
      </c>
      <c r="G205" s="82"/>
      <c r="H205" s="86">
        <f t="shared" si="98"/>
        <v>4.2157385810889458E-2</v>
      </c>
      <c r="I205" s="155">
        <f t="shared" si="90"/>
        <v>4.215738581089002E-2</v>
      </c>
      <c r="J205" s="153">
        <f t="shared" si="91"/>
        <v>0.74704338626866007</v>
      </c>
      <c r="K205" s="86">
        <f t="shared" si="99"/>
        <v>1.000148130091272</v>
      </c>
      <c r="L205" s="83">
        <f t="shared" si="100"/>
        <v>-41.034194901146236</v>
      </c>
      <c r="M205" s="83">
        <f t="shared" si="101"/>
        <v>68.855757987296812</v>
      </c>
      <c r="N205" s="83">
        <f t="shared" si="102"/>
        <v>54.613972708793369</v>
      </c>
      <c r="O205" s="84">
        <f t="shared" si="103"/>
        <v>-7505.4568993858447</v>
      </c>
      <c r="P205" s="84">
        <f t="shared" si="104"/>
        <v>-8.6152828474144627</v>
      </c>
      <c r="Q205" s="84">
        <f t="shared" si="105"/>
        <v>11482.515102338051</v>
      </c>
      <c r="S205" s="83">
        <f t="shared" si="85"/>
        <v>-41.034194901146293</v>
      </c>
      <c r="T205" s="83">
        <f t="shared" si="86"/>
        <v>68.855757987296812</v>
      </c>
      <c r="U205" s="83">
        <f t="shared" si="87"/>
        <v>54.613972708793881</v>
      </c>
      <c r="V205" s="85">
        <f t="shared" si="106"/>
        <v>96.992817126977656</v>
      </c>
      <c r="W205" s="86">
        <f t="shared" si="92"/>
        <v>4.2157385810431158E-2</v>
      </c>
      <c r="X205" s="86">
        <f t="shared" si="107"/>
        <v>1.0001481300912689</v>
      </c>
      <c r="Y205" s="83">
        <f t="shared" si="108"/>
        <v>97.000000000000128</v>
      </c>
      <c r="Z205" s="82">
        <f t="shared" si="109"/>
        <v>0.97022853118346097</v>
      </c>
      <c r="AA205" s="86">
        <f t="shared" si="93"/>
        <v>2.0828759293303274</v>
      </c>
      <c r="AB205" s="86">
        <f t="shared" si="94"/>
        <v>1.0587167242594673</v>
      </c>
      <c r="AC205" s="82">
        <f t="shared" si="110"/>
        <v>2.0828759293303274</v>
      </c>
      <c r="AD205" s="84">
        <f t="shared" si="111"/>
        <v>15958.000000000005</v>
      </c>
      <c r="AE205" s="84">
        <f t="shared" si="112"/>
        <v>55.589999999989296</v>
      </c>
      <c r="AF205" s="84">
        <f t="shared" si="113"/>
        <v>119.34000000001687</v>
      </c>
      <c r="AG205" s="82"/>
      <c r="AH205" s="87">
        <f t="shared" si="88"/>
        <v>5.4569682106375694E-12</v>
      </c>
      <c r="AI205" s="87">
        <f t="shared" si="89"/>
        <v>1.070787902790471E-11</v>
      </c>
      <c r="AJ205" s="87">
        <f t="shared" si="95"/>
        <v>1.6868284546944778E-11</v>
      </c>
    </row>
    <row r="206" spans="1:36" x14ac:dyDescent="0.2">
      <c r="A206" s="3">
        <v>16053</v>
      </c>
      <c r="B206" s="3">
        <v>55.4</v>
      </c>
      <c r="C206" s="3">
        <v>116.65</v>
      </c>
      <c r="D206" s="82"/>
      <c r="E206" s="82">
        <f t="shared" si="96"/>
        <v>0.96691240560485858</v>
      </c>
      <c r="F206" s="82">
        <f t="shared" si="97"/>
        <v>2.0359265724513853</v>
      </c>
      <c r="G206" s="82"/>
      <c r="H206" s="86">
        <f t="shared" si="98"/>
        <v>3.8830548013353061E-2</v>
      </c>
      <c r="I206" s="155">
        <f t="shared" si="90"/>
        <v>3.8830548013351535E-2</v>
      </c>
      <c r="J206" s="153">
        <f t="shared" si="91"/>
        <v>0.70257679495112646</v>
      </c>
      <c r="K206" s="86">
        <f t="shared" si="99"/>
        <v>1.0001256699036041</v>
      </c>
      <c r="L206" s="83">
        <f t="shared" si="100"/>
        <v>-36.743916252747319</v>
      </c>
      <c r="M206" s="83">
        <f t="shared" si="101"/>
        <v>69.115343933615222</v>
      </c>
      <c r="N206" s="83">
        <f t="shared" si="102"/>
        <v>53.822113563801672</v>
      </c>
      <c r="O206" s="84">
        <f t="shared" si="103"/>
        <v>-7542.2008156385918</v>
      </c>
      <c r="P206" s="84">
        <f t="shared" si="104"/>
        <v>60.500061086200759</v>
      </c>
      <c r="Q206" s="84">
        <f t="shared" si="105"/>
        <v>11536.337215901853</v>
      </c>
      <c r="S206" s="83">
        <f t="shared" si="85"/>
        <v>-36.743916252747113</v>
      </c>
      <c r="T206" s="83">
        <f t="shared" si="86"/>
        <v>69.115343933615222</v>
      </c>
      <c r="U206" s="83">
        <f t="shared" si="87"/>
        <v>53.822113563801395</v>
      </c>
      <c r="V206" s="85">
        <f t="shared" si="106"/>
        <v>94.99403169213079</v>
      </c>
      <c r="W206" s="86">
        <f t="shared" si="92"/>
        <v>3.8830548013811139E-2</v>
      </c>
      <c r="X206" s="86">
        <f t="shared" si="107"/>
        <v>1.0001256699036072</v>
      </c>
      <c r="Y206" s="83">
        <f t="shared" si="108"/>
        <v>94.999999999999901</v>
      </c>
      <c r="Z206" s="82">
        <f t="shared" si="109"/>
        <v>0.96691240560505576</v>
      </c>
      <c r="AA206" s="86">
        <f t="shared" si="93"/>
        <v>2.0359265724510918</v>
      </c>
      <c r="AB206" s="86">
        <f t="shared" si="94"/>
        <v>1.1056660811387</v>
      </c>
      <c r="AC206" s="82">
        <f t="shared" si="110"/>
        <v>2.0359265724510918</v>
      </c>
      <c r="AD206" s="84">
        <f t="shared" si="111"/>
        <v>16053.000000000005</v>
      </c>
      <c r="AE206" s="84">
        <f t="shared" si="112"/>
        <v>55.400000000011296</v>
      </c>
      <c r="AF206" s="84">
        <f t="shared" si="113"/>
        <v>116.64999999998318</v>
      </c>
      <c r="AG206" s="82"/>
      <c r="AH206" s="87">
        <f t="shared" si="88"/>
        <v>5.4569682106375694E-12</v>
      </c>
      <c r="AI206" s="87">
        <f t="shared" si="89"/>
        <v>1.1297629498585593E-11</v>
      </c>
      <c r="AJ206" s="87">
        <f t="shared" si="95"/>
        <v>1.6825651982799172E-11</v>
      </c>
    </row>
    <row r="207" spans="1:36" x14ac:dyDescent="0.2">
      <c r="A207" s="3">
        <v>16150</v>
      </c>
      <c r="B207" s="3">
        <v>55.56</v>
      </c>
      <c r="C207" s="3">
        <v>113.5</v>
      </c>
      <c r="D207" s="82"/>
      <c r="E207" s="82">
        <f t="shared" si="96"/>
        <v>0.96970493240804956</v>
      </c>
      <c r="F207" s="82">
        <f t="shared" si="97"/>
        <v>1.980948701013564</v>
      </c>
      <c r="G207" s="82"/>
      <c r="H207" s="86">
        <f t="shared" si="98"/>
        <v>4.5381961967882134E-2</v>
      </c>
      <c r="I207" s="155">
        <f t="shared" si="90"/>
        <v>4.5381961967883813E-2</v>
      </c>
      <c r="J207" s="153">
        <f t="shared" si="91"/>
        <v>0.80418398560294724</v>
      </c>
      <c r="K207" s="86">
        <f t="shared" si="99"/>
        <v>1.0001716622269792</v>
      </c>
      <c r="L207" s="83">
        <f t="shared" si="100"/>
        <v>-33.86195576793282</v>
      </c>
      <c r="M207" s="83">
        <f t="shared" si="101"/>
        <v>72.374698787820691</v>
      </c>
      <c r="N207" s="83">
        <f t="shared" si="102"/>
        <v>54.978688603435536</v>
      </c>
      <c r="O207" s="84">
        <f t="shared" si="103"/>
        <v>-7576.0627714065249</v>
      </c>
      <c r="P207" s="84">
        <f t="shared" si="104"/>
        <v>132.87475987402144</v>
      </c>
      <c r="Q207" s="84">
        <f t="shared" si="105"/>
        <v>11591.315904505289</v>
      </c>
      <c r="S207" s="83">
        <f t="shared" si="85"/>
        <v>-33.861955767933068</v>
      </c>
      <c r="T207" s="83">
        <f t="shared" si="86"/>
        <v>72.374698787820677</v>
      </c>
      <c r="U207" s="83">
        <f t="shared" si="87"/>
        <v>54.97868860343624</v>
      </c>
      <c r="V207" s="85">
        <f t="shared" si="106"/>
        <v>96.991676310964124</v>
      </c>
      <c r="W207" s="86">
        <f t="shared" si="92"/>
        <v>4.5381961967389195E-2</v>
      </c>
      <c r="X207" s="86">
        <f t="shared" si="107"/>
        <v>1.0001716622269756</v>
      </c>
      <c r="Y207" s="83">
        <f t="shared" si="108"/>
        <v>97.000000000000298</v>
      </c>
      <c r="Z207" s="82">
        <f t="shared" si="109"/>
        <v>0.9697049324078344</v>
      </c>
      <c r="AA207" s="86">
        <f t="shared" si="93"/>
        <v>1.9809487010138542</v>
      </c>
      <c r="AB207" s="86">
        <f t="shared" si="94"/>
        <v>1.160643952575936</v>
      </c>
      <c r="AC207" s="82">
        <f t="shared" si="110"/>
        <v>1.9809487010138542</v>
      </c>
      <c r="AD207" s="84">
        <f t="shared" si="111"/>
        <v>16150.000000000005</v>
      </c>
      <c r="AE207" s="84">
        <f t="shared" si="112"/>
        <v>55.559999999987674</v>
      </c>
      <c r="AF207" s="84">
        <f t="shared" si="113"/>
        <v>113.50000000001663</v>
      </c>
      <c r="AG207" s="82"/>
      <c r="AH207" s="87">
        <f t="shared" si="88"/>
        <v>5.4569682106375694E-12</v>
      </c>
      <c r="AI207" s="87">
        <f t="shared" si="89"/>
        <v>1.2327916465437738E-11</v>
      </c>
      <c r="AJ207" s="87">
        <f t="shared" si="95"/>
        <v>1.6626700016786344E-11</v>
      </c>
    </row>
    <row r="208" spans="1:36" x14ac:dyDescent="0.2">
      <c r="A208" s="3">
        <v>16246</v>
      </c>
      <c r="B208" s="3">
        <v>56.06</v>
      </c>
      <c r="C208" s="3">
        <v>109.97</v>
      </c>
      <c r="D208" s="82"/>
      <c r="E208" s="82">
        <f t="shared" si="96"/>
        <v>0.97843157866802122</v>
      </c>
      <c r="F208" s="82">
        <f t="shared" si="97"/>
        <v>1.9193385784181642</v>
      </c>
      <c r="G208" s="82"/>
      <c r="H208" s="86">
        <f t="shared" si="98"/>
        <v>5.1701450845520025E-2</v>
      </c>
      <c r="I208" s="155">
        <f t="shared" si="90"/>
        <v>5.1701450845519886E-2</v>
      </c>
      <c r="J208" s="153">
        <f t="shared" si="91"/>
        <v>0.92571091504730596</v>
      </c>
      <c r="K208" s="86">
        <f t="shared" si="99"/>
        <v>1.0002228128939288</v>
      </c>
      <c r="L208" s="83">
        <f t="shared" si="100"/>
        <v>-29.391923201341218</v>
      </c>
      <c r="M208" s="83">
        <f t="shared" si="101"/>
        <v>73.747094497564248</v>
      </c>
      <c r="N208" s="83">
        <f t="shared" si="102"/>
        <v>53.957651837952668</v>
      </c>
      <c r="O208" s="84">
        <f t="shared" si="103"/>
        <v>-7605.4546946078663</v>
      </c>
      <c r="P208" s="84">
        <f t="shared" si="104"/>
        <v>206.6218543715857</v>
      </c>
      <c r="Q208" s="84">
        <f t="shared" si="105"/>
        <v>11645.273556343242</v>
      </c>
      <c r="S208" s="83">
        <f t="shared" si="85"/>
        <v>-29.391923201341342</v>
      </c>
      <c r="T208" s="83">
        <f t="shared" si="86"/>
        <v>73.747094497564262</v>
      </c>
      <c r="U208" s="83">
        <f t="shared" si="87"/>
        <v>53.957651837952653</v>
      </c>
      <c r="V208" s="85">
        <f t="shared" si="106"/>
        <v>95.989308197173372</v>
      </c>
      <c r="W208" s="86">
        <f t="shared" si="92"/>
        <v>5.1701450846050268E-2</v>
      </c>
      <c r="X208" s="86">
        <f t="shared" si="107"/>
        <v>1.0002228128939332</v>
      </c>
      <c r="Y208" s="83">
        <f t="shared" si="108"/>
        <v>96.00000000000027</v>
      </c>
      <c r="Z208" s="82">
        <f t="shared" si="109"/>
        <v>0.97843157866824537</v>
      </c>
      <c r="AA208" s="86">
        <f t="shared" si="93"/>
        <v>1.9193385784178874</v>
      </c>
      <c r="AB208" s="86">
        <f t="shared" si="94"/>
        <v>1.2222540751719055</v>
      </c>
      <c r="AC208" s="82">
        <f t="shared" si="110"/>
        <v>1.9193385784178874</v>
      </c>
      <c r="AD208" s="84">
        <f t="shared" si="111"/>
        <v>16246.000000000005</v>
      </c>
      <c r="AE208" s="84">
        <f t="shared" si="112"/>
        <v>56.060000000012849</v>
      </c>
      <c r="AF208" s="84">
        <f t="shared" si="113"/>
        <v>109.96999999998414</v>
      </c>
      <c r="AG208" s="82"/>
      <c r="AH208" s="87">
        <f t="shared" si="88"/>
        <v>5.4569682106375694E-12</v>
      </c>
      <c r="AI208" s="87">
        <f t="shared" si="89"/>
        <v>1.2846612662542611E-11</v>
      </c>
      <c r="AJ208" s="87">
        <f t="shared" si="95"/>
        <v>1.5859313862165436E-11</v>
      </c>
    </row>
    <row r="209" spans="1:36" x14ac:dyDescent="0.2">
      <c r="A209" s="3">
        <v>16342</v>
      </c>
      <c r="B209" s="3">
        <v>56.39</v>
      </c>
      <c r="C209" s="3">
        <v>107.29</v>
      </c>
      <c r="D209" s="82"/>
      <c r="E209" s="82">
        <f t="shared" si="96"/>
        <v>0.98419116519960248</v>
      </c>
      <c r="F209" s="82">
        <f t="shared" si="97"/>
        <v>1.8725637544647162</v>
      </c>
      <c r="G209" s="82"/>
      <c r="H209" s="86">
        <f t="shared" si="98"/>
        <v>3.9303578813872253E-2</v>
      </c>
      <c r="I209" s="155">
        <f t="shared" si="90"/>
        <v>3.9303578813870893E-2</v>
      </c>
      <c r="J209" s="153">
        <f t="shared" si="91"/>
        <v>0.70372787056083697</v>
      </c>
      <c r="K209" s="86">
        <f t="shared" si="99"/>
        <v>1.0001287508313939</v>
      </c>
      <c r="L209" s="83">
        <f t="shared" si="100"/>
        <v>-25.484646401805289</v>
      </c>
      <c r="M209" s="83">
        <f t="shared" si="101"/>
        <v>75.606388986330984</v>
      </c>
      <c r="N209" s="83">
        <f t="shared" si="102"/>
        <v>53.376215854502185</v>
      </c>
      <c r="O209" s="84">
        <f t="shared" si="103"/>
        <v>-7630.9393410096718</v>
      </c>
      <c r="P209" s="84">
        <f t="shared" si="104"/>
        <v>282.22824335791665</v>
      </c>
      <c r="Q209" s="84">
        <f t="shared" si="105"/>
        <v>11698.649772197743</v>
      </c>
      <c r="S209" s="83">
        <f t="shared" si="85"/>
        <v>-25.484646401805549</v>
      </c>
      <c r="T209" s="83">
        <f t="shared" si="86"/>
        <v>75.606388986330956</v>
      </c>
      <c r="U209" s="83">
        <f t="shared" si="87"/>
        <v>53.376215854501424</v>
      </c>
      <c r="V209" s="85">
        <f t="shared" si="106"/>
        <v>95.993821034084149</v>
      </c>
      <c r="W209" s="86">
        <f t="shared" si="92"/>
        <v>3.9303578813342011E-2</v>
      </c>
      <c r="X209" s="86">
        <f t="shared" si="107"/>
        <v>1.0001287508313903</v>
      </c>
      <c r="Y209" s="83">
        <f t="shared" si="108"/>
        <v>95.999999999999474</v>
      </c>
      <c r="Z209" s="82">
        <f t="shared" si="109"/>
        <v>0.98419116519938576</v>
      </c>
      <c r="AA209" s="86">
        <f t="shared" si="93"/>
        <v>1.8725637544649918</v>
      </c>
      <c r="AB209" s="86">
        <f t="shared" si="94"/>
        <v>1.2690288991248027</v>
      </c>
      <c r="AC209" s="82">
        <f t="shared" si="110"/>
        <v>1.8725637544649918</v>
      </c>
      <c r="AD209" s="84">
        <f t="shared" si="111"/>
        <v>16342.000000000005</v>
      </c>
      <c r="AE209" s="84">
        <f t="shared" si="112"/>
        <v>56.389999999987587</v>
      </c>
      <c r="AF209" s="84">
        <f t="shared" si="113"/>
        <v>107.29000000001579</v>
      </c>
      <c r="AG209" s="82"/>
      <c r="AH209" s="87">
        <f t="shared" si="88"/>
        <v>5.4569682106375694E-12</v>
      </c>
      <c r="AI209" s="87">
        <f t="shared" si="89"/>
        <v>1.241318159372895E-11</v>
      </c>
      <c r="AJ209" s="87">
        <f t="shared" si="95"/>
        <v>1.5788259588589426E-11</v>
      </c>
    </row>
    <row r="210" spans="1:36" x14ac:dyDescent="0.2">
      <c r="A210" s="3">
        <v>16438</v>
      </c>
      <c r="B210" s="3">
        <v>56.75</v>
      </c>
      <c r="C210" s="3">
        <v>104.49</v>
      </c>
      <c r="D210" s="82"/>
      <c r="E210" s="82">
        <f t="shared" si="96"/>
        <v>0.99047435050678201</v>
      </c>
      <c r="F210" s="82">
        <f t="shared" si="97"/>
        <v>1.8236945354088749</v>
      </c>
      <c r="G210" s="82"/>
      <c r="H210" s="86">
        <f t="shared" si="98"/>
        <v>4.126405381893461E-2</v>
      </c>
      <c r="I210" s="155">
        <f t="shared" si="90"/>
        <v>4.1264053818935525E-2</v>
      </c>
      <c r="J210" s="153">
        <f t="shared" si="91"/>
        <v>0.73883004044551248</v>
      </c>
      <c r="K210" s="86">
        <f t="shared" si="99"/>
        <v>1.0001419176761503</v>
      </c>
      <c r="L210" s="83">
        <f t="shared" si="100"/>
        <v>-21.928088706053625</v>
      </c>
      <c r="M210" s="83">
        <f t="shared" si="101"/>
        <v>77.045006241563257</v>
      </c>
      <c r="N210" s="83">
        <f t="shared" si="102"/>
        <v>52.895352561015578</v>
      </c>
      <c r="O210" s="84">
        <f t="shared" si="103"/>
        <v>-7652.8674297157258</v>
      </c>
      <c r="P210" s="84">
        <f t="shared" si="104"/>
        <v>359.27324959947993</v>
      </c>
      <c r="Q210" s="84">
        <f t="shared" si="105"/>
        <v>11751.545124758759</v>
      </c>
      <c r="S210" s="83">
        <f t="shared" si="85"/>
        <v>-21.928088706054041</v>
      </c>
      <c r="T210" s="83">
        <f t="shared" si="86"/>
        <v>77.045006241563271</v>
      </c>
      <c r="U210" s="83">
        <f t="shared" si="87"/>
        <v>52.895352561015898</v>
      </c>
      <c r="V210" s="85">
        <f t="shared" si="106"/>
        <v>95.993189256411682</v>
      </c>
      <c r="W210" s="86">
        <f t="shared" si="92"/>
        <v>4.1264053819445756E-2</v>
      </c>
      <c r="X210" s="86">
        <f t="shared" si="107"/>
        <v>1.0001419176761537</v>
      </c>
      <c r="Y210" s="83">
        <f t="shared" si="108"/>
        <v>96.000000000000469</v>
      </c>
      <c r="Z210" s="82">
        <f t="shared" si="109"/>
        <v>0.99047435050700061</v>
      </c>
      <c r="AA210" s="86">
        <f t="shared" si="93"/>
        <v>1.8236945354086174</v>
      </c>
      <c r="AB210" s="86">
        <f t="shared" si="94"/>
        <v>1.3178981181811746</v>
      </c>
      <c r="AC210" s="82">
        <f t="shared" si="110"/>
        <v>1.8236945354086174</v>
      </c>
      <c r="AD210" s="84">
        <f t="shared" si="111"/>
        <v>16438.000000000007</v>
      </c>
      <c r="AE210" s="84">
        <f t="shared" si="112"/>
        <v>56.750000000012527</v>
      </c>
      <c r="AF210" s="84">
        <f t="shared" si="113"/>
        <v>104.48999999998524</v>
      </c>
      <c r="AG210" s="82"/>
      <c r="AH210" s="87">
        <f t="shared" si="88"/>
        <v>7.2759576141834259E-12</v>
      </c>
      <c r="AI210" s="87">
        <f t="shared" si="89"/>
        <v>1.2526868431450566E-11</v>
      </c>
      <c r="AJ210" s="87">
        <f t="shared" si="95"/>
        <v>1.475086719437968E-11</v>
      </c>
    </row>
    <row r="211" spans="1:36" x14ac:dyDescent="0.2">
      <c r="A211" s="3">
        <v>16534</v>
      </c>
      <c r="B211" s="3">
        <v>57.45</v>
      </c>
      <c r="C211" s="3">
        <v>101.25</v>
      </c>
      <c r="D211" s="82"/>
      <c r="E211" s="82">
        <f t="shared" si="96"/>
        <v>1.0026916552707423</v>
      </c>
      <c r="F211" s="82">
        <f t="shared" si="97"/>
        <v>1.7671458676442586</v>
      </c>
      <c r="G211" s="82"/>
      <c r="H211" s="86">
        <f t="shared" si="98"/>
        <v>4.9023606497185179E-2</v>
      </c>
      <c r="I211" s="155">
        <f t="shared" si="90"/>
        <v>4.9023606497183653E-2</v>
      </c>
      <c r="J211" s="153">
        <f t="shared" si="91"/>
        <v>0.87776429649963505</v>
      </c>
      <c r="K211" s="86">
        <f t="shared" si="99"/>
        <v>1.0002003243105255</v>
      </c>
      <c r="L211" s="83">
        <f t="shared" si="100"/>
        <v>-17.940904765308087</v>
      </c>
      <c r="M211" s="83">
        <f t="shared" si="101"/>
        <v>78.563450023610486</v>
      </c>
      <c r="N211" s="83">
        <f t="shared" si="102"/>
        <v>52.154219956774142</v>
      </c>
      <c r="O211" s="84">
        <f t="shared" si="103"/>
        <v>-7670.8083344810339</v>
      </c>
      <c r="P211" s="84">
        <f t="shared" si="104"/>
        <v>437.8366996230904</v>
      </c>
      <c r="Q211" s="84">
        <f t="shared" si="105"/>
        <v>11803.699344715533</v>
      </c>
      <c r="S211" s="83">
        <f t="shared" si="85"/>
        <v>-17.940904765308005</v>
      </c>
      <c r="T211" s="83">
        <f t="shared" si="86"/>
        <v>78.563450023610471</v>
      </c>
      <c r="U211" s="83">
        <f t="shared" si="87"/>
        <v>52.154219956773886</v>
      </c>
      <c r="V211" s="85">
        <f t="shared" si="106"/>
        <v>95.990387032815647</v>
      </c>
      <c r="W211" s="86">
        <f t="shared" si="92"/>
        <v>4.9023606496675587E-2</v>
      </c>
      <c r="X211" s="86">
        <f t="shared" si="107"/>
        <v>1.0002003243105213</v>
      </c>
      <c r="Y211" s="83">
        <f t="shared" si="108"/>
        <v>95.999999999999631</v>
      </c>
      <c r="Z211" s="82">
        <f t="shared" si="109"/>
        <v>1.0026916552705212</v>
      </c>
      <c r="AA211" s="86">
        <f t="shared" si="93"/>
        <v>1.7671458676445042</v>
      </c>
      <c r="AB211" s="86">
        <f t="shared" si="94"/>
        <v>1.3744467859452909</v>
      </c>
      <c r="AC211" s="82">
        <f t="shared" si="110"/>
        <v>1.7671458676445042</v>
      </c>
      <c r="AD211" s="84">
        <f t="shared" si="111"/>
        <v>16534.000000000007</v>
      </c>
      <c r="AE211" s="84">
        <f t="shared" si="112"/>
        <v>57.449999999987327</v>
      </c>
      <c r="AF211" s="84">
        <f t="shared" si="113"/>
        <v>101.25000000001407</v>
      </c>
      <c r="AG211" s="82"/>
      <c r="AH211" s="87">
        <f t="shared" si="88"/>
        <v>7.2759576141834259E-12</v>
      </c>
      <c r="AI211" s="87">
        <f t="shared" si="89"/>
        <v>1.2676082405960187E-11</v>
      </c>
      <c r="AJ211" s="87">
        <f t="shared" si="95"/>
        <v>1.4068746168049984E-11</v>
      </c>
    </row>
    <row r="212" spans="1:36" x14ac:dyDescent="0.2">
      <c r="A212" s="3">
        <v>16630</v>
      </c>
      <c r="B212" s="3">
        <v>58.44</v>
      </c>
      <c r="C212" s="3">
        <v>98.76</v>
      </c>
      <c r="D212" s="82"/>
      <c r="E212" s="82">
        <f t="shared" si="96"/>
        <v>1.0199704148654862</v>
      </c>
      <c r="F212" s="82">
        <f t="shared" si="97"/>
        <v>1.7236871692695999</v>
      </c>
      <c r="G212" s="82"/>
      <c r="H212" s="86">
        <f t="shared" si="98"/>
        <v>4.06827675910435E-2</v>
      </c>
      <c r="I212" s="155">
        <f t="shared" si="90"/>
        <v>4.0682767591044236E-2</v>
      </c>
      <c r="J212" s="153">
        <f t="shared" si="91"/>
        <v>0.72842215058699988</v>
      </c>
      <c r="K212" s="86">
        <f t="shared" si="99"/>
        <v>1.0001379467963536</v>
      </c>
      <c r="L212" s="83">
        <f t="shared" si="100"/>
        <v>-14.12432378083151</v>
      </c>
      <c r="M212" s="83">
        <f t="shared" si="101"/>
        <v>80.117221228448003</v>
      </c>
      <c r="N212" s="83">
        <f t="shared" si="102"/>
        <v>50.955503169235605</v>
      </c>
      <c r="O212" s="84">
        <f t="shared" si="103"/>
        <v>-7684.9326582618651</v>
      </c>
      <c r="P212" s="84">
        <f t="shared" si="104"/>
        <v>517.95392085153844</v>
      </c>
      <c r="Q212" s="84">
        <f t="shared" si="105"/>
        <v>11854.654847884769</v>
      </c>
      <c r="S212" s="83">
        <f t="shared" si="85"/>
        <v>-14.124323780831219</v>
      </c>
      <c r="T212" s="83">
        <f t="shared" si="86"/>
        <v>80.117221228448045</v>
      </c>
      <c r="U212" s="83">
        <f t="shared" si="87"/>
        <v>50.955503169236181</v>
      </c>
      <c r="V212" s="85">
        <f t="shared" si="106"/>
        <v>95.993379786649243</v>
      </c>
      <c r="W212" s="86">
        <f t="shared" si="92"/>
        <v>4.0682767591609714E-2</v>
      </c>
      <c r="X212" s="86">
        <f t="shared" si="107"/>
        <v>1.0001379467963571</v>
      </c>
      <c r="Y212" s="83">
        <f t="shared" si="108"/>
        <v>96.000000000000497</v>
      </c>
      <c r="Z212" s="82">
        <f t="shared" si="109"/>
        <v>1.0199704148657018</v>
      </c>
      <c r="AA212" s="86">
        <f t="shared" si="93"/>
        <v>1.7236871692693556</v>
      </c>
      <c r="AB212" s="86">
        <f t="shared" si="94"/>
        <v>1.4179054843204393</v>
      </c>
      <c r="AC212" s="82">
        <f t="shared" si="110"/>
        <v>1.7236871692693556</v>
      </c>
      <c r="AD212" s="84">
        <f t="shared" si="111"/>
        <v>16630.000000000007</v>
      </c>
      <c r="AE212" s="84">
        <f t="shared" si="112"/>
        <v>58.440000000012354</v>
      </c>
      <c r="AF212" s="84">
        <f t="shared" si="113"/>
        <v>98.759999999986007</v>
      </c>
      <c r="AG212" s="82"/>
      <c r="AH212" s="87">
        <f t="shared" si="88"/>
        <v>7.2759576141834259E-12</v>
      </c>
      <c r="AI212" s="87">
        <f t="shared" si="89"/>
        <v>1.2356338174868142E-11</v>
      </c>
      <c r="AJ212" s="87">
        <f t="shared" si="95"/>
        <v>1.3997691894473974E-11</v>
      </c>
    </row>
    <row r="213" spans="1:36" x14ac:dyDescent="0.2">
      <c r="A213" s="3">
        <v>16727</v>
      </c>
      <c r="B213" s="3">
        <v>59.52</v>
      </c>
      <c r="C213" s="3">
        <v>96.56</v>
      </c>
      <c r="D213" s="82"/>
      <c r="E213" s="82">
        <f t="shared" si="96"/>
        <v>1.0388199707870249</v>
      </c>
      <c r="F213" s="82">
        <f t="shared" si="97"/>
        <v>1.6852899257257246</v>
      </c>
      <c r="G213" s="82"/>
      <c r="H213" s="86">
        <f t="shared" si="98"/>
        <v>3.7921043655376074E-2</v>
      </c>
      <c r="I213" s="155">
        <f t="shared" si="90"/>
        <v>3.7921043655373729E-2</v>
      </c>
      <c r="J213" s="153">
        <f t="shared" si="91"/>
        <v>0.6719739452116692</v>
      </c>
      <c r="K213" s="86">
        <f t="shared" si="99"/>
        <v>1.000119851030667</v>
      </c>
      <c r="L213" s="83">
        <f t="shared" si="100"/>
        <v>-11.070290231322739</v>
      </c>
      <c r="M213" s="83">
        <f t="shared" si="101"/>
        <v>82.378229708758894</v>
      </c>
      <c r="N213" s="83">
        <f t="shared" si="102"/>
        <v>49.991484095825427</v>
      </c>
      <c r="O213" s="84">
        <f t="shared" si="103"/>
        <v>-7696.0029484931874</v>
      </c>
      <c r="P213" s="84">
        <f t="shared" si="104"/>
        <v>600.33215056029735</v>
      </c>
      <c r="Q213" s="84">
        <f t="shared" si="105"/>
        <v>11904.646331980595</v>
      </c>
      <c r="S213" s="83">
        <f t="shared" si="85"/>
        <v>-11.07029023132236</v>
      </c>
      <c r="T213" s="83">
        <f t="shared" si="86"/>
        <v>82.378229708758909</v>
      </c>
      <c r="U213" s="83">
        <f t="shared" si="87"/>
        <v>49.991484095826308</v>
      </c>
      <c r="V213" s="85">
        <f t="shared" si="106"/>
        <v>96.99418816536388</v>
      </c>
      <c r="W213" s="86">
        <f t="shared" si="92"/>
        <v>3.7921043654792097E-2</v>
      </c>
      <c r="X213" s="86">
        <f t="shared" si="107"/>
        <v>1.0001198510306635</v>
      </c>
      <c r="Y213" s="83">
        <f t="shared" si="108"/>
        <v>97.000000000000227</v>
      </c>
      <c r="Z213" s="82">
        <f t="shared" si="109"/>
        <v>1.0388199707867893</v>
      </c>
      <c r="AA213" s="86">
        <f t="shared" si="93"/>
        <v>1.6852899257259517</v>
      </c>
      <c r="AB213" s="86">
        <f t="shared" si="94"/>
        <v>1.456302727863843</v>
      </c>
      <c r="AC213" s="82">
        <f t="shared" si="110"/>
        <v>1.6852899257259517</v>
      </c>
      <c r="AD213" s="84">
        <f t="shared" si="111"/>
        <v>16727.000000000007</v>
      </c>
      <c r="AE213" s="84">
        <f t="shared" si="112"/>
        <v>59.519999999986503</v>
      </c>
      <c r="AF213" s="84">
        <f t="shared" si="113"/>
        <v>96.560000000013019</v>
      </c>
      <c r="AG213" s="82"/>
      <c r="AH213" s="87">
        <f t="shared" si="88"/>
        <v>7.2759576141834259E-12</v>
      </c>
      <c r="AI213" s="87">
        <f t="shared" si="89"/>
        <v>1.3500311979441904E-11</v>
      </c>
      <c r="AJ213" s="87">
        <f t="shared" si="95"/>
        <v>1.3017142919125035E-11</v>
      </c>
    </row>
    <row r="214" spans="1:36" x14ac:dyDescent="0.2">
      <c r="A214" s="3">
        <v>16824</v>
      </c>
      <c r="B214" s="3">
        <v>60.59</v>
      </c>
      <c r="C214" s="3">
        <v>93.99</v>
      </c>
      <c r="D214" s="82"/>
      <c r="E214" s="82">
        <f t="shared" si="96"/>
        <v>1.0574949937833644</v>
      </c>
      <c r="F214" s="82">
        <f t="shared" si="97"/>
        <v>1.6404349639494702</v>
      </c>
      <c r="G214" s="82"/>
      <c r="H214" s="86">
        <f t="shared" si="98"/>
        <v>4.3119057443010922E-2</v>
      </c>
      <c r="I214" s="155">
        <f t="shared" si="90"/>
        <v>4.3119057443011428E-2</v>
      </c>
      <c r="J214" s="153">
        <f t="shared" si="91"/>
        <v>0.76408453857732517</v>
      </c>
      <c r="K214" s="86">
        <f t="shared" si="99"/>
        <v>1.0001549665718366</v>
      </c>
      <c r="L214" s="83">
        <f t="shared" si="100"/>
        <v>-7.7161400675014642</v>
      </c>
      <c r="M214" s="83">
        <f t="shared" si="101"/>
        <v>83.68422103699379</v>
      </c>
      <c r="N214" s="83">
        <f t="shared" si="102"/>
        <v>48.424731417483514</v>
      </c>
      <c r="O214" s="84">
        <f t="shared" si="103"/>
        <v>-7703.7190885606888</v>
      </c>
      <c r="P214" s="84">
        <f t="shared" si="104"/>
        <v>684.01637159729114</v>
      </c>
      <c r="Q214" s="84">
        <f t="shared" si="105"/>
        <v>11953.071063398078</v>
      </c>
      <c r="S214" s="83">
        <f t="shared" ref="S214:S233" si="114">O214-O213</f>
        <v>-7.7161400675013283</v>
      </c>
      <c r="T214" s="83">
        <f t="shared" ref="T214:T233" si="115">P214-P213</f>
        <v>83.68422103699379</v>
      </c>
      <c r="U214" s="83">
        <f t="shared" ref="U214:U233" si="116">Q214-Q213</f>
        <v>48.42473141748269</v>
      </c>
      <c r="V214" s="85">
        <f t="shared" si="106"/>
        <v>96.992485693300324</v>
      </c>
      <c r="W214" s="86">
        <f t="shared" si="92"/>
        <v>4.3119057443555597E-2</v>
      </c>
      <c r="X214" s="86">
        <f t="shared" si="107"/>
        <v>1.0001549665718403</v>
      </c>
      <c r="Y214" s="83">
        <f t="shared" si="108"/>
        <v>96.999999999999787</v>
      </c>
      <c r="Z214" s="82">
        <f t="shared" si="109"/>
        <v>1.0574949937836184</v>
      </c>
      <c r="AA214" s="86">
        <f t="shared" si="93"/>
        <v>1.6404349639492486</v>
      </c>
      <c r="AB214" s="86">
        <f t="shared" si="94"/>
        <v>1.5011576896405538</v>
      </c>
      <c r="AC214" s="82">
        <f t="shared" si="110"/>
        <v>1.6404349639492486</v>
      </c>
      <c r="AD214" s="84">
        <f t="shared" si="111"/>
        <v>16824.000000000007</v>
      </c>
      <c r="AE214" s="84">
        <f t="shared" si="112"/>
        <v>60.590000000014562</v>
      </c>
      <c r="AF214" s="84">
        <f t="shared" si="113"/>
        <v>93.98999999998729</v>
      </c>
      <c r="AG214" s="82"/>
      <c r="AH214" s="87">
        <f t="shared" ref="AH214:AH233" si="117">ABS(AD214-A214)</f>
        <v>7.2759576141834259E-12</v>
      </c>
      <c r="AI214" s="87">
        <f t="shared" ref="AI214:AI233" si="118">ABS(AE214-B214)</f>
        <v>1.4559020655724453E-11</v>
      </c>
      <c r="AJ214" s="87">
        <f t="shared" si="95"/>
        <v>1.2704504115390591E-11</v>
      </c>
    </row>
    <row r="215" spans="1:36" x14ac:dyDescent="0.2">
      <c r="A215" s="3">
        <v>16920</v>
      </c>
      <c r="B215" s="3">
        <v>61.17</v>
      </c>
      <c r="C215" s="3">
        <v>91.47</v>
      </c>
      <c r="D215" s="82"/>
      <c r="E215" s="82">
        <f t="shared" si="96"/>
        <v>1.0676179034449313</v>
      </c>
      <c r="F215" s="82">
        <f t="shared" si="97"/>
        <v>1.5964526667992132</v>
      </c>
      <c r="G215" s="82"/>
      <c r="H215" s="86">
        <f t="shared" si="98"/>
        <v>3.973314284590157E-2</v>
      </c>
      <c r="I215" s="155">
        <f t="shared" ref="I215:I233" si="119">2*ASIN(SQRT( SIN((E215-E214)/2)^2 + SIN(E214)*SIN(E215)*SIN((F215-F214)/2)^2) )</f>
        <v>3.9733142845900724E-2</v>
      </c>
      <c r="J215" s="153">
        <f t="shared" ref="J215:J233" si="120">IF(LEFT(E$6,1)="m", 30*DEGREES(H215)/(A215-A214), 100*DEGREES(H215)/(A215-A214))</f>
        <v>0.71141918495643142</v>
      </c>
      <c r="K215" s="86">
        <f t="shared" si="99"/>
        <v>1.0001315809930629</v>
      </c>
      <c r="L215" s="83">
        <f t="shared" si="100"/>
        <v>-3.9887985213027433</v>
      </c>
      <c r="M215" s="83">
        <f t="shared" si="101"/>
        <v>83.760588825261124</v>
      </c>
      <c r="N215" s="83">
        <f t="shared" si="102"/>
        <v>46.723022706337254</v>
      </c>
      <c r="O215" s="84">
        <f t="shared" si="103"/>
        <v>-7707.7078870819914</v>
      </c>
      <c r="P215" s="84">
        <f t="shared" si="104"/>
        <v>767.77696042255229</v>
      </c>
      <c r="Q215" s="84">
        <f t="shared" si="105"/>
        <v>11999.794086104415</v>
      </c>
      <c r="S215" s="83">
        <f t="shared" si="114"/>
        <v>-3.9887985213026695</v>
      </c>
      <c r="T215" s="83">
        <f t="shared" si="115"/>
        <v>83.760588825261152</v>
      </c>
      <c r="U215" s="83">
        <f t="shared" si="116"/>
        <v>46.72302270633736</v>
      </c>
      <c r="V215" s="85">
        <f t="shared" si="106"/>
        <v>95.993685234055505</v>
      </c>
      <c r="W215" s="86">
        <f t="shared" ref="W215:W233" si="121">2*ACOS(MAX(-1,MIN(1, (S215*SIN(Z214)*COS(AC214) + T215*SIN(Z214)*SIN(AC214) + U215*COS(Z214))/V215)))</f>
        <v>3.973314284539331E-2</v>
      </c>
      <c r="X215" s="86">
        <f t="shared" si="107"/>
        <v>1.0001315809930593</v>
      </c>
      <c r="Y215" s="83">
        <f t="shared" si="108"/>
        <v>95.999999999999915</v>
      </c>
      <c r="Z215" s="82">
        <f t="shared" si="109"/>
        <v>1.0676179034446713</v>
      </c>
      <c r="AA215" s="86">
        <f t="shared" ref="AA215:AA233" si="122">IF(Z215&lt;0.000001, 0, ACOS(MAX(-1,MIN(1, (S215/(0.5*Y215*X215) - SIN(Z214)*COS(AC214))/SIN(Z215)))))</f>
        <v>1.5964526667994254</v>
      </c>
      <c r="AB215" s="86">
        <f t="shared" ref="AB215:AB233" si="123">IF(Z215&lt;0.000001, 0, ASIN(MAX(-1,MIN(1, (T215/(0.5*Y215*X215) - SIN(Z214)*SIN(AC214))/SIN(Z215)))))</f>
        <v>1.5451399867903801</v>
      </c>
      <c r="AC215" s="82">
        <f t="shared" si="110"/>
        <v>1.5964526667994254</v>
      </c>
      <c r="AD215" s="84">
        <f t="shared" si="111"/>
        <v>16920.000000000007</v>
      </c>
      <c r="AE215" s="84">
        <f t="shared" si="112"/>
        <v>61.169999999985102</v>
      </c>
      <c r="AF215" s="84">
        <f t="shared" si="113"/>
        <v>91.470000000012163</v>
      </c>
      <c r="AG215" s="82"/>
      <c r="AH215" s="87">
        <f t="shared" si="117"/>
        <v>7.2759576141834259E-12</v>
      </c>
      <c r="AI215" s="87">
        <f t="shared" si="118"/>
        <v>1.4900081168889301E-11</v>
      </c>
      <c r="AJ215" s="87">
        <f t="shared" ref="AJ215:AJ233" si="124">IF(B215=0, 0, ABS(AF215-C215))</f>
        <v>1.2164491636212915E-11</v>
      </c>
    </row>
    <row r="216" spans="1:36" x14ac:dyDescent="0.2">
      <c r="A216" s="3">
        <v>17016</v>
      </c>
      <c r="B216" s="3">
        <v>62</v>
      </c>
      <c r="C216" s="3">
        <v>88.38</v>
      </c>
      <c r="D216" s="82"/>
      <c r="E216" s="82">
        <f t="shared" si="96"/>
        <v>1.0821041362364843</v>
      </c>
      <c r="F216" s="82">
        <f t="shared" si="97"/>
        <v>1.5425219929125884</v>
      </c>
      <c r="G216" s="82"/>
      <c r="H216" s="86">
        <f t="shared" si="98"/>
        <v>4.959408930814635E-2</v>
      </c>
      <c r="I216" s="155">
        <f t="shared" si="119"/>
        <v>4.9594089308146939E-2</v>
      </c>
      <c r="J216" s="153">
        <f t="shared" si="120"/>
        <v>0.88797875192239584</v>
      </c>
      <c r="K216" s="86">
        <f t="shared" si="99"/>
        <v>1.0002050148995985</v>
      </c>
      <c r="L216" s="83">
        <f t="shared" si="100"/>
        <v>0.11942674877092914</v>
      </c>
      <c r="M216" s="83">
        <f t="shared" si="101"/>
        <v>84.41861641489551</v>
      </c>
      <c r="N216" s="83">
        <f t="shared" si="102"/>
        <v>45.69019744003802</v>
      </c>
      <c r="O216" s="84">
        <f t="shared" si="103"/>
        <v>-7707.5884603332206</v>
      </c>
      <c r="P216" s="84">
        <f t="shared" si="104"/>
        <v>852.19557683744779</v>
      </c>
      <c r="Q216" s="84">
        <f t="shared" si="105"/>
        <v>12045.484283544454</v>
      </c>
      <c r="S216" s="83">
        <f t="shared" si="114"/>
        <v>0.11942674877082027</v>
      </c>
      <c r="T216" s="83">
        <f t="shared" si="115"/>
        <v>84.418616414895496</v>
      </c>
      <c r="U216" s="83">
        <f t="shared" si="116"/>
        <v>45.690197440038901</v>
      </c>
      <c r="V216" s="85">
        <f t="shared" si="106"/>
        <v>95.990162007693911</v>
      </c>
      <c r="W216" s="86">
        <f t="shared" si="121"/>
        <v>4.9594089308639067E-2</v>
      </c>
      <c r="X216" s="86">
        <f t="shared" si="107"/>
        <v>1.0002050148996025</v>
      </c>
      <c r="Y216" s="83">
        <f t="shared" si="108"/>
        <v>96.000000000000611</v>
      </c>
      <c r="Z216" s="82">
        <f t="shared" si="109"/>
        <v>1.0821041362367325</v>
      </c>
      <c r="AA216" s="86">
        <f t="shared" si="122"/>
        <v>1.5425219929123877</v>
      </c>
      <c r="AB216" s="86">
        <f t="shared" si="123"/>
        <v>1.5425219929123881</v>
      </c>
      <c r="AC216" s="82">
        <f t="shared" si="110"/>
        <v>1.5425219929123877</v>
      </c>
      <c r="AD216" s="84">
        <f t="shared" si="111"/>
        <v>17016.000000000007</v>
      </c>
      <c r="AE216" s="84">
        <f t="shared" si="112"/>
        <v>62.000000000014225</v>
      </c>
      <c r="AF216" s="84">
        <f t="shared" si="113"/>
        <v>88.379999999988499</v>
      </c>
      <c r="AG216" s="82"/>
      <c r="AH216" s="87">
        <f t="shared" si="117"/>
        <v>7.2759576141834259E-12</v>
      </c>
      <c r="AI216" s="87">
        <f t="shared" si="118"/>
        <v>1.4225065569917206E-11</v>
      </c>
      <c r="AJ216" s="87">
        <f t="shared" si="124"/>
        <v>1.1496581464598421E-11</v>
      </c>
    </row>
    <row r="217" spans="1:36" x14ac:dyDescent="0.2">
      <c r="A217" s="3">
        <v>17113</v>
      </c>
      <c r="B217" s="3">
        <v>62.87</v>
      </c>
      <c r="C217" s="3">
        <v>85.72</v>
      </c>
      <c r="D217" s="82"/>
      <c r="E217" s="82">
        <f t="shared" si="96"/>
        <v>1.0972885007288349</v>
      </c>
      <c r="F217" s="82">
        <f t="shared" si="97"/>
        <v>1.4960962348095392</v>
      </c>
      <c r="G217" s="82"/>
      <c r="H217" s="86">
        <f t="shared" si="98"/>
        <v>4.3866169727856619E-2</v>
      </c>
      <c r="I217" s="155">
        <f t="shared" si="119"/>
        <v>4.3866169727856633E-2</v>
      </c>
      <c r="J217" s="153">
        <f t="shared" si="120"/>
        <v>0.77732362540537703</v>
      </c>
      <c r="K217" s="86">
        <f t="shared" si="99"/>
        <v>1.0001603842657489</v>
      </c>
      <c r="L217" s="83">
        <f t="shared" si="100"/>
        <v>4.4326781196947618</v>
      </c>
      <c r="M217" s="83">
        <f t="shared" si="101"/>
        <v>85.86298475820152</v>
      </c>
      <c r="N217" s="83">
        <f t="shared" si="102"/>
        <v>44.893101304029187</v>
      </c>
      <c r="O217" s="84">
        <f t="shared" si="103"/>
        <v>-7703.1557822135255</v>
      </c>
      <c r="P217" s="84">
        <f t="shared" si="104"/>
        <v>938.05856159564928</v>
      </c>
      <c r="Q217" s="84">
        <f t="shared" si="105"/>
        <v>12090.377384848483</v>
      </c>
      <c r="S217" s="83">
        <f t="shared" si="114"/>
        <v>4.4326781196950833</v>
      </c>
      <c r="T217" s="83">
        <f t="shared" si="115"/>
        <v>85.862984758201492</v>
      </c>
      <c r="U217" s="83">
        <f t="shared" si="116"/>
        <v>44.893101304029187</v>
      </c>
      <c r="V217" s="85">
        <f t="shared" si="106"/>
        <v>96.992223046973166</v>
      </c>
      <c r="W217" s="86">
        <f t="shared" si="121"/>
        <v>4.38661697273659E-2</v>
      </c>
      <c r="X217" s="86">
        <f t="shared" si="107"/>
        <v>1.0001603842657454</v>
      </c>
      <c r="Y217" s="83">
        <f t="shared" si="108"/>
        <v>96.999999999999801</v>
      </c>
      <c r="Z217" s="82">
        <f t="shared" si="109"/>
        <v>1.0972885007285826</v>
      </c>
      <c r="AA217" s="86">
        <f t="shared" si="122"/>
        <v>1.4960962348097249</v>
      </c>
      <c r="AB217" s="86">
        <f t="shared" si="123"/>
        <v>1.4960962348097258</v>
      </c>
      <c r="AC217" s="82">
        <f t="shared" si="110"/>
        <v>1.4960962348097249</v>
      </c>
      <c r="AD217" s="84">
        <f t="shared" si="111"/>
        <v>17113.000000000007</v>
      </c>
      <c r="AE217" s="84">
        <f t="shared" si="112"/>
        <v>62.869999999985545</v>
      </c>
      <c r="AF217" s="84">
        <f t="shared" si="113"/>
        <v>85.720000000010629</v>
      </c>
      <c r="AG217" s="82"/>
      <c r="AH217" s="87">
        <f t="shared" si="117"/>
        <v>7.2759576141834259E-12</v>
      </c>
      <c r="AI217" s="87">
        <f t="shared" si="118"/>
        <v>1.4452439245360438E-11</v>
      </c>
      <c r="AJ217" s="87">
        <f t="shared" si="124"/>
        <v>1.0629719326971099E-11</v>
      </c>
    </row>
    <row r="218" spans="1:36" x14ac:dyDescent="0.2">
      <c r="A218" s="3">
        <v>17209</v>
      </c>
      <c r="B218" s="3">
        <v>63.91</v>
      </c>
      <c r="C218" s="3">
        <v>83.05</v>
      </c>
      <c r="D218" s="82"/>
      <c r="E218" s="82">
        <f t="shared" si="96"/>
        <v>1.1154399249495759</v>
      </c>
      <c r="F218" s="82">
        <f t="shared" si="97"/>
        <v>1.4494959437812907</v>
      </c>
      <c r="G218" s="82"/>
      <c r="H218" s="86">
        <f t="shared" si="98"/>
        <v>4.5444841452454421E-2</v>
      </c>
      <c r="I218" s="155">
        <f t="shared" si="119"/>
        <v>4.5444841452454358E-2</v>
      </c>
      <c r="J218" s="153">
        <f t="shared" si="120"/>
        <v>0.81368675495837894</v>
      </c>
      <c r="K218" s="86">
        <f t="shared" si="99"/>
        <v>1.0001721383518982</v>
      </c>
      <c r="L218" s="83">
        <f t="shared" si="100"/>
        <v>8.4059003425770324</v>
      </c>
      <c r="M218" s="83">
        <f t="shared" si="101"/>
        <v>85.40657573542552</v>
      </c>
      <c r="N218" s="83">
        <f t="shared" si="102"/>
        <v>43.005484189211025</v>
      </c>
      <c r="O218" s="84">
        <f t="shared" si="103"/>
        <v>-7694.7498818709482</v>
      </c>
      <c r="P218" s="84">
        <f t="shared" si="104"/>
        <v>1023.4651373310749</v>
      </c>
      <c r="Q218" s="84">
        <f t="shared" si="105"/>
        <v>12133.382869037694</v>
      </c>
      <c r="S218" s="83">
        <f t="shared" si="114"/>
        <v>8.4059003425772971</v>
      </c>
      <c r="T218" s="83">
        <f t="shared" si="115"/>
        <v>85.406575735425577</v>
      </c>
      <c r="U218" s="83">
        <f t="shared" si="116"/>
        <v>43.00548418921062</v>
      </c>
      <c r="V218" s="85">
        <f t="shared" si="106"/>
        <v>95.991739278798207</v>
      </c>
      <c r="W218" s="86">
        <f t="shared" si="121"/>
        <v>4.5444841452953799E-2</v>
      </c>
      <c r="X218" s="86">
        <f t="shared" si="107"/>
        <v>1.000172138351902</v>
      </c>
      <c r="Y218" s="83">
        <f t="shared" si="108"/>
        <v>96.000000000000085</v>
      </c>
      <c r="Z218" s="82">
        <f t="shared" si="109"/>
        <v>1.1154399249498397</v>
      </c>
      <c r="AA218" s="86">
        <f t="shared" si="122"/>
        <v>1.4494959437811066</v>
      </c>
      <c r="AB218" s="86">
        <f t="shared" si="123"/>
        <v>1.4494959437811097</v>
      </c>
      <c r="AC218" s="82">
        <f t="shared" si="110"/>
        <v>1.4494959437811066</v>
      </c>
      <c r="AD218" s="84">
        <f t="shared" si="111"/>
        <v>17209.000000000007</v>
      </c>
      <c r="AE218" s="84">
        <f t="shared" si="112"/>
        <v>63.91000000001511</v>
      </c>
      <c r="AF218" s="84">
        <f t="shared" si="113"/>
        <v>83.049999999989453</v>
      </c>
      <c r="AG218" s="82"/>
      <c r="AH218" s="87">
        <f t="shared" si="117"/>
        <v>7.2759576141834259E-12</v>
      </c>
      <c r="AI218" s="87">
        <f t="shared" si="118"/>
        <v>1.5113243989617331E-11</v>
      </c>
      <c r="AJ218" s="87">
        <f t="shared" si="124"/>
        <v>1.0544454198679887E-11</v>
      </c>
    </row>
    <row r="219" spans="1:36" x14ac:dyDescent="0.2">
      <c r="A219" s="3">
        <v>17305</v>
      </c>
      <c r="B219" s="3">
        <v>64.89</v>
      </c>
      <c r="C219" s="3">
        <v>80.17</v>
      </c>
      <c r="D219" s="82"/>
      <c r="E219" s="82">
        <f t="shared" si="96"/>
        <v>1.1325441516191204</v>
      </c>
      <c r="F219" s="82">
        <f t="shared" si="97"/>
        <v>1.399230461323854</v>
      </c>
      <c r="G219" s="82"/>
      <c r="H219" s="86">
        <f t="shared" si="98"/>
        <v>4.8448869945328488E-2</v>
      </c>
      <c r="I219" s="155">
        <f t="shared" si="119"/>
        <v>4.844886994532719E-2</v>
      </c>
      <c r="J219" s="153">
        <f t="shared" si="120"/>
        <v>0.86747367813923182</v>
      </c>
      <c r="K219" s="86">
        <f t="shared" si="99"/>
        <v>1.0001956536756935</v>
      </c>
      <c r="L219" s="83">
        <f t="shared" si="100"/>
        <v>12.639164933671152</v>
      </c>
      <c r="M219" s="83">
        <f t="shared" si="101"/>
        <v>85.634641522778921</v>
      </c>
      <c r="N219" s="83">
        <f t="shared" si="102"/>
        <v>41.486830453361407</v>
      </c>
      <c r="O219" s="84">
        <f t="shared" si="103"/>
        <v>-7682.1107169372772</v>
      </c>
      <c r="P219" s="84">
        <f t="shared" si="104"/>
        <v>1109.0997788538539</v>
      </c>
      <c r="Q219" s="84">
        <f t="shared" si="105"/>
        <v>12174.869699491055</v>
      </c>
      <c r="S219" s="83">
        <f t="shared" si="114"/>
        <v>12.639164933671054</v>
      </c>
      <c r="T219" s="83">
        <f t="shared" si="115"/>
        <v>85.63464152277902</v>
      </c>
      <c r="U219" s="83">
        <f t="shared" si="116"/>
        <v>41.486830453361108</v>
      </c>
      <c r="V219" s="85">
        <f t="shared" si="106"/>
        <v>95.990611103489385</v>
      </c>
      <c r="W219" s="86">
        <f t="shared" si="121"/>
        <v>4.8448869944842432E-2</v>
      </c>
      <c r="X219" s="86">
        <f t="shared" si="107"/>
        <v>1.0001956536756897</v>
      </c>
      <c r="Y219" s="83">
        <f t="shared" si="108"/>
        <v>95.999999999999744</v>
      </c>
      <c r="Z219" s="82">
        <f t="shared" si="109"/>
        <v>1.1325441516188595</v>
      </c>
      <c r="AA219" s="86">
        <f t="shared" si="122"/>
        <v>1.3992304613240327</v>
      </c>
      <c r="AB219" s="86">
        <f t="shared" si="123"/>
        <v>1.3992304613240303</v>
      </c>
      <c r="AC219" s="82">
        <f t="shared" si="110"/>
        <v>1.3992304613240327</v>
      </c>
      <c r="AD219" s="84">
        <f t="shared" si="111"/>
        <v>17305.000000000007</v>
      </c>
      <c r="AE219" s="84">
        <f t="shared" si="112"/>
        <v>64.889999999985051</v>
      </c>
      <c r="AF219" s="84">
        <f t="shared" si="113"/>
        <v>80.170000000010248</v>
      </c>
      <c r="AG219" s="82"/>
      <c r="AH219" s="87">
        <f t="shared" si="117"/>
        <v>7.2759576141834259E-12</v>
      </c>
      <c r="AI219" s="87">
        <f t="shared" si="118"/>
        <v>1.4949819160392508E-11</v>
      </c>
      <c r="AJ219" s="87">
        <f t="shared" si="124"/>
        <v>1.0246026249660645E-11</v>
      </c>
    </row>
    <row r="220" spans="1:36" x14ac:dyDescent="0.2">
      <c r="A220" s="3">
        <v>17400</v>
      </c>
      <c r="B220" s="3">
        <v>65.31</v>
      </c>
      <c r="C220" s="3">
        <v>79.86</v>
      </c>
      <c r="D220" s="82"/>
      <c r="E220" s="82">
        <f t="shared" si="96"/>
        <v>1.1398745344774968</v>
      </c>
      <c r="F220" s="82">
        <f t="shared" si="97"/>
        <v>1.3938199406426717</v>
      </c>
      <c r="G220" s="82"/>
      <c r="H220" s="86">
        <f t="shared" si="98"/>
        <v>8.8214891168711951E-3</v>
      </c>
      <c r="I220" s="155">
        <f t="shared" si="119"/>
        <v>8.8214891168692782E-3</v>
      </c>
      <c r="J220" s="153">
        <f t="shared" si="120"/>
        <v>0.15961076697388654</v>
      </c>
      <c r="K220" s="86">
        <f t="shared" si="99"/>
        <v>1.0000064849396515</v>
      </c>
      <c r="L220" s="83">
        <f t="shared" si="100"/>
        <v>14.941236937991594</v>
      </c>
      <c r="M220" s="83">
        <f t="shared" si="101"/>
        <v>84.863593317147703</v>
      </c>
      <c r="N220" s="83">
        <f t="shared" si="102"/>
        <v>39.998392993862431</v>
      </c>
      <c r="O220" s="84">
        <f t="shared" si="103"/>
        <v>-7667.1694799992856</v>
      </c>
      <c r="P220" s="84">
        <f t="shared" si="104"/>
        <v>1193.9633721710015</v>
      </c>
      <c r="Q220" s="84">
        <f t="shared" si="105"/>
        <v>12214.868092484918</v>
      </c>
      <c r="S220" s="83">
        <f t="shared" si="114"/>
        <v>14.941236937991562</v>
      </c>
      <c r="T220" s="83">
        <f t="shared" si="115"/>
        <v>84.863593317147661</v>
      </c>
      <c r="U220" s="83">
        <f t="shared" si="116"/>
        <v>39.998392993862581</v>
      </c>
      <c r="V220" s="85">
        <f t="shared" si="106"/>
        <v>94.999691968063289</v>
      </c>
      <c r="W220" s="86">
        <f t="shared" si="121"/>
        <v>8.8214891174844823E-3</v>
      </c>
      <c r="X220" s="86">
        <f t="shared" si="107"/>
        <v>1.0000064849396524</v>
      </c>
      <c r="Y220" s="83">
        <f t="shared" si="108"/>
        <v>95.000000000000057</v>
      </c>
      <c r="Z220" s="82">
        <f t="shared" si="109"/>
        <v>1.1398745344777546</v>
      </c>
      <c r="AA220" s="86">
        <f t="shared" si="122"/>
        <v>1.3938199406424947</v>
      </c>
      <c r="AB220" s="86">
        <f t="shared" si="123"/>
        <v>1.3938199406424949</v>
      </c>
      <c r="AC220" s="82">
        <f t="shared" si="110"/>
        <v>1.3938199406424947</v>
      </c>
      <c r="AD220" s="84">
        <f t="shared" si="111"/>
        <v>17400.000000000007</v>
      </c>
      <c r="AE220" s="84">
        <f t="shared" si="112"/>
        <v>65.310000000014782</v>
      </c>
      <c r="AF220" s="84">
        <f t="shared" si="113"/>
        <v>79.859999999989867</v>
      </c>
      <c r="AG220" s="82"/>
      <c r="AH220" s="87">
        <f t="shared" si="117"/>
        <v>7.2759576141834259E-12</v>
      </c>
      <c r="AI220" s="87">
        <f t="shared" si="118"/>
        <v>1.4779288903810084E-11</v>
      </c>
      <c r="AJ220" s="87">
        <f t="shared" si="124"/>
        <v>1.0132339411939029E-11</v>
      </c>
    </row>
    <row r="221" spans="1:36" x14ac:dyDescent="0.2">
      <c r="A221" s="3">
        <v>17497</v>
      </c>
      <c r="B221" s="3">
        <v>65.739999999999995</v>
      </c>
      <c r="C221" s="3">
        <v>78.05</v>
      </c>
      <c r="D221" s="82"/>
      <c r="E221" s="82">
        <f t="shared" si="96"/>
        <v>1.1473794502610721</v>
      </c>
      <c r="F221" s="82">
        <f t="shared" si="97"/>
        <v>1.3622294811815741</v>
      </c>
      <c r="G221" s="82"/>
      <c r="H221" s="86">
        <f t="shared" si="98"/>
        <v>2.9714846988893928E-2</v>
      </c>
      <c r="I221" s="155">
        <f t="shared" si="119"/>
        <v>2.9714846988893769E-2</v>
      </c>
      <c r="J221" s="153">
        <f t="shared" si="120"/>
        <v>0.52655731587854993</v>
      </c>
      <c r="K221" s="86">
        <f t="shared" si="99"/>
        <v>1.0000735875085431</v>
      </c>
      <c r="L221" s="83">
        <f t="shared" si="100"/>
        <v>16.914752817856922</v>
      </c>
      <c r="M221" s="83">
        <f t="shared" si="101"/>
        <v>86.643007993543861</v>
      </c>
      <c r="N221" s="83">
        <f t="shared" si="102"/>
        <v>40.189401582827294</v>
      </c>
      <c r="O221" s="84">
        <f t="shared" si="103"/>
        <v>-7650.2547271814283</v>
      </c>
      <c r="P221" s="84">
        <f t="shared" si="104"/>
        <v>1280.6063801645455</v>
      </c>
      <c r="Q221" s="84">
        <f t="shared" si="105"/>
        <v>12255.057494067745</v>
      </c>
      <c r="S221" s="83">
        <f t="shared" si="114"/>
        <v>16.914752817857334</v>
      </c>
      <c r="T221" s="83">
        <f t="shared" si="115"/>
        <v>86.643007993543961</v>
      </c>
      <c r="U221" s="83">
        <f t="shared" si="116"/>
        <v>40.189401582827486</v>
      </c>
      <c r="V221" s="85">
        <f t="shared" si="106"/>
        <v>96.996431360356311</v>
      </c>
      <c r="W221" s="86">
        <f t="shared" si="121"/>
        <v>2.9714846988468491E-2</v>
      </c>
      <c r="X221" s="86">
        <f t="shared" si="107"/>
        <v>1.0000735875085411</v>
      </c>
      <c r="Y221" s="83">
        <f t="shared" si="108"/>
        <v>97.000000000000142</v>
      </c>
      <c r="Z221" s="82">
        <f t="shared" si="109"/>
        <v>1.1473794502608103</v>
      </c>
      <c r="AA221" s="86">
        <f t="shared" si="122"/>
        <v>1.3622294811817379</v>
      </c>
      <c r="AB221" s="86">
        <f t="shared" si="123"/>
        <v>1.362229481181735</v>
      </c>
      <c r="AC221" s="82">
        <f t="shared" si="110"/>
        <v>1.3622294811817379</v>
      </c>
      <c r="AD221" s="84">
        <f t="shared" si="111"/>
        <v>17497.000000000007</v>
      </c>
      <c r="AE221" s="84">
        <f t="shared" si="112"/>
        <v>65.739999999984988</v>
      </c>
      <c r="AF221" s="84">
        <f t="shared" si="113"/>
        <v>78.050000000009376</v>
      </c>
      <c r="AG221" s="82"/>
      <c r="AH221" s="87">
        <f t="shared" si="117"/>
        <v>7.2759576141834259E-12</v>
      </c>
      <c r="AI221" s="87">
        <f t="shared" si="118"/>
        <v>1.5006662579253316E-11</v>
      </c>
      <c r="AJ221" s="87">
        <f t="shared" si="124"/>
        <v>9.3791641120333225E-12</v>
      </c>
    </row>
    <row r="222" spans="1:36" x14ac:dyDescent="0.2">
      <c r="A222" s="3">
        <v>17594</v>
      </c>
      <c r="B222" s="3">
        <v>66.790000000000006</v>
      </c>
      <c r="C222" s="3">
        <v>75.69</v>
      </c>
      <c r="D222" s="82"/>
      <c r="E222" s="82">
        <f t="shared" si="96"/>
        <v>1.1657054074070128</v>
      </c>
      <c r="F222" s="82">
        <f t="shared" si="97"/>
        <v>1.321039710834508</v>
      </c>
      <c r="G222" s="82"/>
      <c r="H222" s="86">
        <f t="shared" si="98"/>
        <v>4.1922231246045882E-2</v>
      </c>
      <c r="I222" s="155">
        <f t="shared" si="119"/>
        <v>4.1922231246047527E-2</v>
      </c>
      <c r="J222" s="153">
        <f t="shared" si="120"/>
        <v>0.74287636644429755</v>
      </c>
      <c r="K222" s="86">
        <f t="shared" si="99"/>
        <v>1.000146481866574</v>
      </c>
      <c r="L222" s="83">
        <f t="shared" si="100"/>
        <v>20.175888029923875</v>
      </c>
      <c r="M222" s="83">
        <f t="shared" si="101"/>
        <v>86.463095185882707</v>
      </c>
      <c r="N222" s="83">
        <f t="shared" si="102"/>
        <v>39.047263516752309</v>
      </c>
      <c r="O222" s="84">
        <f t="shared" si="103"/>
        <v>-7630.0788391515043</v>
      </c>
      <c r="P222" s="84">
        <f t="shared" si="104"/>
        <v>1367.0694753504281</v>
      </c>
      <c r="Q222" s="84">
        <f t="shared" si="105"/>
        <v>12294.104757584497</v>
      </c>
      <c r="S222" s="83">
        <f t="shared" si="114"/>
        <v>20.175888029923954</v>
      </c>
      <c r="T222" s="83">
        <f t="shared" si="115"/>
        <v>86.463095185882594</v>
      </c>
      <c r="U222" s="83">
        <f t="shared" si="116"/>
        <v>39.047263516751627</v>
      </c>
      <c r="V222" s="85">
        <f t="shared" si="106"/>
        <v>96.992897034090419</v>
      </c>
      <c r="W222" s="86">
        <f t="shared" si="121"/>
        <v>4.1922231246563246E-2</v>
      </c>
      <c r="X222" s="86">
        <f t="shared" si="107"/>
        <v>1.0001464818665775</v>
      </c>
      <c r="Y222" s="83">
        <f t="shared" si="108"/>
        <v>96.999999999999815</v>
      </c>
      <c r="Z222" s="82">
        <f t="shared" si="109"/>
        <v>1.1657054074072892</v>
      </c>
      <c r="AA222" s="86">
        <f t="shared" si="122"/>
        <v>1.3210397108343479</v>
      </c>
      <c r="AB222" s="86">
        <f t="shared" si="123"/>
        <v>1.3210397108343479</v>
      </c>
      <c r="AC222" s="82">
        <f t="shared" si="110"/>
        <v>1.3210397108343479</v>
      </c>
      <c r="AD222" s="84">
        <f t="shared" si="111"/>
        <v>17594.000000000007</v>
      </c>
      <c r="AE222" s="84">
        <f t="shared" si="112"/>
        <v>66.790000000015851</v>
      </c>
      <c r="AF222" s="84">
        <f t="shared" si="113"/>
        <v>75.689999999990832</v>
      </c>
      <c r="AG222" s="82"/>
      <c r="AH222" s="87">
        <f t="shared" si="117"/>
        <v>7.2759576141834259E-12</v>
      </c>
      <c r="AI222" s="87">
        <f t="shared" si="118"/>
        <v>1.5845103007450234E-11</v>
      </c>
      <c r="AJ222" s="87">
        <f t="shared" si="124"/>
        <v>9.1660012913052924E-12</v>
      </c>
    </row>
    <row r="223" spans="1:36" x14ac:dyDescent="0.2">
      <c r="A223" s="3">
        <v>17690</v>
      </c>
      <c r="B223" s="3">
        <v>68.010000000000005</v>
      </c>
      <c r="C223" s="3">
        <v>72.87</v>
      </c>
      <c r="D223" s="82"/>
      <c r="E223" s="82">
        <f t="shared" si="96"/>
        <v>1.1869984242813436</v>
      </c>
      <c r="F223" s="82">
        <f t="shared" si="97"/>
        <v>1.2718214259282681</v>
      </c>
      <c r="G223" s="82"/>
      <c r="H223" s="86">
        <f t="shared" si="98"/>
        <v>5.0178671902148198E-2</v>
      </c>
      <c r="I223" s="155">
        <f t="shared" si="119"/>
        <v>5.0178671902146935E-2</v>
      </c>
      <c r="J223" s="153">
        <f t="shared" si="120"/>
        <v>0.89844566298899453</v>
      </c>
      <c r="K223" s="86">
        <f t="shared" si="99"/>
        <v>1.0002098777714192</v>
      </c>
      <c r="L223" s="83">
        <f t="shared" si="100"/>
        <v>24.018318485418163</v>
      </c>
      <c r="M223" s="83">
        <f t="shared" si="101"/>
        <v>85.297855758307023</v>
      </c>
      <c r="N223" s="83">
        <f t="shared" si="102"/>
        <v>36.898002600962229</v>
      </c>
      <c r="O223" s="84">
        <f t="shared" si="103"/>
        <v>-7606.0605206660857</v>
      </c>
      <c r="P223" s="84">
        <f t="shared" si="104"/>
        <v>1452.367331108735</v>
      </c>
      <c r="Q223" s="84">
        <f t="shared" si="105"/>
        <v>12331.00276018546</v>
      </c>
      <c r="S223" s="83">
        <f t="shared" si="114"/>
        <v>24.018318485418604</v>
      </c>
      <c r="T223" s="83">
        <f t="shared" si="115"/>
        <v>85.297855758306923</v>
      </c>
      <c r="U223" s="83">
        <f t="shared" si="116"/>
        <v>36.898002600963082</v>
      </c>
      <c r="V223" s="85">
        <f t="shared" si="106"/>
        <v>95.989928720530955</v>
      </c>
      <c r="W223" s="86">
        <f t="shared" si="121"/>
        <v>5.0178671901655036E-2</v>
      </c>
      <c r="X223" s="86">
        <f t="shared" si="107"/>
        <v>1.000209877771415</v>
      </c>
      <c r="Y223" s="83">
        <f t="shared" si="108"/>
        <v>96.000000000000171</v>
      </c>
      <c r="Z223" s="82">
        <f t="shared" si="109"/>
        <v>1.1869984242810483</v>
      </c>
      <c r="AA223" s="86">
        <f t="shared" si="122"/>
        <v>1.2718214259284109</v>
      </c>
      <c r="AB223" s="86">
        <f t="shared" si="123"/>
        <v>1.2718214259284097</v>
      </c>
      <c r="AC223" s="82">
        <f t="shared" si="110"/>
        <v>1.2718214259284109</v>
      </c>
      <c r="AD223" s="84">
        <f t="shared" si="111"/>
        <v>17690.000000000007</v>
      </c>
      <c r="AE223" s="84">
        <f t="shared" si="112"/>
        <v>68.00999999998308</v>
      </c>
      <c r="AF223" s="84">
        <f t="shared" si="113"/>
        <v>72.87000000000819</v>
      </c>
      <c r="AG223" s="82"/>
      <c r="AH223" s="87">
        <f t="shared" si="117"/>
        <v>7.2759576141834259E-12</v>
      </c>
      <c r="AI223" s="87">
        <f t="shared" si="118"/>
        <v>1.6925127965805586E-11</v>
      </c>
      <c r="AJ223" s="87">
        <f t="shared" si="124"/>
        <v>8.1854523159563541E-12</v>
      </c>
    </row>
    <row r="224" spans="1:36" x14ac:dyDescent="0.2">
      <c r="A224" s="3">
        <v>17786</v>
      </c>
      <c r="B224" s="3">
        <v>69.260000000000005</v>
      </c>
      <c r="C224" s="3">
        <v>70.42</v>
      </c>
      <c r="D224" s="82"/>
      <c r="E224" s="82">
        <f t="shared" si="96"/>
        <v>1.2088150399312727</v>
      </c>
      <c r="F224" s="82">
        <f t="shared" si="97"/>
        <v>1.229060859254407</v>
      </c>
      <c r="G224" s="82"/>
      <c r="H224" s="86">
        <f t="shared" si="98"/>
        <v>4.540520204103915E-2</v>
      </c>
      <c r="I224" s="155">
        <f t="shared" si="119"/>
        <v>4.5405202041041058E-2</v>
      </c>
      <c r="J224" s="153">
        <f t="shared" si="120"/>
        <v>0.81297701402822964</v>
      </c>
      <c r="K224" s="86">
        <f t="shared" si="99"/>
        <v>1.00017183812449</v>
      </c>
      <c r="L224" s="83">
        <f t="shared" si="100"/>
        <v>28.157722462470321</v>
      </c>
      <c r="M224" s="83">
        <f t="shared" si="101"/>
        <v>84.841819821451466</v>
      </c>
      <c r="N224" s="83">
        <f t="shared" si="102"/>
        <v>34.977493481569816</v>
      </c>
      <c r="O224" s="84">
        <f t="shared" si="103"/>
        <v>-7577.902798203615</v>
      </c>
      <c r="P224" s="84">
        <f t="shared" si="104"/>
        <v>1537.2091509301865</v>
      </c>
      <c r="Q224" s="84">
        <f t="shared" si="105"/>
        <v>12365.98025366703</v>
      </c>
      <c r="S224" s="83">
        <f t="shared" si="114"/>
        <v>28.157722462470701</v>
      </c>
      <c r="T224" s="83">
        <f t="shared" si="115"/>
        <v>84.841819821451509</v>
      </c>
      <c r="U224" s="83">
        <f t="shared" si="116"/>
        <v>34.977493481570491</v>
      </c>
      <c r="V224" s="85">
        <f t="shared" si="106"/>
        <v>95.991753683024641</v>
      </c>
      <c r="W224" s="86">
        <f t="shared" si="121"/>
        <v>4.540520204153875E-2</v>
      </c>
      <c r="X224" s="86">
        <f t="shared" si="107"/>
        <v>1.0001718381244937</v>
      </c>
      <c r="Y224" s="83">
        <f t="shared" si="108"/>
        <v>96.000000000000583</v>
      </c>
      <c r="Z224" s="82">
        <f t="shared" si="109"/>
        <v>1.208815039931558</v>
      </c>
      <c r="AA224" s="86">
        <f t="shared" si="122"/>
        <v>1.2290608592542622</v>
      </c>
      <c r="AB224" s="86">
        <f t="shared" si="123"/>
        <v>1.2290608592542636</v>
      </c>
      <c r="AC224" s="82">
        <f t="shared" si="110"/>
        <v>1.2290608592542622</v>
      </c>
      <c r="AD224" s="84">
        <f t="shared" si="111"/>
        <v>17786.000000000007</v>
      </c>
      <c r="AE224" s="84">
        <f t="shared" si="112"/>
        <v>69.260000000016348</v>
      </c>
      <c r="AF224" s="84">
        <f t="shared" si="113"/>
        <v>70.419999999991717</v>
      </c>
      <c r="AG224" s="82"/>
      <c r="AH224" s="87">
        <f t="shared" si="117"/>
        <v>7.2759576141834259E-12</v>
      </c>
      <c r="AI224" s="87">
        <f t="shared" si="118"/>
        <v>1.6342482922482304E-11</v>
      </c>
      <c r="AJ224" s="87">
        <f t="shared" si="124"/>
        <v>8.2849282989627682E-12</v>
      </c>
    </row>
    <row r="225" spans="1:36" x14ac:dyDescent="0.2">
      <c r="A225" s="3">
        <v>17882</v>
      </c>
      <c r="B225" s="3">
        <v>70.39</v>
      </c>
      <c r="C225" s="3">
        <v>67.86</v>
      </c>
      <c r="D225" s="82"/>
      <c r="E225" s="82">
        <f t="shared" si="96"/>
        <v>1.2285372604788085</v>
      </c>
      <c r="F225" s="82">
        <f t="shared" si="97"/>
        <v>1.1843804304033521</v>
      </c>
      <c r="G225" s="82"/>
      <c r="H225" s="86">
        <f t="shared" si="98"/>
        <v>4.6343615093361157E-2</v>
      </c>
      <c r="I225" s="155">
        <f t="shared" si="119"/>
        <v>4.634361509336047E-2</v>
      </c>
      <c r="J225" s="153">
        <f t="shared" si="120"/>
        <v>0.82977923507136719</v>
      </c>
      <c r="K225" s="86">
        <f t="shared" si="99"/>
        <v>1.0001790160029076</v>
      </c>
      <c r="L225" s="83">
        <f t="shared" si="100"/>
        <v>32.089799714142117</v>
      </c>
      <c r="M225" s="83">
        <f t="shared" si="101"/>
        <v>84.19075340383084</v>
      </c>
      <c r="N225" s="83">
        <f t="shared" si="102"/>
        <v>33.113629467887748</v>
      </c>
      <c r="O225" s="84">
        <f t="shared" si="103"/>
        <v>-7545.8129984894731</v>
      </c>
      <c r="P225" s="84">
        <f t="shared" si="104"/>
        <v>1621.3999043340173</v>
      </c>
      <c r="Q225" s="84">
        <f t="shared" si="105"/>
        <v>12399.093883134918</v>
      </c>
      <c r="S225" s="83">
        <f t="shared" si="114"/>
        <v>32.089799714141918</v>
      </c>
      <c r="T225" s="83">
        <f t="shared" si="115"/>
        <v>84.19075340383074</v>
      </c>
      <c r="U225" s="83">
        <f t="shared" si="116"/>
        <v>33.113629467887222</v>
      </c>
      <c r="V225" s="85">
        <f t="shared" si="106"/>
        <v>95.991409307994374</v>
      </c>
      <c r="W225" s="86">
        <f t="shared" si="121"/>
        <v>4.6343615092875101E-2</v>
      </c>
      <c r="X225" s="86">
        <f t="shared" si="107"/>
        <v>1.0001790160029038</v>
      </c>
      <c r="Y225" s="83">
        <f t="shared" si="108"/>
        <v>95.999999999999474</v>
      </c>
      <c r="Z225" s="82">
        <f t="shared" si="109"/>
        <v>1.2285372604785301</v>
      </c>
      <c r="AA225" s="86">
        <f t="shared" si="122"/>
        <v>1.1843804304034942</v>
      </c>
      <c r="AB225" s="86">
        <f t="shared" si="123"/>
        <v>1.1843804304034951</v>
      </c>
      <c r="AC225" s="82">
        <f t="shared" si="110"/>
        <v>1.1843804304034942</v>
      </c>
      <c r="AD225" s="84">
        <f t="shared" si="111"/>
        <v>17882.000000000007</v>
      </c>
      <c r="AE225" s="84">
        <f t="shared" si="112"/>
        <v>70.389999999984042</v>
      </c>
      <c r="AF225" s="84">
        <f t="shared" si="113"/>
        <v>67.860000000008142</v>
      </c>
      <c r="AG225" s="82"/>
      <c r="AH225" s="87">
        <f t="shared" si="117"/>
        <v>7.2759576141834259E-12</v>
      </c>
      <c r="AI225" s="87">
        <f t="shared" si="118"/>
        <v>1.595878984517185E-11</v>
      </c>
      <c r="AJ225" s="87">
        <f t="shared" si="124"/>
        <v>8.1428197518107481E-12</v>
      </c>
    </row>
    <row r="226" spans="1:36" x14ac:dyDescent="0.2">
      <c r="A226" s="3">
        <v>17978</v>
      </c>
      <c r="B226" s="3">
        <v>71.650000000000006</v>
      </c>
      <c r="C226" s="3">
        <v>65.5</v>
      </c>
      <c r="D226" s="82"/>
      <c r="E226" s="82">
        <f t="shared" si="96"/>
        <v>1.2505284090539373</v>
      </c>
      <c r="F226" s="82">
        <f t="shared" si="97"/>
        <v>1.1431906600562858</v>
      </c>
      <c r="G226" s="82"/>
      <c r="H226" s="86">
        <f t="shared" si="98"/>
        <v>4.4728475581411908E-2</v>
      </c>
      <c r="I226" s="155">
        <f t="shared" si="119"/>
        <v>4.4728475581412408E-2</v>
      </c>
      <c r="J226" s="153">
        <f t="shared" si="120"/>
        <v>0.80086027339651977</v>
      </c>
      <c r="K226" s="86">
        <f t="shared" si="99"/>
        <v>1.0001667530719611</v>
      </c>
      <c r="L226" s="83">
        <f t="shared" si="100"/>
        <v>35.939685997895033</v>
      </c>
      <c r="M226" s="83">
        <f t="shared" si="101"/>
        <v>83.3530357952082</v>
      </c>
      <c r="N226" s="83">
        <f t="shared" si="102"/>
        <v>31.226175041198932</v>
      </c>
      <c r="O226" s="84">
        <f t="shared" si="103"/>
        <v>-7509.873312491578</v>
      </c>
      <c r="P226" s="84">
        <f t="shared" si="104"/>
        <v>1704.7529401292254</v>
      </c>
      <c r="Q226" s="84">
        <f t="shared" si="105"/>
        <v>12430.320058176116</v>
      </c>
      <c r="S226" s="83">
        <f t="shared" si="114"/>
        <v>35.93968599789514</v>
      </c>
      <c r="T226" s="83">
        <f t="shared" si="115"/>
        <v>83.353035795208143</v>
      </c>
      <c r="U226" s="83">
        <f t="shared" si="116"/>
        <v>31.226175041198076</v>
      </c>
      <c r="V226" s="85">
        <f t="shared" si="106"/>
        <v>95.991997654013289</v>
      </c>
      <c r="W226" s="86">
        <f t="shared" si="121"/>
        <v>4.4728475581939264E-2</v>
      </c>
      <c r="X226" s="86">
        <f t="shared" si="107"/>
        <v>1.0001667530719651</v>
      </c>
      <c r="Y226" s="83">
        <f t="shared" si="108"/>
        <v>95.999999999999886</v>
      </c>
      <c r="Z226" s="82">
        <f t="shared" si="109"/>
        <v>1.2505284090542343</v>
      </c>
      <c r="AA226" s="86">
        <f t="shared" si="122"/>
        <v>1.1431906600561461</v>
      </c>
      <c r="AB226" s="86">
        <f t="shared" si="123"/>
        <v>1.1431906600561459</v>
      </c>
      <c r="AC226" s="82">
        <f t="shared" si="110"/>
        <v>1.1431906600561461</v>
      </c>
      <c r="AD226" s="84">
        <f t="shared" si="111"/>
        <v>17978.000000000007</v>
      </c>
      <c r="AE226" s="84">
        <f t="shared" si="112"/>
        <v>71.65000000001703</v>
      </c>
      <c r="AF226" s="84">
        <f t="shared" si="113"/>
        <v>65.499999999991999</v>
      </c>
      <c r="AG226" s="82"/>
      <c r="AH226" s="87">
        <f t="shared" si="117"/>
        <v>7.2759576141834259E-12</v>
      </c>
      <c r="AI226" s="87">
        <f t="shared" si="118"/>
        <v>1.7024603948812E-11</v>
      </c>
      <c r="AJ226" s="87">
        <f t="shared" si="124"/>
        <v>8.0007112046587281E-12</v>
      </c>
    </row>
    <row r="227" spans="1:36" x14ac:dyDescent="0.2">
      <c r="A227" s="3">
        <v>18074</v>
      </c>
      <c r="B227" s="3">
        <v>71.12</v>
      </c>
      <c r="C227" s="3">
        <v>62.38</v>
      </c>
      <c r="D227" s="82"/>
      <c r="E227" s="82">
        <f t="shared" si="96"/>
        <v>1.2412781640183672</v>
      </c>
      <c r="F227" s="82">
        <f t="shared" si="97"/>
        <v>1.0887363873940628</v>
      </c>
      <c r="G227" s="82"/>
      <c r="H227" s="86">
        <f t="shared" si="98"/>
        <v>5.2427103310159096E-2</v>
      </c>
      <c r="I227" s="155">
        <f t="shared" si="119"/>
        <v>5.2427103310160372E-2</v>
      </c>
      <c r="J227" s="153">
        <f t="shared" si="120"/>
        <v>0.93870367242764496</v>
      </c>
      <c r="K227" s="86">
        <f t="shared" si="99"/>
        <v>1.0002291130710426</v>
      </c>
      <c r="L227" s="83">
        <f t="shared" si="100"/>
        <v>39.958073295224246</v>
      </c>
      <c r="M227" s="83">
        <f t="shared" si="101"/>
        <v>81.717697065924867</v>
      </c>
      <c r="N227" s="83">
        <f t="shared" si="102"/>
        <v>30.650605744043567</v>
      </c>
      <c r="O227" s="84">
        <f t="shared" si="103"/>
        <v>-7469.9152391963535</v>
      </c>
      <c r="P227" s="84">
        <f t="shared" si="104"/>
        <v>1786.4706371951502</v>
      </c>
      <c r="Q227" s="84">
        <f t="shared" si="105"/>
        <v>12460.970663920159</v>
      </c>
      <c r="S227" s="83">
        <f t="shared" si="114"/>
        <v>39.958073295224494</v>
      </c>
      <c r="T227" s="83">
        <f t="shared" si="115"/>
        <v>81.717697065924767</v>
      </c>
      <c r="U227" s="83">
        <f t="shared" si="116"/>
        <v>30.650605744043787</v>
      </c>
      <c r="V227" s="85">
        <f t="shared" si="106"/>
        <v>95.989005973088354</v>
      </c>
      <c r="W227" s="86">
        <f t="shared" si="121"/>
        <v>5.2427103310022982E-2</v>
      </c>
      <c r="X227" s="86">
        <f t="shared" si="107"/>
        <v>1.0002291130710415</v>
      </c>
      <c r="Y227" s="83">
        <f t="shared" si="108"/>
        <v>96.000000000000043</v>
      </c>
      <c r="Z227" s="82">
        <f t="shared" si="109"/>
        <v>1.2412781640180639</v>
      </c>
      <c r="AA227" s="86">
        <f t="shared" si="122"/>
        <v>1.0887363873941918</v>
      </c>
      <c r="AB227" s="86">
        <f t="shared" si="123"/>
        <v>1.0887363873941907</v>
      </c>
      <c r="AC227" s="82">
        <f t="shared" si="110"/>
        <v>1.0887363873941918</v>
      </c>
      <c r="AD227" s="84">
        <f t="shared" si="111"/>
        <v>18074.000000000007</v>
      </c>
      <c r="AE227" s="84">
        <f t="shared" si="112"/>
        <v>71.119999999982625</v>
      </c>
      <c r="AF227" s="84">
        <f t="shared" si="113"/>
        <v>62.380000000007392</v>
      </c>
      <c r="AG227" s="82"/>
      <c r="AH227" s="87">
        <f t="shared" si="117"/>
        <v>7.2759576141834259E-12</v>
      </c>
      <c r="AI227" s="87">
        <f t="shared" si="118"/>
        <v>1.7379875316692051E-11</v>
      </c>
      <c r="AJ227" s="87">
        <f t="shared" si="124"/>
        <v>7.3896444519050419E-12</v>
      </c>
    </row>
    <row r="228" spans="1:36" x14ac:dyDescent="0.2">
      <c r="A228" s="3">
        <v>18171</v>
      </c>
      <c r="B228" s="3">
        <v>68.849999999999994</v>
      </c>
      <c r="C228" s="3">
        <v>61.45</v>
      </c>
      <c r="D228" s="82"/>
      <c r="E228" s="82">
        <f t="shared" si="96"/>
        <v>1.2016591899980957</v>
      </c>
      <c r="F228" s="82">
        <f t="shared" si="97"/>
        <v>1.0725048253505156</v>
      </c>
      <c r="G228" s="82"/>
      <c r="H228" s="86">
        <f t="shared" si="98"/>
        <v>4.2452559804807777E-2</v>
      </c>
      <c r="I228" s="155">
        <f t="shared" si="119"/>
        <v>4.2452559804806278E-2</v>
      </c>
      <c r="J228" s="153">
        <f t="shared" si="120"/>
        <v>0.75227397103367244</v>
      </c>
      <c r="K228" s="86">
        <f t="shared" si="99"/>
        <v>1.0001502120577381</v>
      </c>
      <c r="L228" s="83">
        <f t="shared" si="100"/>
        <v>42.899580670156531</v>
      </c>
      <c r="M228" s="83">
        <f t="shared" si="101"/>
        <v>80.405762516932654</v>
      </c>
      <c r="N228" s="83">
        <f t="shared" si="102"/>
        <v>33.198288009290387</v>
      </c>
      <c r="O228" s="84">
        <f t="shared" si="103"/>
        <v>-7427.0156585261966</v>
      </c>
      <c r="P228" s="84">
        <f t="shared" si="104"/>
        <v>1866.8763997120827</v>
      </c>
      <c r="Q228" s="84">
        <f t="shared" si="105"/>
        <v>12494.16895192945</v>
      </c>
      <c r="S228" s="83">
        <f t="shared" si="114"/>
        <v>42.899580670156865</v>
      </c>
      <c r="T228" s="83">
        <f t="shared" si="115"/>
        <v>80.405762516932555</v>
      </c>
      <c r="U228" s="83">
        <f t="shared" si="116"/>
        <v>33.198288009290991</v>
      </c>
      <c r="V228" s="85">
        <f t="shared" si="106"/>
        <v>96.992716192260986</v>
      </c>
      <c r="W228" s="86">
        <f t="shared" si="121"/>
        <v>4.2452559804332157E-2</v>
      </c>
      <c r="X228" s="86">
        <f t="shared" si="107"/>
        <v>1.0001502120577348</v>
      </c>
      <c r="Y228" s="83">
        <f t="shared" si="108"/>
        <v>97.000000000000114</v>
      </c>
      <c r="Z228" s="82">
        <f t="shared" si="109"/>
        <v>1.2016591899983884</v>
      </c>
      <c r="AA228" s="86">
        <f t="shared" si="122"/>
        <v>1.0725048253503788</v>
      </c>
      <c r="AB228" s="86">
        <f t="shared" si="123"/>
        <v>1.0725048253503788</v>
      </c>
      <c r="AC228" s="82">
        <f t="shared" si="110"/>
        <v>1.0725048253503788</v>
      </c>
      <c r="AD228" s="84">
        <f t="shared" si="111"/>
        <v>18171.000000000007</v>
      </c>
      <c r="AE228" s="84">
        <f t="shared" si="112"/>
        <v>68.850000000016763</v>
      </c>
      <c r="AF228" s="84">
        <f t="shared" si="113"/>
        <v>61.449999999992173</v>
      </c>
      <c r="AG228" s="82"/>
      <c r="AH228" s="87">
        <f t="shared" si="117"/>
        <v>7.2759576141834259E-12</v>
      </c>
      <c r="AI228" s="87">
        <f t="shared" si="118"/>
        <v>1.6768808563938364E-11</v>
      </c>
      <c r="AJ228" s="87">
        <f t="shared" si="124"/>
        <v>7.830180948076304E-12</v>
      </c>
    </row>
    <row r="229" spans="1:36" x14ac:dyDescent="0.2">
      <c r="A229" s="3">
        <v>18267</v>
      </c>
      <c r="B229" s="3">
        <v>67.02</v>
      </c>
      <c r="C229" s="3">
        <v>61.89</v>
      </c>
      <c r="D229" s="82"/>
      <c r="E229" s="82">
        <f t="shared" si="96"/>
        <v>1.1697196646865995</v>
      </c>
      <c r="F229" s="82">
        <f t="shared" si="97"/>
        <v>1.0801842740592906</v>
      </c>
      <c r="G229" s="82"/>
      <c r="H229" s="86">
        <f t="shared" si="98"/>
        <v>3.2722750466674055E-2</v>
      </c>
      <c r="I229" s="155">
        <f t="shared" si="119"/>
        <v>3.2722750466675977E-2</v>
      </c>
      <c r="J229" s="153">
        <f t="shared" si="120"/>
        <v>0.5858985924375526</v>
      </c>
      <c r="K229" s="86">
        <f t="shared" si="99"/>
        <v>1.0000892410889306</v>
      </c>
      <c r="L229" s="83">
        <f t="shared" si="100"/>
        <v>42.220085988397344</v>
      </c>
      <c r="M229" s="83">
        <f t="shared" si="101"/>
        <v>78.308288564484386</v>
      </c>
      <c r="N229" s="83">
        <f t="shared" si="102"/>
        <v>36.061807397516468</v>
      </c>
      <c r="O229" s="84">
        <f t="shared" si="103"/>
        <v>-7384.7955725377997</v>
      </c>
      <c r="P229" s="84">
        <f t="shared" si="104"/>
        <v>1945.1846882765672</v>
      </c>
      <c r="Q229" s="84">
        <f t="shared" si="105"/>
        <v>12530.230759326967</v>
      </c>
      <c r="S229" s="83">
        <f t="shared" si="114"/>
        <v>42.220085988396931</v>
      </c>
      <c r="T229" s="83">
        <f t="shared" si="115"/>
        <v>78.308288564484428</v>
      </c>
      <c r="U229" s="83">
        <f t="shared" si="116"/>
        <v>36.061807397516532</v>
      </c>
      <c r="V229" s="85">
        <f t="shared" si="106"/>
        <v>95.995716943735431</v>
      </c>
      <c r="W229" s="86">
        <f t="shared" si="121"/>
        <v>3.2722750467335526E-2</v>
      </c>
      <c r="X229" s="86">
        <f t="shared" si="107"/>
        <v>1.0000892410889342</v>
      </c>
      <c r="Y229" s="83">
        <f t="shared" si="108"/>
        <v>96.000000000000057</v>
      </c>
      <c r="Z229" s="82">
        <f t="shared" si="109"/>
        <v>1.1697196646863048</v>
      </c>
      <c r="AA229" s="86">
        <f t="shared" si="122"/>
        <v>1.080184274059439</v>
      </c>
      <c r="AB229" s="86">
        <f t="shared" si="123"/>
        <v>1.0801842740594378</v>
      </c>
      <c r="AC229" s="82">
        <f t="shared" si="110"/>
        <v>1.080184274059439</v>
      </c>
      <c r="AD229" s="84">
        <f t="shared" si="111"/>
        <v>18267.000000000007</v>
      </c>
      <c r="AE229" s="84">
        <f t="shared" si="112"/>
        <v>67.019999999983114</v>
      </c>
      <c r="AF229" s="84">
        <f t="shared" si="113"/>
        <v>61.890000000008506</v>
      </c>
      <c r="AG229" s="82"/>
      <c r="AH229" s="87">
        <f t="shared" si="117"/>
        <v>7.2759576141834259E-12</v>
      </c>
      <c r="AI229" s="87">
        <f t="shared" si="118"/>
        <v>1.688249540165998E-11</v>
      </c>
      <c r="AJ229" s="87">
        <f t="shared" si="124"/>
        <v>8.5051965470483992E-12</v>
      </c>
    </row>
    <row r="230" spans="1:36" x14ac:dyDescent="0.2">
      <c r="A230" s="3">
        <v>18363</v>
      </c>
      <c r="B230" s="3">
        <v>64.69</v>
      </c>
      <c r="C230" s="3">
        <v>62.47</v>
      </c>
      <c r="D230" s="82"/>
      <c r="E230" s="82">
        <f t="shared" si="96"/>
        <v>1.1290534931151317</v>
      </c>
      <c r="F230" s="82">
        <f t="shared" si="97"/>
        <v>1.0903071837208576</v>
      </c>
      <c r="G230" s="82"/>
      <c r="H230" s="86">
        <f t="shared" si="98"/>
        <v>4.1701870945969333E-2</v>
      </c>
      <c r="I230" s="155">
        <f t="shared" si="119"/>
        <v>4.1701870945968403E-2</v>
      </c>
      <c r="J230" s="153">
        <f t="shared" si="120"/>
        <v>0.74666912593852286</v>
      </c>
      <c r="K230" s="86">
        <f t="shared" si="99"/>
        <v>1.0001449457101446</v>
      </c>
      <c r="L230" s="83">
        <f t="shared" si="100"/>
        <v>40.883631671580289</v>
      </c>
      <c r="M230" s="83">
        <f t="shared" si="101"/>
        <v>77.468481533069252</v>
      </c>
      <c r="N230" s="83">
        <f t="shared" si="102"/>
        <v>39.266111602286657</v>
      </c>
      <c r="O230" s="84">
        <f t="shared" si="103"/>
        <v>-7343.9119408662191</v>
      </c>
      <c r="P230" s="84">
        <f t="shared" si="104"/>
        <v>2022.6531698096364</v>
      </c>
      <c r="Q230" s="84">
        <f t="shared" si="105"/>
        <v>12569.496870929253</v>
      </c>
      <c r="S230" s="83">
        <f t="shared" si="114"/>
        <v>40.883631671580588</v>
      </c>
      <c r="T230" s="83">
        <f t="shared" si="115"/>
        <v>77.46848153306928</v>
      </c>
      <c r="U230" s="83">
        <f t="shared" si="116"/>
        <v>39.266111602286401</v>
      </c>
      <c r="V230" s="85">
        <f t="shared" si="106"/>
        <v>95.993043967050937</v>
      </c>
      <c r="W230" s="86">
        <f t="shared" si="121"/>
        <v>4.1701870945324071E-2</v>
      </c>
      <c r="X230" s="86">
        <f t="shared" si="107"/>
        <v>1.0001449457101401</v>
      </c>
      <c r="Y230" s="83">
        <f t="shared" si="108"/>
        <v>95.999999999999815</v>
      </c>
      <c r="Z230" s="82">
        <f t="shared" si="109"/>
        <v>1.1290534931154319</v>
      </c>
      <c r="AA230" s="86">
        <f t="shared" si="122"/>
        <v>1.0903071837206992</v>
      </c>
      <c r="AB230" s="86">
        <f t="shared" si="123"/>
        <v>1.0903071837206992</v>
      </c>
      <c r="AC230" s="82">
        <f t="shared" si="110"/>
        <v>1.0903071837206992</v>
      </c>
      <c r="AD230" s="84">
        <f t="shared" si="111"/>
        <v>18363.000000000007</v>
      </c>
      <c r="AE230" s="84">
        <f t="shared" si="112"/>
        <v>64.690000000017193</v>
      </c>
      <c r="AF230" s="84">
        <f t="shared" si="113"/>
        <v>62.469999999990925</v>
      </c>
      <c r="AG230" s="82"/>
      <c r="AH230" s="87">
        <f t="shared" si="117"/>
        <v>7.2759576141834259E-12</v>
      </c>
      <c r="AI230" s="87">
        <f t="shared" si="118"/>
        <v>1.7195134205394424E-11</v>
      </c>
      <c r="AJ230" s="87">
        <f t="shared" si="124"/>
        <v>9.0736307356564794E-12</v>
      </c>
    </row>
    <row r="231" spans="1:36" x14ac:dyDescent="0.2">
      <c r="A231" s="3">
        <v>18457</v>
      </c>
      <c r="B231" s="3">
        <v>61.75</v>
      </c>
      <c r="C231" s="3">
        <v>62.95</v>
      </c>
      <c r="D231" s="82"/>
      <c r="E231" s="82">
        <f t="shared" si="96"/>
        <v>1.0777408131064985</v>
      </c>
      <c r="F231" s="82">
        <f t="shared" si="97"/>
        <v>1.0986847641304305</v>
      </c>
      <c r="G231" s="82"/>
      <c r="H231" s="86">
        <f t="shared" si="98"/>
        <v>5.1854655156562179E-2</v>
      </c>
      <c r="I231" s="155">
        <f t="shared" si="119"/>
        <v>5.1854655156561541E-2</v>
      </c>
      <c r="J231" s="153">
        <f t="shared" si="120"/>
        <v>0.94820836869488423</v>
      </c>
      <c r="K231" s="86">
        <f t="shared" si="99"/>
        <v>1.0002241357066115</v>
      </c>
      <c r="L231" s="83">
        <f t="shared" si="100"/>
        <v>38.475537987671267</v>
      </c>
      <c r="M231" s="83">
        <f t="shared" si="101"/>
        <v>74.566994243472323</v>
      </c>
      <c r="N231" s="83">
        <f t="shared" si="102"/>
        <v>42.34874960293498</v>
      </c>
      <c r="O231" s="84">
        <f t="shared" si="103"/>
        <v>-7305.4364028785476</v>
      </c>
      <c r="P231" s="84">
        <f t="shared" si="104"/>
        <v>2097.2201640531089</v>
      </c>
      <c r="Q231" s="84">
        <f t="shared" si="105"/>
        <v>12611.845620532189</v>
      </c>
      <c r="S231" s="83">
        <f t="shared" si="114"/>
        <v>38.475537987671487</v>
      </c>
      <c r="T231" s="83">
        <f t="shared" si="115"/>
        <v>74.566994243472436</v>
      </c>
      <c r="U231" s="83">
        <f t="shared" si="116"/>
        <v>42.348749602935641</v>
      </c>
      <c r="V231" s="85">
        <f t="shared" si="106"/>
        <v>93.989468808366738</v>
      </c>
      <c r="W231" s="86">
        <f t="shared" si="121"/>
        <v>5.1854655157211216E-2</v>
      </c>
      <c r="X231" s="86">
        <f t="shared" si="107"/>
        <v>1.0002241357066171</v>
      </c>
      <c r="Y231" s="83">
        <f t="shared" si="108"/>
        <v>94.000000000000725</v>
      </c>
      <c r="Z231" s="82">
        <f t="shared" si="109"/>
        <v>1.0777408131061879</v>
      </c>
      <c r="AA231" s="86">
        <f t="shared" si="122"/>
        <v>1.0986847641305904</v>
      </c>
      <c r="AB231" s="86">
        <f t="shared" si="123"/>
        <v>1.0986847641305919</v>
      </c>
      <c r="AC231" s="82">
        <f t="shared" si="110"/>
        <v>1.0986847641305904</v>
      </c>
      <c r="AD231" s="84">
        <f t="shared" si="111"/>
        <v>18457.000000000007</v>
      </c>
      <c r="AE231" s="84">
        <f t="shared" si="112"/>
        <v>61.749999999982201</v>
      </c>
      <c r="AF231" s="84">
        <f t="shared" si="113"/>
        <v>62.950000000009162</v>
      </c>
      <c r="AG231" s="82"/>
      <c r="AH231" s="87">
        <f t="shared" si="117"/>
        <v>7.2759576141834259E-12</v>
      </c>
      <c r="AI231" s="87">
        <f t="shared" si="118"/>
        <v>1.779909553079051E-11</v>
      </c>
      <c r="AJ231" s="87">
        <f t="shared" si="124"/>
        <v>9.1588958639476914E-12</v>
      </c>
    </row>
    <row r="232" spans="1:36" x14ac:dyDescent="0.2">
      <c r="A232" s="3">
        <v>18545</v>
      </c>
      <c r="B232" s="3">
        <v>58.84</v>
      </c>
      <c r="C232" s="3">
        <v>63.02</v>
      </c>
      <c r="D232" s="82"/>
      <c r="E232" s="82">
        <f t="shared" si="96"/>
        <v>1.0269517318734636</v>
      </c>
      <c r="F232" s="82">
        <f t="shared" si="97"/>
        <v>1.0999064946068264</v>
      </c>
      <c r="G232" s="82"/>
      <c r="H232" s="86">
        <f t="shared" si="98"/>
        <v>5.0800161403158572E-2</v>
      </c>
      <c r="I232" s="155">
        <f t="shared" si="119"/>
        <v>5.0800161403159454E-2</v>
      </c>
      <c r="J232" s="153">
        <f t="shared" si="120"/>
        <v>0.992261879653762</v>
      </c>
      <c r="K232" s="86">
        <f t="shared" si="99"/>
        <v>1.0002151102126073</v>
      </c>
      <c r="L232" s="83">
        <f t="shared" si="100"/>
        <v>34.715809176663015</v>
      </c>
      <c r="M232" s="83">
        <f t="shared" si="101"/>
        <v>68.088048690614244</v>
      </c>
      <c r="N232" s="83">
        <f t="shared" si="102"/>
        <v>43.602350606028111</v>
      </c>
      <c r="O232" s="84">
        <f t="shared" si="103"/>
        <v>-7270.7205937018844</v>
      </c>
      <c r="P232" s="84">
        <f t="shared" si="104"/>
        <v>2165.3082127437233</v>
      </c>
      <c r="Q232" s="84">
        <f t="shared" si="105"/>
        <v>12655.447971138217</v>
      </c>
      <c r="S232" s="83">
        <f t="shared" si="114"/>
        <v>34.715809176663242</v>
      </c>
      <c r="T232" s="83">
        <f t="shared" si="115"/>
        <v>68.088048690614414</v>
      </c>
      <c r="U232" s="83">
        <f t="shared" si="116"/>
        <v>43.602350606028267</v>
      </c>
      <c r="V232" s="85">
        <f t="shared" si="106"/>
        <v>87.990537898441033</v>
      </c>
      <c r="W232" s="86">
        <f t="shared" si="121"/>
        <v>5.0800161402521304E-2</v>
      </c>
      <c r="X232" s="86">
        <f t="shared" si="107"/>
        <v>1.000215110212602</v>
      </c>
      <c r="Y232" s="83">
        <f t="shared" si="108"/>
        <v>88.000000000000057</v>
      </c>
      <c r="Z232" s="82">
        <f t="shared" si="109"/>
        <v>1.026951731873774</v>
      </c>
      <c r="AA232" s="86">
        <f t="shared" si="122"/>
        <v>1.0999064946066581</v>
      </c>
      <c r="AB232" s="86">
        <f t="shared" si="123"/>
        <v>1.099906494606659</v>
      </c>
      <c r="AC232" s="82">
        <f t="shared" si="110"/>
        <v>1.0999064946066581</v>
      </c>
      <c r="AD232" s="84">
        <f t="shared" si="111"/>
        <v>18545.000000000007</v>
      </c>
      <c r="AE232" s="84">
        <f t="shared" si="112"/>
        <v>58.840000000017788</v>
      </c>
      <c r="AF232" s="84">
        <f t="shared" si="113"/>
        <v>63.019999999990354</v>
      </c>
      <c r="AG232" s="82"/>
      <c r="AH232" s="87">
        <f t="shared" si="117"/>
        <v>7.2759576141834259E-12</v>
      </c>
      <c r="AI232" s="87">
        <f t="shared" si="118"/>
        <v>1.7784884676075308E-11</v>
      </c>
      <c r="AJ232" s="87">
        <f t="shared" si="124"/>
        <v>9.6491703516221605E-12</v>
      </c>
    </row>
    <row r="233" spans="1:36" x14ac:dyDescent="0.2">
      <c r="A233" s="3">
        <v>18587</v>
      </c>
      <c r="B233" s="3">
        <v>58.84</v>
      </c>
      <c r="C233" s="3">
        <v>63.02</v>
      </c>
      <c r="D233" s="82"/>
      <c r="E233" s="82">
        <f t="shared" si="96"/>
        <v>1.0269517318734636</v>
      </c>
      <c r="F233" s="82">
        <f t="shared" si="97"/>
        <v>1.0999064946068264</v>
      </c>
      <c r="G233" s="82"/>
      <c r="H233" s="86">
        <f t="shared" si="98"/>
        <v>0</v>
      </c>
      <c r="I233" s="155">
        <f t="shared" si="119"/>
        <v>0</v>
      </c>
      <c r="J233" s="153">
        <f t="shared" si="120"/>
        <v>0</v>
      </c>
      <c r="K233" s="86">
        <f t="shared" si="99"/>
        <v>1</v>
      </c>
      <c r="L233" s="83">
        <f t="shared" si="100"/>
        <v>16.305457056349624</v>
      </c>
      <c r="M233" s="83">
        <f t="shared" si="101"/>
        <v>32.028895360616602</v>
      </c>
      <c r="N233" s="83">
        <f t="shared" si="102"/>
        <v>21.732048503585908</v>
      </c>
      <c r="O233" s="84">
        <f t="shared" si="103"/>
        <v>-7254.4151366455344</v>
      </c>
      <c r="P233" s="84">
        <f t="shared" si="104"/>
        <v>2197.3371081043397</v>
      </c>
      <c r="Q233" s="84">
        <f t="shared" si="105"/>
        <v>12677.180019641803</v>
      </c>
      <c r="S233" s="83">
        <f t="shared" si="114"/>
        <v>16.305457056349951</v>
      </c>
      <c r="T233" s="83">
        <f t="shared" si="115"/>
        <v>32.028895360616389</v>
      </c>
      <c r="U233" s="83">
        <f t="shared" si="116"/>
        <v>21.732048503585247</v>
      </c>
      <c r="V233" s="85">
        <f t="shared" si="106"/>
        <v>41.999999999999623</v>
      </c>
      <c r="W233" s="86">
        <f t="shared" si="121"/>
        <v>0</v>
      </c>
      <c r="X233" s="86">
        <f t="shared" si="107"/>
        <v>1</v>
      </c>
      <c r="Y233" s="83">
        <f t="shared" si="108"/>
        <v>41.999999999999623</v>
      </c>
      <c r="Z233" s="82">
        <f t="shared" si="109"/>
        <v>1.0269517318731789</v>
      </c>
      <c r="AA233" s="86">
        <f t="shared" si="122"/>
        <v>1.099906494606973</v>
      </c>
      <c r="AB233" s="86">
        <f t="shared" si="123"/>
        <v>1.099906494606973</v>
      </c>
      <c r="AC233" s="82">
        <f t="shared" si="110"/>
        <v>1.099906494606973</v>
      </c>
      <c r="AD233" s="84">
        <f t="shared" si="111"/>
        <v>18587.000000000007</v>
      </c>
      <c r="AE233" s="84">
        <f t="shared" si="112"/>
        <v>58.839999999983696</v>
      </c>
      <c r="AF233" s="84">
        <f t="shared" si="113"/>
        <v>63.020000000008395</v>
      </c>
      <c r="AG233" s="82"/>
      <c r="AH233" s="87">
        <f t="shared" si="117"/>
        <v>7.2759576141834259E-12</v>
      </c>
      <c r="AI233" s="87">
        <f t="shared" si="118"/>
        <v>1.6306955785694299E-11</v>
      </c>
      <c r="AJ233" s="87">
        <f t="shared" si="124"/>
        <v>8.3915097093267832E-12</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8FE84-A4CC-428B-824E-EFE66A0A032D}">
  <sheetPr>
    <tabColor rgb="FFFFFF00"/>
  </sheetPr>
  <dimension ref="A1:AG246"/>
  <sheetViews>
    <sheetView workbookViewId="0">
      <pane ySplit="33" topLeftCell="A34" activePane="bottomLeft" state="frozen"/>
      <selection pane="bottomLeft" activeCell="E25" sqref="E25"/>
    </sheetView>
  </sheetViews>
  <sheetFormatPr defaultColWidth="9.109375" defaultRowHeight="10.199999999999999" x14ac:dyDescent="0.2"/>
  <cols>
    <col min="1" max="1" width="7" style="1" customWidth="1"/>
    <col min="2" max="2" width="7.6640625" style="1" bestFit="1" customWidth="1"/>
    <col min="3" max="3" width="7.5546875" style="1" bestFit="1" customWidth="1"/>
    <col min="4" max="4" width="7.88671875" style="1" customWidth="1"/>
    <col min="5" max="5" width="11.5546875" style="1" customWidth="1"/>
    <col min="6" max="6" width="10" style="1" bestFit="1" customWidth="1"/>
    <col min="7" max="7" width="3" style="1" customWidth="1"/>
    <col min="8" max="8" width="10.44140625" style="1" customWidth="1"/>
    <col min="9" max="10" width="10.5546875" style="1" customWidth="1"/>
    <col min="11" max="11" width="3" style="1" customWidth="1"/>
    <col min="12" max="13" width="11.44140625" style="1" customWidth="1"/>
    <col min="14" max="14" width="9.109375" style="1" customWidth="1"/>
    <col min="15" max="15" width="3.44140625" style="1" customWidth="1"/>
    <col min="16" max="17" width="11.44140625" style="1" customWidth="1"/>
    <col min="18" max="18" width="9.109375" style="1" customWidth="1"/>
    <col min="19" max="21" width="4" style="1" customWidth="1"/>
    <col min="22" max="24" width="7.109375" style="1" customWidth="1"/>
    <col min="25" max="25" width="3.44140625" style="1" customWidth="1"/>
    <col min="26" max="26" width="9.5546875" style="1" customWidth="1"/>
    <col min="27" max="27" width="8.44140625" style="1" customWidth="1"/>
    <col min="28" max="28" width="7.88671875" style="1" customWidth="1"/>
    <col min="29" max="31" width="9.109375" style="1"/>
    <col min="32" max="32" width="10" style="1" bestFit="1" customWidth="1"/>
    <col min="33" max="16384" width="9.109375" style="1"/>
  </cols>
  <sheetData>
    <row r="1" spans="1:12" x14ac:dyDescent="0.2">
      <c r="A1" s="1" t="s">
        <v>50</v>
      </c>
      <c r="L1" s="1" t="s">
        <v>329</v>
      </c>
    </row>
    <row r="2" spans="1:12" x14ac:dyDescent="0.2">
      <c r="A2" s="1" t="s">
        <v>154</v>
      </c>
      <c r="L2" s="1" t="s">
        <v>108</v>
      </c>
    </row>
    <row r="3" spans="1:12" x14ac:dyDescent="0.2">
      <c r="A3" s="1" t="s">
        <v>16</v>
      </c>
    </row>
    <row r="5" spans="1:12" x14ac:dyDescent="0.2">
      <c r="A5" s="25" t="s">
        <v>45</v>
      </c>
      <c r="H5" s="25" t="s">
        <v>46</v>
      </c>
      <c r="L5" s="82"/>
    </row>
    <row r="6" spans="1:12" x14ac:dyDescent="0.2">
      <c r="B6" s="1" t="s">
        <v>59</v>
      </c>
      <c r="E6" s="82" t="s">
        <v>174</v>
      </c>
      <c r="I6" s="1" t="s">
        <v>60</v>
      </c>
      <c r="L6" s="82" t="s">
        <v>175</v>
      </c>
    </row>
    <row r="7" spans="1:12" x14ac:dyDescent="0.2">
      <c r="B7" s="1" t="s">
        <v>48</v>
      </c>
      <c r="E7" s="82">
        <v>6081740479</v>
      </c>
      <c r="I7" s="1" t="s">
        <v>49</v>
      </c>
      <c r="L7" s="91">
        <v>608174047904</v>
      </c>
    </row>
    <row r="9" spans="1:12" x14ac:dyDescent="0.2">
      <c r="A9" s="25" t="s">
        <v>42</v>
      </c>
    </row>
    <row r="10" spans="1:12" x14ac:dyDescent="0.2">
      <c r="B10" s="1" t="s">
        <v>22</v>
      </c>
      <c r="E10" s="24" t="s">
        <v>173</v>
      </c>
      <c r="F10" s="92">
        <v>0.30480000000000002</v>
      </c>
      <c r="H10" s="1" t="s">
        <v>176</v>
      </c>
    </row>
    <row r="11" spans="1:12" x14ac:dyDescent="0.2">
      <c r="B11" s="1" t="s">
        <v>21</v>
      </c>
      <c r="E11" s="8" t="s">
        <v>17</v>
      </c>
      <c r="H11" s="1" t="s">
        <v>18</v>
      </c>
    </row>
    <row r="13" spans="1:12" x14ac:dyDescent="0.2">
      <c r="A13" s="25" t="s">
        <v>27</v>
      </c>
      <c r="E13" s="1" t="s">
        <v>178</v>
      </c>
    </row>
    <row r="14" spans="1:12" x14ac:dyDescent="0.2">
      <c r="B14" s="1" t="s">
        <v>29</v>
      </c>
      <c r="E14" s="24" t="s">
        <v>24</v>
      </c>
      <c r="F14" s="81">
        <f>1200/3937</f>
        <v>0.30480060960121919</v>
      </c>
      <c r="H14" s="1" t="s">
        <v>64</v>
      </c>
    </row>
    <row r="15" spans="1:12" x14ac:dyDescent="0.2">
      <c r="B15" s="1" t="s">
        <v>30</v>
      </c>
      <c r="E15" s="5">
        <v>0</v>
      </c>
      <c r="F15" s="1" t="str">
        <f>E14</f>
        <v>ftUS</v>
      </c>
    </row>
    <row r="16" spans="1:12" x14ac:dyDescent="0.2">
      <c r="B16" s="1" t="s">
        <v>34</v>
      </c>
      <c r="E16" s="5">
        <v>192</v>
      </c>
      <c r="F16" s="1" t="str">
        <f>E14</f>
        <v>ftUS</v>
      </c>
    </row>
    <row r="17" spans="1:33" x14ac:dyDescent="0.2">
      <c r="B17" s="1" t="s">
        <v>35</v>
      </c>
      <c r="E17" s="36">
        <f>E15+E16</f>
        <v>192</v>
      </c>
      <c r="F17" s="1" t="str">
        <f>E14</f>
        <v>ftUS</v>
      </c>
    </row>
    <row r="19" spans="1:33" x14ac:dyDescent="0.2">
      <c r="A19" s="25" t="s">
        <v>63</v>
      </c>
      <c r="E19" s="1" t="s">
        <v>177</v>
      </c>
    </row>
    <row r="20" spans="1:33" x14ac:dyDescent="0.2">
      <c r="B20" s="1" t="s">
        <v>23</v>
      </c>
      <c r="E20" s="24" t="s">
        <v>24</v>
      </c>
      <c r="F20" s="81">
        <f>1200/3937</f>
        <v>0.30480060960121919</v>
      </c>
      <c r="H20" s="1" t="s">
        <v>64</v>
      </c>
    </row>
    <row r="21" spans="1:33" x14ac:dyDescent="0.2">
      <c r="B21" s="1" t="s">
        <v>20</v>
      </c>
      <c r="E21" s="36">
        <v>10229028.359999999</v>
      </c>
      <c r="F21" s="1" t="str">
        <f>E20</f>
        <v>ftUS</v>
      </c>
    </row>
    <row r="22" spans="1:33" x14ac:dyDescent="0.2">
      <c r="B22" s="1" t="s">
        <v>19</v>
      </c>
      <c r="E22" s="36">
        <v>924348.57</v>
      </c>
      <c r="F22" s="1" t="str">
        <f>E20</f>
        <v>ftUS</v>
      </c>
    </row>
    <row r="23" spans="1:33" x14ac:dyDescent="0.2">
      <c r="B23" s="1" t="s">
        <v>39</v>
      </c>
      <c r="E23" s="4">
        <v>-1.05</v>
      </c>
      <c r="F23" s="1" t="s">
        <v>25</v>
      </c>
      <c r="H23" s="1" t="s">
        <v>33</v>
      </c>
    </row>
    <row r="24" spans="1:33" x14ac:dyDescent="0.2">
      <c r="B24" s="1" t="s">
        <v>40</v>
      </c>
      <c r="E24" s="6">
        <v>1.0001880000000001</v>
      </c>
      <c r="F24" s="1" t="s">
        <v>26</v>
      </c>
      <c r="H24" s="1" t="s">
        <v>65</v>
      </c>
    </row>
    <row r="26" spans="1:33" x14ac:dyDescent="0.2">
      <c r="A26" s="25" t="s">
        <v>41</v>
      </c>
      <c r="E26" s="1" t="s">
        <v>38</v>
      </c>
    </row>
    <row r="27" spans="1:33" x14ac:dyDescent="0.2">
      <c r="B27" s="1" t="s">
        <v>36</v>
      </c>
      <c r="E27" s="1">
        <v>1</v>
      </c>
      <c r="H27" s="1" t="s">
        <v>37</v>
      </c>
    </row>
    <row r="28" spans="1:33" x14ac:dyDescent="0.2">
      <c r="B28" s="1" t="s">
        <v>61</v>
      </c>
      <c r="E28" s="1">
        <v>0</v>
      </c>
      <c r="H28" s="1" t="s">
        <v>62</v>
      </c>
    </row>
    <row r="30" spans="1:33" x14ac:dyDescent="0.2">
      <c r="AG30" s="29" t="s">
        <v>58</v>
      </c>
    </row>
    <row r="31" spans="1:33" x14ac:dyDescent="0.2">
      <c r="D31" s="17" t="s">
        <v>43</v>
      </c>
      <c r="E31" s="18"/>
      <c r="F31" s="18"/>
      <c r="G31" s="18"/>
      <c r="H31" s="34"/>
      <c r="I31" s="18"/>
      <c r="J31" s="18"/>
      <c r="L31" s="13" t="s">
        <v>87</v>
      </c>
      <c r="M31" s="14"/>
      <c r="N31" s="14"/>
      <c r="O31" s="14"/>
      <c r="P31" s="14"/>
      <c r="Q31" s="14"/>
      <c r="R31" s="14"/>
      <c r="T31" s="37" t="s">
        <v>56</v>
      </c>
      <c r="V31" s="15" t="s">
        <v>55</v>
      </c>
      <c r="W31" s="16"/>
      <c r="X31" s="16"/>
      <c r="Y31" s="16"/>
      <c r="Z31" s="16"/>
      <c r="AA31" s="16"/>
      <c r="AB31" s="16"/>
      <c r="AC31" s="16"/>
      <c r="AD31" s="16"/>
      <c r="AE31" s="16"/>
      <c r="AG31" s="37" t="s">
        <v>15</v>
      </c>
    </row>
    <row r="32" spans="1:33" x14ac:dyDescent="0.2">
      <c r="A32" s="29" t="s">
        <v>51</v>
      </c>
      <c r="D32" s="29" t="s">
        <v>91</v>
      </c>
      <c r="H32" s="29" t="s">
        <v>52</v>
      </c>
      <c r="L32" s="29" t="s">
        <v>53</v>
      </c>
      <c r="P32" s="29" t="s">
        <v>54</v>
      </c>
      <c r="T32" s="33"/>
      <c r="V32" s="29" t="s">
        <v>53</v>
      </c>
      <c r="Z32" s="29" t="s">
        <v>54</v>
      </c>
      <c r="AG32" s="22">
        <f>MAX(AG34:AG150)</f>
        <v>9.2672469031569678E-10</v>
      </c>
    </row>
    <row r="33" spans="1:33" s="2" customFormat="1" x14ac:dyDescent="0.3">
      <c r="A33" s="30" t="str">
        <f>CONCATENATE("MD [",$E10,"]")</f>
        <v>MD [ft]</v>
      </c>
      <c r="B33" s="31" t="s">
        <v>2</v>
      </c>
      <c r="C33" s="30" t="s">
        <v>3</v>
      </c>
      <c r="D33" s="11" t="str">
        <f>CONCATENATE("n [",$E10,"]")</f>
        <v>n [ft]</v>
      </c>
      <c r="E33" s="11" t="str">
        <f>CONCATENATE("e [",$E10,"]")</f>
        <v>e [ft]</v>
      </c>
      <c r="F33" s="11" t="str">
        <f>CONCATENATE("d [",$E10,"]")</f>
        <v>d [ft]</v>
      </c>
      <c r="H33" s="11" t="str">
        <f>CONCATENATE("n [",$E20,"]")</f>
        <v>n [ftUS]</v>
      </c>
      <c r="I33" s="11" t="str">
        <f>CONCATENATE("e [",$E20,"]")</f>
        <v>e [ftUS]</v>
      </c>
      <c r="J33" s="11" t="str">
        <f>CONCATENATE("d [",$E14,"]")</f>
        <v>d [ftUS]</v>
      </c>
      <c r="L33" s="35" t="str">
        <f>CONCATENATE("N [",$E20,"]")</f>
        <v>N [ftUS]</v>
      </c>
      <c r="M33" s="35" t="str">
        <f>CONCATENATE("E [",$E20,"]")</f>
        <v>E [ftUS]</v>
      </c>
      <c r="N33" s="35" t="str">
        <f>CONCATENATE("D [",$E14,"]")</f>
        <v>D [ftUS]</v>
      </c>
      <c r="P33" s="35" t="str">
        <f>CONCATENATE("N [",$E20,"]")</f>
        <v>N [ftUS]</v>
      </c>
      <c r="Q33" s="35" t="str">
        <f>CONCATENATE("E [",$E20,"]")</f>
        <v>E [ftUS]</v>
      </c>
      <c r="R33" s="35" t="str">
        <f>CONCATENATE("D [",$E14,"]")</f>
        <v>D [ftUS]</v>
      </c>
      <c r="T33" s="38" t="str">
        <f>CONCATENATE("r [",$E20,"]")</f>
        <v>r [ftUS]</v>
      </c>
      <c r="V33" s="11" t="str">
        <f>CONCATENATE("n [",$E20,"]")</f>
        <v>n [ftUS]</v>
      </c>
      <c r="W33" s="11" t="str">
        <f>CONCATENATE("e [",$E20,"]")</f>
        <v>e [ftUS]</v>
      </c>
      <c r="X33" s="11" t="str">
        <f>CONCATENATE("d [",$E14,"]")</f>
        <v>d [ftUS]</v>
      </c>
      <c r="Z33" s="11" t="str">
        <f>CONCATENATE("n [",$E20,"]")</f>
        <v>n [ftUS]</v>
      </c>
      <c r="AA33" s="11" t="str">
        <f>CONCATENATE("e [",$E20,"]")</f>
        <v>e [ftUS]</v>
      </c>
      <c r="AB33" s="11" t="str">
        <f>CONCATENATE("d [",$E14,"]")</f>
        <v>d [ftUS]</v>
      </c>
      <c r="AC33" s="35" t="str">
        <f>CONCATENATE("n [",$E10,"]")</f>
        <v>n [ft]</v>
      </c>
      <c r="AD33" s="35" t="str">
        <f>CONCATENATE("e [",$E10,"]")</f>
        <v>e [ft]</v>
      </c>
      <c r="AE33" s="35" t="str">
        <f>CONCATENATE("d [",$E10,"]")</f>
        <v>d [ft]</v>
      </c>
      <c r="AG33" s="2" t="s">
        <v>57</v>
      </c>
    </row>
    <row r="34" spans="1:33" x14ac:dyDescent="0.2">
      <c r="A34" s="32">
        <v>0</v>
      </c>
      <c r="B34" s="32">
        <v>0</v>
      </c>
      <c r="C34" s="32">
        <v>0</v>
      </c>
      <c r="D34" s="27">
        <v>0</v>
      </c>
      <c r="E34" s="27">
        <v>0</v>
      </c>
      <c r="F34" s="27">
        <v>0</v>
      </c>
      <c r="H34" s="84">
        <f t="shared" ref="H34:H97" si="0">D34*F$10/F$20</f>
        <v>0</v>
      </c>
      <c r="I34" s="84">
        <f t="shared" ref="I34:I97" si="1">E34*F$10/F$20</f>
        <v>0</v>
      </c>
      <c r="J34" s="84">
        <f t="shared" ref="J34:J97" si="2">F34*F$10/F$14</f>
        <v>0</v>
      </c>
      <c r="L34" s="5">
        <f t="shared" ref="L34:L40" si="3">E$21 + H34</f>
        <v>10229028.359999999</v>
      </c>
      <c r="M34" s="5">
        <f t="shared" ref="M34:M40" si="4">E$22 + I34</f>
        <v>924348.57</v>
      </c>
      <c r="N34" s="5">
        <f t="shared" ref="N34:N40" si="5">J34 - E$17</f>
        <v>-192</v>
      </c>
      <c r="P34" s="5">
        <f t="shared" ref="P34:P40" si="6">E$21 + E$24*H34</f>
        <v>10229028.359999999</v>
      </c>
      <c r="Q34" s="5">
        <f t="shared" ref="Q34:Q40" si="7">E$22 + E$24*I34</f>
        <v>924348.57</v>
      </c>
      <c r="R34" s="5">
        <f t="shared" ref="R34:R40" si="8">N34 - H$17</f>
        <v>-192</v>
      </c>
      <c r="T34" s="39">
        <f>SQRT(SUMSQ(P34-L34,Q34-M34))</f>
        <v>0</v>
      </c>
      <c r="V34" s="5">
        <f>L34 - E$21</f>
        <v>0</v>
      </c>
      <c r="W34" s="5">
        <f>M34 - E$22</f>
        <v>0</v>
      </c>
      <c r="X34" s="5">
        <f>N34 + E$17</f>
        <v>0</v>
      </c>
      <c r="Z34" s="5">
        <f>(P34 - E$21) / E$24</f>
        <v>0</v>
      </c>
      <c r="AA34" s="5">
        <f>(Q34 - E$22) / E$24</f>
        <v>0</v>
      </c>
      <c r="AB34" s="5">
        <f>R34 + E$17</f>
        <v>0</v>
      </c>
      <c r="AC34" s="5">
        <f>Z34*F$20/F$10</f>
        <v>0</v>
      </c>
      <c r="AD34" s="5">
        <f>AA34*F$20/F$10</f>
        <v>0</v>
      </c>
      <c r="AE34" s="5">
        <f>AB34*F$14/F$10</f>
        <v>0</v>
      </c>
      <c r="AG34" s="22">
        <f>SQRT(SUMSQ(AC34-D34,AD34-E34,AE34-F34))</f>
        <v>0</v>
      </c>
    </row>
    <row r="35" spans="1:33" x14ac:dyDescent="0.2">
      <c r="A35" s="32">
        <v>30</v>
      </c>
      <c r="B35" s="32">
        <v>0.8</v>
      </c>
      <c r="C35" s="32">
        <v>87</v>
      </c>
      <c r="D35" s="28">
        <v>0</v>
      </c>
      <c r="E35" s="28">
        <v>0</v>
      </c>
      <c r="F35" s="28">
        <v>3137</v>
      </c>
      <c r="H35" s="84">
        <f t="shared" si="0"/>
        <v>0</v>
      </c>
      <c r="I35" s="84">
        <f t="shared" si="1"/>
        <v>0</v>
      </c>
      <c r="J35" s="84">
        <f t="shared" si="2"/>
        <v>3136.9937260000002</v>
      </c>
      <c r="L35" s="5">
        <f t="shared" si="3"/>
        <v>10229028.359999999</v>
      </c>
      <c r="M35" s="5">
        <f t="shared" si="4"/>
        <v>924348.57</v>
      </c>
      <c r="N35" s="5">
        <f t="shared" si="5"/>
        <v>2944.9937260000002</v>
      </c>
      <c r="P35" s="5">
        <f t="shared" si="6"/>
        <v>10229028.359999999</v>
      </c>
      <c r="Q35" s="5">
        <f t="shared" si="7"/>
        <v>924348.57</v>
      </c>
      <c r="R35" s="5">
        <f t="shared" si="8"/>
        <v>2944.9937260000002</v>
      </c>
      <c r="T35" s="39">
        <f t="shared" ref="T35:T40" si="9">SQRT(SUMSQ(P35-L35,Q35-M35))</f>
        <v>0</v>
      </c>
      <c r="V35" s="5">
        <f t="shared" ref="V35:V43" si="10">L35 - E$21</f>
        <v>0</v>
      </c>
      <c r="W35" s="5">
        <f t="shared" ref="W35:W43" si="11">M35 - E$22</f>
        <v>0</v>
      </c>
      <c r="X35" s="5">
        <f t="shared" ref="X35:X43" si="12">N35 + E$17</f>
        <v>3136.9937260000002</v>
      </c>
      <c r="Z35" s="5">
        <f t="shared" ref="Z35:Z44" si="13">(P35 - E$21) / E$24</f>
        <v>0</v>
      </c>
      <c r="AA35" s="5">
        <f t="shared" ref="AA35:AA44" si="14">(Q35 - E$22) / E$24</f>
        <v>0</v>
      </c>
      <c r="AB35" s="5">
        <f t="shared" ref="AB35:AB44" si="15">R35 + E$17</f>
        <v>3136.9937260000002</v>
      </c>
      <c r="AC35" s="84">
        <f t="shared" ref="AC35:AC98" si="16">Z35*F$20/F$10</f>
        <v>0</v>
      </c>
      <c r="AD35" s="84">
        <f t="shared" ref="AD35:AD98" si="17">AA35*F$20/F$10</f>
        <v>0</v>
      </c>
      <c r="AE35" s="84">
        <f t="shared" ref="AE35:AE98" si="18">AB35*F$14/F$10</f>
        <v>3137</v>
      </c>
      <c r="AG35" s="22">
        <f t="shared" ref="AG35:AG98" si="19">SQRT(SUMSQ(AC35-D35,AD35-E35,AE35-F35))</f>
        <v>0</v>
      </c>
    </row>
    <row r="36" spans="1:33" x14ac:dyDescent="0.2">
      <c r="A36" s="32">
        <v>60</v>
      </c>
      <c r="B36" s="32">
        <v>0.9</v>
      </c>
      <c r="C36" s="32">
        <v>110</v>
      </c>
      <c r="D36" s="28">
        <v>5.3372792574907055E-2</v>
      </c>
      <c r="E36" s="28">
        <v>7.7570852493516751E-2</v>
      </c>
      <c r="F36" s="28">
        <v>3149.9995453277329</v>
      </c>
      <c r="H36" s="84">
        <f t="shared" si="0"/>
        <v>5.3372685829321913E-2</v>
      </c>
      <c r="I36" s="84">
        <f t="shared" si="1"/>
        <v>7.7570697351811782E-2</v>
      </c>
      <c r="J36" s="84">
        <f t="shared" si="2"/>
        <v>3149.9932453286428</v>
      </c>
      <c r="L36" s="5">
        <f t="shared" si="3"/>
        <v>10229028.413372686</v>
      </c>
      <c r="M36" s="5">
        <f t="shared" si="4"/>
        <v>924348.64757069736</v>
      </c>
      <c r="N36" s="5">
        <f t="shared" si="5"/>
        <v>2957.9932453286428</v>
      </c>
      <c r="P36" s="5">
        <f t="shared" si="6"/>
        <v>10229028.41338272</v>
      </c>
      <c r="Q36" s="5">
        <f t="shared" si="7"/>
        <v>924348.64758528059</v>
      </c>
      <c r="R36" s="5">
        <f t="shared" si="8"/>
        <v>2957.9932453286428</v>
      </c>
      <c r="T36" s="39">
        <f t="shared" si="9"/>
        <v>1.7701784487522332E-5</v>
      </c>
      <c r="V36" s="5">
        <f t="shared" si="10"/>
        <v>5.3372686728835106E-2</v>
      </c>
      <c r="W36" s="5">
        <f t="shared" si="11"/>
        <v>7.7570697409100831E-2</v>
      </c>
      <c r="X36" s="5">
        <f t="shared" si="12"/>
        <v>3149.9932453286428</v>
      </c>
      <c r="Z36" s="5">
        <f t="shared" si="13"/>
        <v>5.3372686733148177E-2</v>
      </c>
      <c r="AA36" s="5">
        <f t="shared" si="14"/>
        <v>7.7570697348949155E-2</v>
      </c>
      <c r="AB36" s="5">
        <f t="shared" si="15"/>
        <v>3149.9932453286428</v>
      </c>
      <c r="AC36" s="84">
        <f t="shared" si="16"/>
        <v>5.337279347873513E-2</v>
      </c>
      <c r="AD36" s="84">
        <f t="shared" si="17"/>
        <v>7.7570852490654124E-2</v>
      </c>
      <c r="AE36" s="84">
        <f t="shared" si="18"/>
        <v>3149.9995453277329</v>
      </c>
      <c r="AG36" s="22">
        <f t="shared" si="19"/>
        <v>9.0383260816308799E-10</v>
      </c>
    </row>
    <row r="37" spans="1:33" x14ac:dyDescent="0.2">
      <c r="A37" s="32">
        <v>90</v>
      </c>
      <c r="B37" s="32">
        <v>0.6</v>
      </c>
      <c r="C37" s="32">
        <v>185</v>
      </c>
      <c r="D37" s="28">
        <v>0.24201980916402804</v>
      </c>
      <c r="E37" s="28">
        <v>0.35817822029587448</v>
      </c>
      <c r="F37" s="28">
        <v>3174.9972547173461</v>
      </c>
      <c r="H37" s="84">
        <f t="shared" si="0"/>
        <v>0.24201932512440971</v>
      </c>
      <c r="I37" s="84">
        <f t="shared" si="1"/>
        <v>0.35817750393943393</v>
      </c>
      <c r="J37" s="84">
        <f t="shared" si="2"/>
        <v>3174.9909047228371</v>
      </c>
      <c r="L37" s="5">
        <f t="shared" si="3"/>
        <v>10229028.602019325</v>
      </c>
      <c r="M37" s="5">
        <f t="shared" si="4"/>
        <v>924348.92817750387</v>
      </c>
      <c r="N37" s="5">
        <f t="shared" si="5"/>
        <v>2982.9909047228371</v>
      </c>
      <c r="P37" s="5">
        <f t="shared" si="6"/>
        <v>10229028.602064824</v>
      </c>
      <c r="Q37" s="5">
        <f t="shared" si="7"/>
        <v>924348.92824484129</v>
      </c>
      <c r="R37" s="5">
        <f t="shared" si="8"/>
        <v>2982.9909047228371</v>
      </c>
      <c r="T37" s="39">
        <f t="shared" si="9"/>
        <v>8.1267899065642294E-5</v>
      </c>
      <c r="V37" s="5">
        <f t="shared" si="10"/>
        <v>0.24201932549476624</v>
      </c>
      <c r="W37" s="5">
        <f t="shared" si="11"/>
        <v>0.35817750392016023</v>
      </c>
      <c r="X37" s="5">
        <f t="shared" si="12"/>
        <v>3174.9909047228371</v>
      </c>
      <c r="Z37" s="5">
        <f t="shared" si="13"/>
        <v>0.24201932469478385</v>
      </c>
      <c r="AA37" s="5">
        <f t="shared" si="14"/>
        <v>0.35817750396552711</v>
      </c>
      <c r="AB37" s="5">
        <f t="shared" si="15"/>
        <v>3174.9909047228371</v>
      </c>
      <c r="AC37" s="84">
        <f t="shared" si="16"/>
        <v>0.24201980873440132</v>
      </c>
      <c r="AD37" s="84">
        <f t="shared" si="17"/>
        <v>0.35817822032196772</v>
      </c>
      <c r="AE37" s="84">
        <f t="shared" si="18"/>
        <v>3174.9972547173461</v>
      </c>
      <c r="AG37" s="22">
        <f t="shared" si="19"/>
        <v>4.3041837587950831E-10</v>
      </c>
    </row>
    <row r="38" spans="1:33" x14ac:dyDescent="0.2">
      <c r="A38" s="32">
        <v>120</v>
      </c>
      <c r="B38" s="32">
        <v>0.8</v>
      </c>
      <c r="C38" s="32">
        <v>221.5</v>
      </c>
      <c r="D38" s="28">
        <v>0.39841490870874025</v>
      </c>
      <c r="E38" s="28">
        <v>0.65407473007290307</v>
      </c>
      <c r="F38" s="28">
        <v>3199.9950054336327</v>
      </c>
      <c r="H38" s="84">
        <f t="shared" si="0"/>
        <v>0.39841411187892289</v>
      </c>
      <c r="I38" s="84">
        <f t="shared" si="1"/>
        <v>0.65407342192344298</v>
      </c>
      <c r="J38" s="84">
        <f t="shared" si="2"/>
        <v>3199.9886054436224</v>
      </c>
      <c r="L38" s="5">
        <f t="shared" si="3"/>
        <v>10229028.758414112</v>
      </c>
      <c r="M38" s="5">
        <f t="shared" si="4"/>
        <v>924349.22407342191</v>
      </c>
      <c r="N38" s="5">
        <f t="shared" si="5"/>
        <v>3007.9886054436224</v>
      </c>
      <c r="P38" s="5">
        <f t="shared" si="6"/>
        <v>10229028.758489013</v>
      </c>
      <c r="Q38" s="5">
        <f t="shared" si="7"/>
        <v>924349.22419638769</v>
      </c>
      <c r="R38" s="5">
        <f t="shared" si="8"/>
        <v>3007.9886054436224</v>
      </c>
      <c r="T38" s="39">
        <f t="shared" si="9"/>
        <v>1.4398158117471884E-4</v>
      </c>
      <c r="V38" s="5">
        <f t="shared" si="10"/>
        <v>0.39841411262750626</v>
      </c>
      <c r="W38" s="5">
        <f t="shared" si="11"/>
        <v>0.65407342195976526</v>
      </c>
      <c r="X38" s="5">
        <f t="shared" si="12"/>
        <v>3199.9886054436224</v>
      </c>
      <c r="Z38" s="5">
        <f t="shared" si="13"/>
        <v>0.39841411146129235</v>
      </c>
      <c r="AA38" s="5">
        <f t="shared" si="14"/>
        <v>0.65407342193559681</v>
      </c>
      <c r="AB38" s="5">
        <f t="shared" si="15"/>
        <v>3199.9886054436224</v>
      </c>
      <c r="AC38" s="84">
        <f t="shared" si="16"/>
        <v>0.39841490829110893</v>
      </c>
      <c r="AD38" s="84">
        <f t="shared" si="17"/>
        <v>0.6540747300850569</v>
      </c>
      <c r="AE38" s="84">
        <f t="shared" si="18"/>
        <v>3199.9950054336327</v>
      </c>
      <c r="AG38" s="22">
        <f t="shared" si="19"/>
        <v>4.1780813035549624E-10</v>
      </c>
    </row>
    <row r="39" spans="1:33" x14ac:dyDescent="0.2">
      <c r="A39" s="32">
        <v>150</v>
      </c>
      <c r="B39" s="32">
        <v>0.5</v>
      </c>
      <c r="C39" s="32">
        <v>180.4</v>
      </c>
      <c r="D39" s="28">
        <v>0.53783781099925931</v>
      </c>
      <c r="E39" s="28">
        <v>0.9953322067603354</v>
      </c>
      <c r="F39" s="28">
        <v>3224.9922863508482</v>
      </c>
      <c r="H39" s="84">
        <f t="shared" si="0"/>
        <v>0.5378367353236374</v>
      </c>
      <c r="I39" s="84">
        <f t="shared" si="1"/>
        <v>0.99533021609592209</v>
      </c>
      <c r="J39" s="84">
        <f t="shared" si="2"/>
        <v>3224.9858363662756</v>
      </c>
      <c r="L39" s="5">
        <f t="shared" si="3"/>
        <v>10229028.897836735</v>
      </c>
      <c r="M39" s="5">
        <f t="shared" si="4"/>
        <v>924349.56533021608</v>
      </c>
      <c r="N39" s="5">
        <f t="shared" si="5"/>
        <v>3032.9858363662756</v>
      </c>
      <c r="P39" s="5">
        <f t="shared" si="6"/>
        <v>10229028.897937847</v>
      </c>
      <c r="Q39" s="5">
        <f t="shared" si="7"/>
        <v>924349.56551733811</v>
      </c>
      <c r="R39" s="5">
        <f t="shared" si="8"/>
        <v>3032.9858363662756</v>
      </c>
      <c r="T39" s="39">
        <f t="shared" si="9"/>
        <v>2.1269286824099158E-4</v>
      </c>
      <c r="V39" s="5">
        <f t="shared" si="10"/>
        <v>0.53783673606812954</v>
      </c>
      <c r="W39" s="5">
        <f t="shared" si="11"/>
        <v>0.99533021613024175</v>
      </c>
      <c r="X39" s="5">
        <f t="shared" si="12"/>
        <v>3224.9858363662756</v>
      </c>
      <c r="Z39" s="5">
        <f t="shared" si="13"/>
        <v>0.53783673459130721</v>
      </c>
      <c r="AA39" s="5">
        <f t="shared" si="14"/>
        <v>0.99533021607980232</v>
      </c>
      <c r="AB39" s="5">
        <f t="shared" si="15"/>
        <v>3224.9858363662756</v>
      </c>
      <c r="AC39" s="84">
        <f t="shared" si="16"/>
        <v>0.53783781026692767</v>
      </c>
      <c r="AD39" s="84">
        <f t="shared" si="17"/>
        <v>0.99533220674421574</v>
      </c>
      <c r="AE39" s="84">
        <f t="shared" si="18"/>
        <v>3224.9922863508477</v>
      </c>
      <c r="AG39" s="22">
        <f t="shared" si="19"/>
        <v>7.325091677828343E-10</v>
      </c>
    </row>
    <row r="40" spans="1:33" x14ac:dyDescent="0.2">
      <c r="A40" s="32">
        <v>154</v>
      </c>
      <c r="B40" s="32">
        <v>0.53600000000000003</v>
      </c>
      <c r="C40" s="32">
        <v>183.98500000000001</v>
      </c>
      <c r="D40" s="28">
        <v>0.66985526245103855</v>
      </c>
      <c r="E40" s="28">
        <v>1.3511716096930138</v>
      </c>
      <c r="F40" s="28">
        <v>3249.9894049008853</v>
      </c>
      <c r="H40" s="84">
        <f t="shared" si="0"/>
        <v>0.6698539227405137</v>
      </c>
      <c r="I40" s="84">
        <f t="shared" si="1"/>
        <v>1.3511689073497946</v>
      </c>
      <c r="J40" s="84">
        <f t="shared" si="2"/>
        <v>3249.9829049220757</v>
      </c>
      <c r="L40" s="5">
        <f t="shared" si="3"/>
        <v>10229029.029853921</v>
      </c>
      <c r="M40" s="5">
        <f t="shared" si="4"/>
        <v>924349.92116890731</v>
      </c>
      <c r="N40" s="5">
        <f t="shared" si="5"/>
        <v>3057.9829049220757</v>
      </c>
      <c r="P40" s="5">
        <f t="shared" si="6"/>
        <v>10229029.029979855</v>
      </c>
      <c r="Q40" s="5">
        <f t="shared" si="7"/>
        <v>924349.92142292706</v>
      </c>
      <c r="R40" s="5">
        <f t="shared" si="8"/>
        <v>3057.9829049220757</v>
      </c>
      <c r="T40" s="39">
        <f t="shared" si="9"/>
        <v>2.835229481189401E-4</v>
      </c>
      <c r="V40" s="5">
        <f t="shared" si="10"/>
        <v>0.66985392197966576</v>
      </c>
      <c r="W40" s="5">
        <f t="shared" si="11"/>
        <v>1.3511689073638991</v>
      </c>
      <c r="X40" s="5">
        <f t="shared" si="12"/>
        <v>3249.9829049220757</v>
      </c>
      <c r="Z40" s="5">
        <f t="shared" si="13"/>
        <v>0.66985392288070367</v>
      </c>
      <c r="AA40" s="5">
        <f t="shared" si="14"/>
        <v>1.3511689073549418</v>
      </c>
      <c r="AB40" s="5">
        <f t="shared" si="15"/>
        <v>3249.9829049220757</v>
      </c>
      <c r="AC40" s="84">
        <f t="shared" si="16"/>
        <v>0.66985526259122874</v>
      </c>
      <c r="AD40" s="84">
        <f t="shared" si="17"/>
        <v>1.351171609698161</v>
      </c>
      <c r="AE40" s="84">
        <f t="shared" si="18"/>
        <v>3249.9894049008853</v>
      </c>
      <c r="AG40" s="22">
        <f t="shared" si="19"/>
        <v>1.4028465342398153E-10</v>
      </c>
    </row>
    <row r="41" spans="1:33" x14ac:dyDescent="0.2">
      <c r="A41" s="32">
        <v>180</v>
      </c>
      <c r="B41" s="32">
        <v>0.8</v>
      </c>
      <c r="C41" s="32">
        <v>198.7</v>
      </c>
      <c r="D41" s="28">
        <v>0.7943205062172185</v>
      </c>
      <c r="E41" s="28">
        <v>1.7005278719880284</v>
      </c>
      <c r="F41" s="28">
        <v>3274.9866533984591</v>
      </c>
      <c r="H41" s="84">
        <f t="shared" si="0"/>
        <v>0.7943189175762061</v>
      </c>
      <c r="I41" s="84">
        <f t="shared" si="1"/>
        <v>1.7005244709322844</v>
      </c>
      <c r="J41" s="84">
        <f t="shared" si="2"/>
        <v>3274.9801034251527</v>
      </c>
      <c r="L41" s="5">
        <f t="shared" ref="L41:L104" si="20">E$21 + H41</f>
        <v>10229029.154318918</v>
      </c>
      <c r="M41" s="5">
        <f t="shared" ref="M41:M104" si="21">E$22 + I41</f>
        <v>924350.27052447083</v>
      </c>
      <c r="N41" s="5">
        <f t="shared" ref="N41:N104" si="22">J41 - E$17</f>
        <v>3082.9801034251527</v>
      </c>
      <c r="P41" s="5">
        <f t="shared" ref="P41:P104" si="23">E$21 + E$24*H41</f>
        <v>10229029.15446825</v>
      </c>
      <c r="Q41" s="5">
        <f t="shared" ref="Q41:Q104" si="24">E$22 + E$24*I41</f>
        <v>924350.27084416943</v>
      </c>
      <c r="R41" s="5">
        <f t="shared" ref="R41:R104" si="25">N41 - H$17</f>
        <v>3082.9801034251527</v>
      </c>
      <c r="T41" s="39">
        <f t="shared" ref="T41:T104" si="26">SQRT(SUMSQ(P41-L41,Q41-M41))</f>
        <v>3.5285582389099645E-4</v>
      </c>
      <c r="V41" s="5">
        <f t="shared" si="10"/>
        <v>0.79431891813874245</v>
      </c>
      <c r="W41" s="5">
        <f t="shared" si="11"/>
        <v>1.7005244708852842</v>
      </c>
      <c r="X41" s="5">
        <f t="shared" si="12"/>
        <v>3274.9801034251527</v>
      </c>
      <c r="Z41" s="5">
        <f t="shared" si="13"/>
        <v>0.79431891816903077</v>
      </c>
      <c r="AA41" s="5">
        <f t="shared" si="14"/>
        <v>1.700524470877407</v>
      </c>
      <c r="AB41" s="5">
        <f t="shared" si="15"/>
        <v>3274.9801034251527</v>
      </c>
      <c r="AC41" s="84">
        <f t="shared" si="16"/>
        <v>0.79432050681004429</v>
      </c>
      <c r="AD41" s="84">
        <f t="shared" si="17"/>
        <v>1.7005278719331505</v>
      </c>
      <c r="AE41" s="84">
        <f t="shared" si="18"/>
        <v>3274.9866533984591</v>
      </c>
      <c r="AG41" s="22">
        <f t="shared" si="19"/>
        <v>5.9536039268448045E-10</v>
      </c>
    </row>
    <row r="42" spans="1:33" x14ac:dyDescent="0.2">
      <c r="A42" s="33">
        <v>210</v>
      </c>
      <c r="B42" s="33">
        <v>0.81</v>
      </c>
      <c r="C42" s="33">
        <v>217</v>
      </c>
      <c r="D42" s="28">
        <v>0.92583005823955855</v>
      </c>
      <c r="E42" s="28">
        <v>2.0259294411808457</v>
      </c>
      <c r="F42" s="28">
        <v>3299.9841876262476</v>
      </c>
      <c r="H42" s="84">
        <f t="shared" si="0"/>
        <v>0.9258282065794422</v>
      </c>
      <c r="I42" s="84">
        <f t="shared" si="1"/>
        <v>2.0259253893219635</v>
      </c>
      <c r="J42" s="84">
        <f t="shared" si="2"/>
        <v>3299.9775876578728</v>
      </c>
      <c r="L42" s="5">
        <f t="shared" si="20"/>
        <v>10229029.285828207</v>
      </c>
      <c r="M42" s="5">
        <f t="shared" si="21"/>
        <v>924350.59592538932</v>
      </c>
      <c r="N42" s="5">
        <f t="shared" si="22"/>
        <v>3107.9775876578728</v>
      </c>
      <c r="P42" s="5">
        <f t="shared" si="23"/>
        <v>10229029.286002262</v>
      </c>
      <c r="Q42" s="5">
        <f t="shared" si="24"/>
        <v>924350.59630626324</v>
      </c>
      <c r="R42" s="5">
        <f t="shared" si="25"/>
        <v>3107.9775876578728</v>
      </c>
      <c r="T42" s="39">
        <f t="shared" si="26"/>
        <v>4.1876011917471915E-4</v>
      </c>
      <c r="V42" s="5">
        <f t="shared" si="10"/>
        <v>0.92582820728421211</v>
      </c>
      <c r="W42" s="5">
        <f t="shared" si="11"/>
        <v>2.0259253893746063</v>
      </c>
      <c r="X42" s="5">
        <f t="shared" si="12"/>
        <v>3299.9775876578728</v>
      </c>
      <c r="Z42" s="5">
        <f t="shared" si="13"/>
        <v>0.92582820645736796</v>
      </c>
      <c r="AA42" s="5">
        <f t="shared" si="14"/>
        <v>2.0259253893143603</v>
      </c>
      <c r="AB42" s="5">
        <f t="shared" si="15"/>
        <v>3299.9775876578728</v>
      </c>
      <c r="AC42" s="84">
        <f t="shared" si="16"/>
        <v>0.9258300581174842</v>
      </c>
      <c r="AD42" s="84">
        <f t="shared" si="17"/>
        <v>2.0259294411732425</v>
      </c>
      <c r="AE42" s="84">
        <f t="shared" si="18"/>
        <v>3299.9841876262476</v>
      </c>
      <c r="AG42" s="22">
        <f t="shared" si="19"/>
        <v>1.2231090103720303E-10</v>
      </c>
    </row>
    <row r="43" spans="1:33" x14ac:dyDescent="0.2">
      <c r="A43" s="33">
        <v>240</v>
      </c>
      <c r="B43" s="33">
        <v>1</v>
      </c>
      <c r="C43" s="33">
        <v>224</v>
      </c>
      <c r="D43" s="28">
        <v>1.0572582136735207</v>
      </c>
      <c r="E43" s="28">
        <v>2.2916552522639213</v>
      </c>
      <c r="F43" s="28">
        <v>3324.9824162220448</v>
      </c>
      <c r="H43" s="84">
        <f t="shared" si="0"/>
        <v>1.0572560991570934</v>
      </c>
      <c r="I43" s="84">
        <f t="shared" si="1"/>
        <v>2.2916506689534168</v>
      </c>
      <c r="J43" s="84">
        <f t="shared" si="2"/>
        <v>3324.9757662572129</v>
      </c>
      <c r="L43" s="5">
        <f t="shared" si="20"/>
        <v>10229029.417256098</v>
      </c>
      <c r="M43" s="5">
        <f t="shared" si="21"/>
        <v>924350.8616506689</v>
      </c>
      <c r="N43" s="5">
        <f t="shared" si="22"/>
        <v>3132.9757662572129</v>
      </c>
      <c r="P43" s="5">
        <f t="shared" si="23"/>
        <v>10229029.417454863</v>
      </c>
      <c r="Q43" s="5">
        <f t="shared" si="24"/>
        <v>924350.86208149919</v>
      </c>
      <c r="R43" s="5">
        <f t="shared" si="25"/>
        <v>3132.9757662572129</v>
      </c>
      <c r="T43" s="39">
        <f t="shared" si="26"/>
        <v>4.7447039333463722E-4</v>
      </c>
      <c r="V43" s="5">
        <f t="shared" si="10"/>
        <v>1.0572560988366604</v>
      </c>
      <c r="W43" s="5">
        <f t="shared" si="11"/>
        <v>2.2916506689507514</v>
      </c>
      <c r="X43" s="5">
        <f t="shared" si="12"/>
        <v>3324.9757662572129</v>
      </c>
      <c r="Z43" s="5">
        <f t="shared" si="13"/>
        <v>1.0572560994164897</v>
      </c>
      <c r="AA43" s="5">
        <f t="shared" si="14"/>
        <v>2.291650668913674</v>
      </c>
      <c r="AB43" s="5">
        <f t="shared" si="15"/>
        <v>3324.9757662572129</v>
      </c>
      <c r="AC43" s="84">
        <f t="shared" si="16"/>
        <v>1.0572582139329174</v>
      </c>
      <c r="AD43" s="84">
        <f t="shared" si="17"/>
        <v>2.2916552522241784</v>
      </c>
      <c r="AE43" s="84">
        <f t="shared" si="18"/>
        <v>3324.9824162220448</v>
      </c>
      <c r="AG43" s="22">
        <f t="shared" si="19"/>
        <v>2.6242362277718902E-10</v>
      </c>
    </row>
    <row r="44" spans="1:33" x14ac:dyDescent="0.2">
      <c r="A44" s="33">
        <v>270</v>
      </c>
      <c r="B44" s="33">
        <v>0.7</v>
      </c>
      <c r="C44" s="33">
        <v>196.3</v>
      </c>
      <c r="D44" s="28">
        <v>1.1644413035346437</v>
      </c>
      <c r="E44" s="28">
        <v>2.5060899203768847</v>
      </c>
      <c r="F44" s="28">
        <v>3349.9812648475672</v>
      </c>
      <c r="H44" s="84">
        <f t="shared" si="0"/>
        <v>1.1644389746520367</v>
      </c>
      <c r="I44" s="84">
        <f t="shared" si="1"/>
        <v>2.5060849081970442</v>
      </c>
      <c r="J44" s="84">
        <f t="shared" si="2"/>
        <v>3349.974564885038</v>
      </c>
      <c r="L44" s="5">
        <f t="shared" si="20"/>
        <v>10229029.524438974</v>
      </c>
      <c r="M44" s="5">
        <f t="shared" si="21"/>
        <v>924351.0760849081</v>
      </c>
      <c r="N44" s="5">
        <f t="shared" si="22"/>
        <v>3157.974564885038</v>
      </c>
      <c r="P44" s="5">
        <f t="shared" si="23"/>
        <v>10229029.524657888</v>
      </c>
      <c r="Q44" s="5">
        <f t="shared" si="24"/>
        <v>924351.07655605208</v>
      </c>
      <c r="R44" s="5">
        <f t="shared" si="25"/>
        <v>3157.974564885038</v>
      </c>
      <c r="T44" s="39">
        <f t="shared" si="26"/>
        <v>5.1951934726555038E-4</v>
      </c>
      <c r="V44" s="5">
        <f t="shared" ref="V44:V107" si="27">L44 - E$21</f>
        <v>1.1644389741122723</v>
      </c>
      <c r="W44" s="5">
        <f t="shared" ref="W44:W107" si="28">M44 - E$22</f>
        <v>2.5060849081492051</v>
      </c>
      <c r="X44" s="5">
        <f t="shared" ref="X44:X107" si="29">N44 + E$17</f>
        <v>3349.974564885038</v>
      </c>
      <c r="Z44" s="5">
        <f t="shared" si="13"/>
        <v>1.1644389744068278</v>
      </c>
      <c r="AA44" s="5">
        <f t="shared" si="14"/>
        <v>2.5060849081697736</v>
      </c>
      <c r="AB44" s="5">
        <f t="shared" si="15"/>
        <v>3349.974564885038</v>
      </c>
      <c r="AC44" s="84">
        <f t="shared" si="16"/>
        <v>1.1644413032894343</v>
      </c>
      <c r="AD44" s="84">
        <f t="shared" si="17"/>
        <v>2.5060899203496141</v>
      </c>
      <c r="AE44" s="84">
        <f t="shared" si="18"/>
        <v>3349.9812648475672</v>
      </c>
      <c r="AG44" s="22">
        <f t="shared" si="19"/>
        <v>2.4672118110703705E-10</v>
      </c>
    </row>
    <row r="45" spans="1:33" x14ac:dyDescent="0.2">
      <c r="A45" s="33">
        <v>300</v>
      </c>
      <c r="B45" s="33">
        <v>0.7</v>
      </c>
      <c r="C45" s="33">
        <v>206</v>
      </c>
      <c r="D45" s="28">
        <v>1.2452863443481732</v>
      </c>
      <c r="E45" s="28">
        <v>2.6945415509810653</v>
      </c>
      <c r="F45" s="28">
        <v>3374.9804206257872</v>
      </c>
      <c r="H45" s="84">
        <f t="shared" si="0"/>
        <v>1.2452838537754847</v>
      </c>
      <c r="I45" s="84">
        <f t="shared" si="1"/>
        <v>2.6945361618979637</v>
      </c>
      <c r="J45" s="84">
        <f t="shared" si="2"/>
        <v>3374.9736706649464</v>
      </c>
      <c r="L45" s="5">
        <f t="shared" si="20"/>
        <v>10229029.605283853</v>
      </c>
      <c r="M45" s="5">
        <f t="shared" si="21"/>
        <v>924351.26453616179</v>
      </c>
      <c r="N45" s="5">
        <f t="shared" si="22"/>
        <v>3182.9736706649464</v>
      </c>
      <c r="P45" s="5">
        <f t="shared" si="23"/>
        <v>10229029.605517967</v>
      </c>
      <c r="Q45" s="5">
        <f t="shared" si="24"/>
        <v>924351.26504273468</v>
      </c>
      <c r="R45" s="5">
        <f t="shared" si="25"/>
        <v>3182.9736706649464</v>
      </c>
      <c r="T45" s="39">
        <f t="shared" si="26"/>
        <v>5.5805507058377343E-4</v>
      </c>
      <c r="V45" s="5">
        <f t="shared" si="27"/>
        <v>1.2452838532626629</v>
      </c>
      <c r="W45" s="5">
        <f t="shared" si="28"/>
        <v>2.6945361618418247</v>
      </c>
      <c r="X45" s="5">
        <f t="shared" si="29"/>
        <v>3374.9736706649464</v>
      </c>
      <c r="Z45" s="5">
        <f t="shared" ref="Z45:Z108" si="30">(P45 - E$21) / E$24</f>
        <v>1.2452838539042905</v>
      </c>
      <c r="AA45" s="5">
        <f t="shared" ref="AA45:AA108" si="31">(Q45 - E$22) / E$24</f>
        <v>2.6945361619344075</v>
      </c>
      <c r="AB45" s="5">
        <f t="shared" ref="AB45:AB108" si="32">R45 + E$17</f>
        <v>3374.9736706649464</v>
      </c>
      <c r="AC45" s="84">
        <f t="shared" si="16"/>
        <v>1.2452863444769793</v>
      </c>
      <c r="AD45" s="84">
        <f t="shared" si="17"/>
        <v>2.694541551017509</v>
      </c>
      <c r="AE45" s="84">
        <f t="shared" si="18"/>
        <v>3374.9804206257877</v>
      </c>
      <c r="AG45" s="22">
        <f t="shared" si="19"/>
        <v>1.3386320706608414E-10</v>
      </c>
    </row>
    <row r="46" spans="1:33" x14ac:dyDescent="0.2">
      <c r="A46" s="33">
        <v>330</v>
      </c>
      <c r="B46" s="33">
        <v>0.5</v>
      </c>
      <c r="C46" s="33">
        <v>197.5</v>
      </c>
      <c r="D46" s="28">
        <v>1.2982081930194789</v>
      </c>
      <c r="E46" s="28">
        <v>2.8466861499974878</v>
      </c>
      <c r="F46" s="28">
        <v>3399.9798977081246</v>
      </c>
      <c r="H46" s="84">
        <f t="shared" si="0"/>
        <v>1.298205596603093</v>
      </c>
      <c r="I46" s="84">
        <f t="shared" si="1"/>
        <v>2.846680456625188</v>
      </c>
      <c r="J46" s="84">
        <f t="shared" si="2"/>
        <v>3399.9730977483296</v>
      </c>
      <c r="L46" s="5">
        <f t="shared" si="20"/>
        <v>10229029.658205597</v>
      </c>
      <c r="M46" s="5">
        <f t="shared" si="21"/>
        <v>924351.4166804566</v>
      </c>
      <c r="N46" s="5">
        <f t="shared" si="22"/>
        <v>3207.9730977483296</v>
      </c>
      <c r="P46" s="5">
        <f t="shared" si="23"/>
        <v>10229029.658449659</v>
      </c>
      <c r="Q46" s="5">
        <f t="shared" si="24"/>
        <v>924351.41721563251</v>
      </c>
      <c r="R46" s="5">
        <f t="shared" si="25"/>
        <v>3207.9730977483296</v>
      </c>
      <c r="T46" s="39">
        <f t="shared" si="26"/>
        <v>5.8820039019249397E-4</v>
      </c>
      <c r="V46" s="5">
        <f t="shared" si="27"/>
        <v>1.2982055973261595</v>
      </c>
      <c r="W46" s="5">
        <f t="shared" si="28"/>
        <v>2.8466804566560313</v>
      </c>
      <c r="X46" s="5">
        <f t="shared" si="29"/>
        <v>3399.9730977483296</v>
      </c>
      <c r="Z46" s="5">
        <f t="shared" si="30"/>
        <v>1.2982055970678144</v>
      </c>
      <c r="AA46" s="5">
        <f t="shared" si="31"/>
        <v>2.8466804566329529</v>
      </c>
      <c r="AB46" s="5">
        <f t="shared" si="32"/>
        <v>3399.9730977483296</v>
      </c>
      <c r="AC46" s="84">
        <f t="shared" si="16"/>
        <v>1.2982081934842011</v>
      </c>
      <c r="AD46" s="84">
        <f t="shared" si="17"/>
        <v>2.8466861500052527</v>
      </c>
      <c r="AE46" s="84">
        <f t="shared" si="18"/>
        <v>3399.9798977081246</v>
      </c>
      <c r="AG46" s="22">
        <f t="shared" si="19"/>
        <v>4.6478712679562736E-10</v>
      </c>
    </row>
    <row r="47" spans="1:33" x14ac:dyDescent="0.2">
      <c r="A47" s="32">
        <v>360</v>
      </c>
      <c r="B47" s="32">
        <v>0.7</v>
      </c>
      <c r="C47" s="32">
        <v>182.4</v>
      </c>
      <c r="D47" s="28">
        <v>1.3414154560456397</v>
      </c>
      <c r="E47" s="28">
        <v>2.9496902067012982</v>
      </c>
      <c r="F47" s="28">
        <v>3424.9796409815149</v>
      </c>
      <c r="H47" s="84">
        <f t="shared" si="0"/>
        <v>1.3414127732147276</v>
      </c>
      <c r="I47" s="84">
        <f t="shared" si="1"/>
        <v>2.9496843073208852</v>
      </c>
      <c r="J47" s="84">
        <f t="shared" si="2"/>
        <v>3424.9727910222337</v>
      </c>
      <c r="L47" s="5">
        <f t="shared" si="20"/>
        <v>10229029.701412773</v>
      </c>
      <c r="M47" s="5">
        <f t="shared" si="21"/>
        <v>924351.51968430728</v>
      </c>
      <c r="N47" s="5">
        <f t="shared" si="22"/>
        <v>3232.9727910222337</v>
      </c>
      <c r="P47" s="5">
        <f t="shared" si="23"/>
        <v>10229029.701664958</v>
      </c>
      <c r="Q47" s="5">
        <f t="shared" si="24"/>
        <v>924351.52023884794</v>
      </c>
      <c r="R47" s="5">
        <f t="shared" si="25"/>
        <v>3232.9727910222337</v>
      </c>
      <c r="T47" s="39">
        <f t="shared" si="26"/>
        <v>6.0919029414253901E-4</v>
      </c>
      <c r="V47" s="5">
        <f t="shared" si="27"/>
        <v>1.3414127733558416</v>
      </c>
      <c r="W47" s="5">
        <f t="shared" si="28"/>
        <v>2.9496843073284253</v>
      </c>
      <c r="X47" s="5">
        <f t="shared" si="29"/>
        <v>3424.9727910222337</v>
      </c>
      <c r="Z47" s="5">
        <f t="shared" si="30"/>
        <v>1.3414127731438901</v>
      </c>
      <c r="AA47" s="5">
        <f t="shared" si="31"/>
        <v>2.9496843073388779</v>
      </c>
      <c r="AB47" s="5">
        <f t="shared" si="32"/>
        <v>3424.9727910222337</v>
      </c>
      <c r="AC47" s="84">
        <f t="shared" si="16"/>
        <v>1.3414154559748019</v>
      </c>
      <c r="AD47" s="84">
        <f t="shared" si="17"/>
        <v>2.9496902067192909</v>
      </c>
      <c r="AE47" s="84">
        <f t="shared" si="18"/>
        <v>3424.9796409815153</v>
      </c>
      <c r="AG47" s="22">
        <f t="shared" si="19"/>
        <v>7.3088547660099949E-11</v>
      </c>
    </row>
    <row r="48" spans="1:33" x14ac:dyDescent="0.2">
      <c r="A48" s="32">
        <v>390</v>
      </c>
      <c r="B48" s="32">
        <v>0.8</v>
      </c>
      <c r="C48" s="32">
        <v>191</v>
      </c>
      <c r="D48" s="28">
        <v>1.3821718126792373</v>
      </c>
      <c r="E48" s="28">
        <v>2.9934056877823032</v>
      </c>
      <c r="F48" s="28">
        <v>3449.9795639067825</v>
      </c>
      <c r="H48" s="84">
        <f t="shared" si="0"/>
        <v>1.3821690483356122</v>
      </c>
      <c r="I48" s="84">
        <f t="shared" si="1"/>
        <v>2.9933997009709281</v>
      </c>
      <c r="J48" s="84">
        <f t="shared" si="2"/>
        <v>3449.9726639476548</v>
      </c>
      <c r="L48" s="5">
        <f t="shared" si="20"/>
        <v>10229029.742169049</v>
      </c>
      <c r="M48" s="5">
        <f t="shared" si="21"/>
        <v>924351.56339970091</v>
      </c>
      <c r="N48" s="5">
        <f t="shared" si="22"/>
        <v>3257.9726639476548</v>
      </c>
      <c r="P48" s="5">
        <f t="shared" si="23"/>
        <v>10229029.742428895</v>
      </c>
      <c r="Q48" s="5">
        <f t="shared" si="24"/>
        <v>924351.56396246003</v>
      </c>
      <c r="R48" s="5">
        <f t="shared" si="25"/>
        <v>3257.9726639476548</v>
      </c>
      <c r="T48" s="39">
        <f t="shared" si="26"/>
        <v>6.1985320840890826E-4</v>
      </c>
      <c r="V48" s="5">
        <f t="shared" si="27"/>
        <v>1.3821690492331982</v>
      </c>
      <c r="W48" s="5">
        <f t="shared" si="28"/>
        <v>2.993399700964801</v>
      </c>
      <c r="X48" s="5">
        <f t="shared" si="29"/>
        <v>3449.9726639476548</v>
      </c>
      <c r="Z48" s="5">
        <f t="shared" si="30"/>
        <v>1.3821690479010911</v>
      </c>
      <c r="AA48" s="5">
        <f t="shared" si="31"/>
        <v>2.9933997009373168</v>
      </c>
      <c r="AB48" s="5">
        <f t="shared" si="32"/>
        <v>3449.9726639476548</v>
      </c>
      <c r="AC48" s="84">
        <f t="shared" si="16"/>
        <v>1.3821718122447155</v>
      </c>
      <c r="AD48" s="84">
        <f t="shared" si="17"/>
        <v>2.9934056877486919</v>
      </c>
      <c r="AE48" s="84">
        <f t="shared" si="18"/>
        <v>3449.9795639067825</v>
      </c>
      <c r="AG48" s="22">
        <f t="shared" si="19"/>
        <v>4.3581977328827011E-10</v>
      </c>
    </row>
    <row r="49" spans="1:33" x14ac:dyDescent="0.2">
      <c r="A49" s="32">
        <v>420</v>
      </c>
      <c r="B49" s="32">
        <v>0.6</v>
      </c>
      <c r="C49" s="32">
        <v>195.5</v>
      </c>
      <c r="D49" s="28">
        <v>1.4257932472376023</v>
      </c>
      <c r="E49" s="28">
        <v>2.9987316131045629</v>
      </c>
      <c r="F49" s="28">
        <v>3474.9795233708596</v>
      </c>
      <c r="H49" s="84">
        <f t="shared" si="0"/>
        <v>1.425790395651108</v>
      </c>
      <c r="I49" s="84">
        <f t="shared" si="1"/>
        <v>2.9987256156413373</v>
      </c>
      <c r="J49" s="84">
        <f t="shared" si="2"/>
        <v>3474.9725734118133</v>
      </c>
      <c r="L49" s="5">
        <f t="shared" si="20"/>
        <v>10229029.785790395</v>
      </c>
      <c r="M49" s="5">
        <f t="shared" si="21"/>
        <v>924351.56872561562</v>
      </c>
      <c r="N49" s="5">
        <f t="shared" si="22"/>
        <v>3282.9725734118133</v>
      </c>
      <c r="P49" s="5">
        <f t="shared" si="23"/>
        <v>10229029.786058445</v>
      </c>
      <c r="Q49" s="5">
        <f t="shared" si="24"/>
        <v>924351.56928937603</v>
      </c>
      <c r="R49" s="5">
        <f t="shared" si="25"/>
        <v>3282.9725734118133</v>
      </c>
      <c r="T49" s="39">
        <f t="shared" si="26"/>
        <v>6.2424061750940502E-4</v>
      </c>
      <c r="V49" s="5">
        <f t="shared" si="27"/>
        <v>1.4257903955876827</v>
      </c>
      <c r="W49" s="5">
        <f t="shared" si="28"/>
        <v>2.9987256156746298</v>
      </c>
      <c r="X49" s="5">
        <f t="shared" si="29"/>
        <v>3474.9725734118133</v>
      </c>
      <c r="Z49" s="5">
        <f t="shared" si="30"/>
        <v>1.4257903965312702</v>
      </c>
      <c r="AA49" s="5">
        <f t="shared" si="31"/>
        <v>2.9987256156633597</v>
      </c>
      <c r="AB49" s="5">
        <f t="shared" si="32"/>
        <v>3474.9725734118133</v>
      </c>
      <c r="AC49" s="84">
        <f t="shared" si="16"/>
        <v>1.4257932481177662</v>
      </c>
      <c r="AD49" s="84">
        <f t="shared" si="17"/>
        <v>2.9987316131265858</v>
      </c>
      <c r="AE49" s="84">
        <f t="shared" si="18"/>
        <v>3474.9795233708601</v>
      </c>
      <c r="AG49" s="22">
        <f t="shared" si="19"/>
        <v>8.8043953572641379E-10</v>
      </c>
    </row>
    <row r="50" spans="1:33" x14ac:dyDescent="0.2">
      <c r="A50" s="32">
        <v>450</v>
      </c>
      <c r="B50" s="32">
        <v>0.9</v>
      </c>
      <c r="C50" s="32">
        <v>211.3</v>
      </c>
      <c r="D50" s="28">
        <v>1.4591265108077129</v>
      </c>
      <c r="E50" s="28">
        <v>2.9814671043882295</v>
      </c>
      <c r="F50" s="28">
        <v>3499.9794907472096</v>
      </c>
      <c r="H50" s="84">
        <f t="shared" si="0"/>
        <v>1.4591235925546915</v>
      </c>
      <c r="I50" s="84">
        <f t="shared" si="1"/>
        <v>2.9814611414540213</v>
      </c>
      <c r="J50" s="84">
        <f t="shared" si="2"/>
        <v>3499.9724907882287</v>
      </c>
      <c r="L50" s="5">
        <f t="shared" si="20"/>
        <v>10229029.819123592</v>
      </c>
      <c r="M50" s="5">
        <f t="shared" si="21"/>
        <v>924351.55146114144</v>
      </c>
      <c r="N50" s="5">
        <f t="shared" si="22"/>
        <v>3307.9724907882287</v>
      </c>
      <c r="P50" s="5">
        <f t="shared" si="23"/>
        <v>10229029.819397908</v>
      </c>
      <c r="Q50" s="5">
        <f t="shared" si="24"/>
        <v>924351.55202165607</v>
      </c>
      <c r="R50" s="5">
        <f t="shared" si="25"/>
        <v>3307.9724907882287</v>
      </c>
      <c r="T50" s="39">
        <f t="shared" si="26"/>
        <v>6.2403976619980874E-4</v>
      </c>
      <c r="V50" s="5">
        <f t="shared" si="27"/>
        <v>1.4591235928237438</v>
      </c>
      <c r="W50" s="5">
        <f t="shared" si="28"/>
        <v>2.9814611414913088</v>
      </c>
      <c r="X50" s="5">
        <f t="shared" si="29"/>
        <v>3499.9724907882287</v>
      </c>
      <c r="Z50" s="5">
        <f t="shared" si="30"/>
        <v>1.4591235930646651</v>
      </c>
      <c r="AA50" s="5">
        <f t="shared" si="31"/>
        <v>2.9814611414256076</v>
      </c>
      <c r="AB50" s="5">
        <f t="shared" si="32"/>
        <v>3499.9724907882287</v>
      </c>
      <c r="AC50" s="84">
        <f t="shared" si="16"/>
        <v>1.4591265113176877</v>
      </c>
      <c r="AD50" s="84">
        <f t="shared" si="17"/>
        <v>2.9814671043598162</v>
      </c>
      <c r="AE50" s="84">
        <f t="shared" si="18"/>
        <v>3499.9794907472101</v>
      </c>
      <c r="AG50" s="22">
        <f t="shared" si="19"/>
        <v>5.1076584178991634E-10</v>
      </c>
    </row>
    <row r="51" spans="1:33" x14ac:dyDescent="0.2">
      <c r="A51" s="32">
        <v>480</v>
      </c>
      <c r="B51" s="32">
        <v>1.1000000000000001</v>
      </c>
      <c r="C51" s="32">
        <v>216</v>
      </c>
      <c r="D51" s="28">
        <v>1.4902672085014104</v>
      </c>
      <c r="E51" s="28">
        <v>2.9642148096735221</v>
      </c>
      <c r="F51" s="28">
        <v>3524.9794616005779</v>
      </c>
      <c r="H51" s="84">
        <f t="shared" si="0"/>
        <v>1.4902642279669935</v>
      </c>
      <c r="I51" s="84">
        <f t="shared" si="1"/>
        <v>2.9642088812439029</v>
      </c>
      <c r="J51" s="84">
        <f t="shared" si="2"/>
        <v>3524.9724116416551</v>
      </c>
      <c r="L51" s="5">
        <f t="shared" si="20"/>
        <v>10229029.850264227</v>
      </c>
      <c r="M51" s="5">
        <f t="shared" si="21"/>
        <v>924351.5342088812</v>
      </c>
      <c r="N51" s="5">
        <f t="shared" si="22"/>
        <v>3332.9724116416551</v>
      </c>
      <c r="P51" s="5">
        <f t="shared" si="23"/>
        <v>10229029.850544397</v>
      </c>
      <c r="Q51" s="5">
        <f t="shared" si="24"/>
        <v>924351.5347661525</v>
      </c>
      <c r="R51" s="5">
        <f t="shared" si="25"/>
        <v>3332.9724116416551</v>
      </c>
      <c r="T51" s="39">
        <f t="shared" si="26"/>
        <v>6.237358412726281E-4</v>
      </c>
      <c r="V51" s="5">
        <f t="shared" si="27"/>
        <v>1.4902642276138067</v>
      </c>
      <c r="W51" s="5">
        <f t="shared" si="28"/>
        <v>2.9642088812543079</v>
      </c>
      <c r="X51" s="5">
        <f t="shared" si="29"/>
        <v>3524.9724116416551</v>
      </c>
      <c r="Z51" s="5">
        <f t="shared" si="30"/>
        <v>1.4902642277091189</v>
      </c>
      <c r="AA51" s="5">
        <f t="shared" si="31"/>
        <v>2.9642088812826475</v>
      </c>
      <c r="AB51" s="5">
        <f t="shared" si="32"/>
        <v>3524.9724116416551</v>
      </c>
      <c r="AC51" s="84">
        <f t="shared" si="16"/>
        <v>1.4902672082435353</v>
      </c>
      <c r="AD51" s="84">
        <f t="shared" si="17"/>
        <v>2.9642148097122667</v>
      </c>
      <c r="AE51" s="84">
        <f t="shared" si="18"/>
        <v>3524.9794616005779</v>
      </c>
      <c r="AG51" s="22">
        <f t="shared" si="19"/>
        <v>2.6076940959047273E-10</v>
      </c>
    </row>
    <row r="52" spans="1:33" x14ac:dyDescent="0.2">
      <c r="A52" s="32">
        <v>510</v>
      </c>
      <c r="B52" s="32">
        <v>0.9</v>
      </c>
      <c r="C52" s="32">
        <v>205.4</v>
      </c>
      <c r="D52" s="28">
        <v>1.5554748985979723</v>
      </c>
      <c r="E52" s="28">
        <v>2.9587690083175269</v>
      </c>
      <c r="F52" s="28">
        <v>3549.9793748109687</v>
      </c>
      <c r="H52" s="84">
        <f t="shared" si="0"/>
        <v>1.5554717876481752</v>
      </c>
      <c r="I52" s="84">
        <f t="shared" si="1"/>
        <v>2.9587630907795104</v>
      </c>
      <c r="J52" s="84">
        <f t="shared" si="2"/>
        <v>3549.9722748522195</v>
      </c>
      <c r="L52" s="5">
        <f t="shared" si="20"/>
        <v>10229029.915471787</v>
      </c>
      <c r="M52" s="5">
        <f t="shared" si="21"/>
        <v>924351.52876309073</v>
      </c>
      <c r="N52" s="5">
        <f t="shared" si="22"/>
        <v>3357.9722748522195</v>
      </c>
      <c r="P52" s="5">
        <f t="shared" si="23"/>
        <v>10229029.915764216</v>
      </c>
      <c r="Q52" s="5">
        <f t="shared" si="24"/>
        <v>924351.52931933815</v>
      </c>
      <c r="R52" s="5">
        <f t="shared" si="25"/>
        <v>3357.9722748522195</v>
      </c>
      <c r="T52" s="39">
        <f t="shared" si="26"/>
        <v>6.2843164134655219E-4</v>
      </c>
      <c r="V52" s="5">
        <f t="shared" si="27"/>
        <v>1.5554717872291803</v>
      </c>
      <c r="W52" s="5">
        <f t="shared" si="28"/>
        <v>2.9587630907772109</v>
      </c>
      <c r="X52" s="5">
        <f t="shared" si="29"/>
        <v>3549.9722748522195</v>
      </c>
      <c r="Z52" s="5">
        <f t="shared" si="30"/>
        <v>1.5554717882334861</v>
      </c>
      <c r="AA52" s="5">
        <f t="shared" si="31"/>
        <v>2.9587630907414169</v>
      </c>
      <c r="AB52" s="5">
        <f t="shared" si="32"/>
        <v>3549.9722748522195</v>
      </c>
      <c r="AC52" s="84">
        <f t="shared" si="16"/>
        <v>1.5554748991832843</v>
      </c>
      <c r="AD52" s="84">
        <f t="shared" si="17"/>
        <v>2.9587690082794333</v>
      </c>
      <c r="AE52" s="84">
        <f t="shared" si="18"/>
        <v>3549.9793748109687</v>
      </c>
      <c r="AG52" s="22">
        <f t="shared" si="19"/>
        <v>5.8655032087056539E-10</v>
      </c>
    </row>
    <row r="53" spans="1:33" x14ac:dyDescent="0.2">
      <c r="A53" s="32">
        <v>540</v>
      </c>
      <c r="B53" s="32">
        <v>0.9</v>
      </c>
      <c r="C53" s="32">
        <v>199</v>
      </c>
      <c r="D53" s="28">
        <v>1.620081153530738</v>
      </c>
      <c r="E53" s="28">
        <v>2.9436118853114115</v>
      </c>
      <c r="F53" s="28">
        <v>3574.9792848080428</v>
      </c>
      <c r="H53" s="84">
        <f t="shared" si="0"/>
        <v>1.6200779133684311</v>
      </c>
      <c r="I53" s="84">
        <f t="shared" si="1"/>
        <v>2.9436059980876412</v>
      </c>
      <c r="J53" s="84">
        <f t="shared" si="2"/>
        <v>3574.9721348494741</v>
      </c>
      <c r="L53" s="5">
        <f t="shared" si="20"/>
        <v>10229029.980077913</v>
      </c>
      <c r="M53" s="5">
        <f t="shared" si="21"/>
        <v>924351.51360599801</v>
      </c>
      <c r="N53" s="5">
        <f t="shared" si="22"/>
        <v>3382.9721348494741</v>
      </c>
      <c r="P53" s="5">
        <f t="shared" si="23"/>
        <v>10229029.980382487</v>
      </c>
      <c r="Q53" s="5">
        <f t="shared" si="24"/>
        <v>924351.51415939594</v>
      </c>
      <c r="R53" s="5">
        <f t="shared" si="25"/>
        <v>3382.9721348494741</v>
      </c>
      <c r="T53" s="39">
        <f t="shared" si="26"/>
        <v>6.3167608552727186E-4</v>
      </c>
      <c r="V53" s="5">
        <f t="shared" si="27"/>
        <v>1.6200779136270285</v>
      </c>
      <c r="W53" s="5">
        <f t="shared" si="28"/>
        <v>2.9436059980653226</v>
      </c>
      <c r="X53" s="5">
        <f t="shared" si="29"/>
        <v>3574.9721348494741</v>
      </c>
      <c r="Z53" s="5">
        <f t="shared" si="30"/>
        <v>1.6200779131262275</v>
      </c>
      <c r="AA53" s="5">
        <f t="shared" si="31"/>
        <v>2.9436059980651192</v>
      </c>
      <c r="AB53" s="5">
        <f t="shared" si="32"/>
        <v>3574.9721348494741</v>
      </c>
      <c r="AC53" s="84">
        <f t="shared" si="16"/>
        <v>1.620081153288534</v>
      </c>
      <c r="AD53" s="84">
        <f t="shared" si="17"/>
        <v>2.9436118852888895</v>
      </c>
      <c r="AE53" s="84">
        <f t="shared" si="18"/>
        <v>3574.9792848080433</v>
      </c>
      <c r="AG53" s="22">
        <f t="shared" si="19"/>
        <v>2.4324933905451898E-10</v>
      </c>
    </row>
    <row r="54" spans="1:33" x14ac:dyDescent="0.2">
      <c r="A54" s="32">
        <v>570</v>
      </c>
      <c r="B54" s="32">
        <v>0.7</v>
      </c>
      <c r="C54" s="32">
        <v>181.2</v>
      </c>
      <c r="D54" s="28">
        <v>1.6944969175862699</v>
      </c>
      <c r="E54" s="28">
        <v>2.9418716851684437</v>
      </c>
      <c r="F54" s="28">
        <v>3599.9791666349788</v>
      </c>
      <c r="H54" s="84">
        <f t="shared" si="0"/>
        <v>1.694493528592435</v>
      </c>
      <c r="I54" s="84">
        <f t="shared" si="1"/>
        <v>2.9418658014250738</v>
      </c>
      <c r="J54" s="84">
        <f t="shared" si="2"/>
        <v>3599.9719666766464</v>
      </c>
      <c r="L54" s="5">
        <f t="shared" si="20"/>
        <v>10229030.054493528</v>
      </c>
      <c r="M54" s="5">
        <f t="shared" si="21"/>
        <v>924351.51186580141</v>
      </c>
      <c r="N54" s="5">
        <f t="shared" si="22"/>
        <v>3407.9719666766464</v>
      </c>
      <c r="P54" s="5">
        <f t="shared" si="23"/>
        <v>10229030.054812092</v>
      </c>
      <c r="Q54" s="5">
        <f t="shared" si="24"/>
        <v>924351.51241887209</v>
      </c>
      <c r="R54" s="5">
        <f t="shared" si="25"/>
        <v>3407.9719666766464</v>
      </c>
      <c r="T54" s="39">
        <f t="shared" si="26"/>
        <v>6.3825583109447168E-4</v>
      </c>
      <c r="V54" s="5">
        <f t="shared" si="27"/>
        <v>1.6944935284554958</v>
      </c>
      <c r="W54" s="5">
        <f t="shared" si="28"/>
        <v>2.9418658014619723</v>
      </c>
      <c r="X54" s="5">
        <f t="shared" si="29"/>
        <v>3599.9719666766464</v>
      </c>
      <c r="Z54" s="5">
        <f t="shared" si="30"/>
        <v>1.6944935281467868</v>
      </c>
      <c r="AA54" s="5">
        <f t="shared" si="31"/>
        <v>2.9418658013752772</v>
      </c>
      <c r="AB54" s="5">
        <f t="shared" si="32"/>
        <v>3599.9719666766464</v>
      </c>
      <c r="AC54" s="84">
        <f t="shared" si="16"/>
        <v>1.6944969171406208</v>
      </c>
      <c r="AD54" s="84">
        <f t="shared" si="17"/>
        <v>2.9418716851186471</v>
      </c>
      <c r="AE54" s="84">
        <f t="shared" si="18"/>
        <v>3599.9791666349793</v>
      </c>
      <c r="AG54" s="22">
        <f t="shared" si="19"/>
        <v>4.4842279796385522E-10</v>
      </c>
    </row>
    <row r="55" spans="1:33" x14ac:dyDescent="0.2">
      <c r="A55" s="32">
        <v>600</v>
      </c>
      <c r="B55" s="32">
        <v>0.9</v>
      </c>
      <c r="C55" s="32">
        <v>160.9</v>
      </c>
      <c r="D55" s="28">
        <v>1.791291677863077</v>
      </c>
      <c r="E55" s="28">
        <v>2.9570399138118106</v>
      </c>
      <c r="F55" s="28">
        <v>3624.9789743569222</v>
      </c>
      <c r="H55" s="84">
        <f t="shared" si="0"/>
        <v>1.7912880952797212</v>
      </c>
      <c r="I55" s="84">
        <f t="shared" si="1"/>
        <v>2.957033999731983</v>
      </c>
      <c r="J55" s="84">
        <f t="shared" si="2"/>
        <v>3624.9717243989744</v>
      </c>
      <c r="L55" s="5">
        <f t="shared" si="20"/>
        <v>10229030.151288094</v>
      </c>
      <c r="M55" s="5">
        <f t="shared" si="21"/>
        <v>924351.52703399968</v>
      </c>
      <c r="N55" s="5">
        <f t="shared" si="22"/>
        <v>3432.9717243989744</v>
      </c>
      <c r="P55" s="5">
        <f t="shared" si="23"/>
        <v>10229030.151624857</v>
      </c>
      <c r="Q55" s="5">
        <f t="shared" si="24"/>
        <v>924351.52758992207</v>
      </c>
      <c r="R55" s="5">
        <f t="shared" si="25"/>
        <v>3432.9717243989744</v>
      </c>
      <c r="T55" s="39">
        <f t="shared" si="26"/>
        <v>6.4996823085756441E-4</v>
      </c>
      <c r="V55" s="5">
        <f t="shared" si="27"/>
        <v>1.7912880945950747</v>
      </c>
      <c r="W55" s="5">
        <f t="shared" si="28"/>
        <v>2.9570339997299016</v>
      </c>
      <c r="X55" s="5">
        <f t="shared" si="29"/>
        <v>3624.9717243989744</v>
      </c>
      <c r="Z55" s="5">
        <f t="shared" si="30"/>
        <v>1.7912880949509145</v>
      </c>
      <c r="AA55" s="5">
        <f t="shared" si="31"/>
        <v>2.9570339997316388</v>
      </c>
      <c r="AB55" s="5">
        <f t="shared" si="32"/>
        <v>3624.9717243989744</v>
      </c>
      <c r="AC55" s="84">
        <f t="shared" si="16"/>
        <v>1.7912916775342693</v>
      </c>
      <c r="AD55" s="84">
        <f t="shared" si="17"/>
        <v>2.9570399138114665</v>
      </c>
      <c r="AE55" s="84">
        <f t="shared" si="18"/>
        <v>3624.9789743569227</v>
      </c>
      <c r="AG55" s="22">
        <f t="shared" si="19"/>
        <v>3.2880814236185259E-10</v>
      </c>
    </row>
    <row r="56" spans="1:33" x14ac:dyDescent="0.2">
      <c r="A56" s="32">
        <v>630</v>
      </c>
      <c r="B56" s="32">
        <v>1</v>
      </c>
      <c r="C56" s="32">
        <v>175</v>
      </c>
      <c r="D56" s="28">
        <v>1.8866478715872066</v>
      </c>
      <c r="E56" s="28">
        <v>2.9548843047265305</v>
      </c>
      <c r="F56" s="28">
        <v>3649.9787916260311</v>
      </c>
      <c r="H56" s="84">
        <f t="shared" si="0"/>
        <v>1.8866440982914636</v>
      </c>
      <c r="I56" s="84">
        <f t="shared" si="1"/>
        <v>2.9548783949579214</v>
      </c>
      <c r="J56" s="84">
        <f t="shared" si="2"/>
        <v>3649.9714916684484</v>
      </c>
      <c r="L56" s="5">
        <f t="shared" si="20"/>
        <v>10229030.246644098</v>
      </c>
      <c r="M56" s="5">
        <f t="shared" si="21"/>
        <v>924351.52487839491</v>
      </c>
      <c r="N56" s="5">
        <f t="shared" si="22"/>
        <v>3457.9714916684484</v>
      </c>
      <c r="P56" s="5">
        <f t="shared" si="23"/>
        <v>10229030.246998787</v>
      </c>
      <c r="Q56" s="5">
        <f t="shared" si="24"/>
        <v>924351.52543391206</v>
      </c>
      <c r="R56" s="5">
        <f t="shared" si="25"/>
        <v>3457.9714916684484</v>
      </c>
      <c r="T56" s="39">
        <f t="shared" si="26"/>
        <v>6.5909280032811748E-4</v>
      </c>
      <c r="V56" s="5">
        <f t="shared" si="27"/>
        <v>1.8866440989077091</v>
      </c>
      <c r="W56" s="5">
        <f t="shared" si="28"/>
        <v>2.9548783949576318</v>
      </c>
      <c r="X56" s="5">
        <f t="shared" si="29"/>
        <v>3649.9714916684484</v>
      </c>
      <c r="Z56" s="5">
        <f t="shared" si="30"/>
        <v>1.8866440984318107</v>
      </c>
      <c r="AA56" s="5">
        <f t="shared" si="31"/>
        <v>2.9548783949713289</v>
      </c>
      <c r="AB56" s="5">
        <f t="shared" si="32"/>
        <v>3649.9714916684484</v>
      </c>
      <c r="AC56" s="84">
        <f t="shared" si="16"/>
        <v>1.8866478717275539</v>
      </c>
      <c r="AD56" s="84">
        <f t="shared" si="17"/>
        <v>2.954884304739938</v>
      </c>
      <c r="AE56" s="84">
        <f t="shared" si="18"/>
        <v>3649.9787916260316</v>
      </c>
      <c r="AG56" s="22">
        <f t="shared" si="19"/>
        <v>1.4098698311060841E-10</v>
      </c>
    </row>
    <row r="57" spans="1:33" x14ac:dyDescent="0.2">
      <c r="A57" s="32">
        <v>660</v>
      </c>
      <c r="B57" s="32">
        <v>1.1000000000000001</v>
      </c>
      <c r="C57" s="32">
        <v>173.2</v>
      </c>
      <c r="D57" s="28">
        <v>1.992064929705331</v>
      </c>
      <c r="E57" s="28">
        <v>2.9373577092662257</v>
      </c>
      <c r="F57" s="28">
        <v>3674.9785623802522</v>
      </c>
      <c r="H57" s="84">
        <f t="shared" si="0"/>
        <v>1.9920609455754719</v>
      </c>
      <c r="I57" s="84">
        <f t="shared" si="1"/>
        <v>2.9373518345508072</v>
      </c>
      <c r="J57" s="84">
        <f t="shared" si="2"/>
        <v>3674.9712124231273</v>
      </c>
      <c r="L57" s="5">
        <f t="shared" si="20"/>
        <v>10229030.352060946</v>
      </c>
      <c r="M57" s="5">
        <f t="shared" si="21"/>
        <v>924351.50735183444</v>
      </c>
      <c r="N57" s="5">
        <f t="shared" si="22"/>
        <v>3482.9712124231273</v>
      </c>
      <c r="P57" s="5">
        <f t="shared" si="23"/>
        <v>10229030.352435453</v>
      </c>
      <c r="Q57" s="5">
        <f t="shared" si="24"/>
        <v>924351.50790405669</v>
      </c>
      <c r="R57" s="5">
        <f t="shared" si="25"/>
        <v>3482.9712124231273</v>
      </c>
      <c r="T57" s="39">
        <f t="shared" si="26"/>
        <v>6.6723685789774154E-4</v>
      </c>
      <c r="V57" s="5">
        <f t="shared" si="27"/>
        <v>1.9920609463006258</v>
      </c>
      <c r="W57" s="5">
        <f t="shared" si="28"/>
        <v>2.9373518344946206</v>
      </c>
      <c r="X57" s="5">
        <f t="shared" si="29"/>
        <v>3674.9712124231273</v>
      </c>
      <c r="Z57" s="5">
        <f t="shared" si="30"/>
        <v>1.992060946001772</v>
      </c>
      <c r="AA57" s="5">
        <f t="shared" si="31"/>
        <v>2.9373518345988137</v>
      </c>
      <c r="AB57" s="5">
        <f t="shared" si="32"/>
        <v>3674.9712124231273</v>
      </c>
      <c r="AC57" s="84">
        <f t="shared" si="16"/>
        <v>1.992064930131632</v>
      </c>
      <c r="AD57" s="84">
        <f t="shared" si="17"/>
        <v>2.9373577093142318</v>
      </c>
      <c r="AE57" s="84">
        <f t="shared" si="18"/>
        <v>3674.9785623802518</v>
      </c>
      <c r="AG57" s="22">
        <f t="shared" si="19"/>
        <v>4.2899571668222553E-10</v>
      </c>
    </row>
    <row r="58" spans="1:33" x14ac:dyDescent="0.2">
      <c r="A58" s="32">
        <v>690</v>
      </c>
      <c r="B58" s="32">
        <v>1.1000000000000001</v>
      </c>
      <c r="C58" s="32">
        <v>189</v>
      </c>
      <c r="D58" s="28">
        <v>2.1105009647910906</v>
      </c>
      <c r="E58" s="28">
        <v>2.9184312903984022</v>
      </c>
      <c r="F58" s="28">
        <v>3699.9782745573325</v>
      </c>
      <c r="H58" s="84">
        <f t="shared" si="0"/>
        <v>2.1104967437891613</v>
      </c>
      <c r="I58" s="84">
        <f t="shared" si="1"/>
        <v>2.9184254535358218</v>
      </c>
      <c r="J58" s="84">
        <f t="shared" si="2"/>
        <v>3699.9708746007836</v>
      </c>
      <c r="L58" s="5">
        <f t="shared" si="20"/>
        <v>10229030.470496744</v>
      </c>
      <c r="M58" s="5">
        <f t="shared" si="21"/>
        <v>924351.48842545354</v>
      </c>
      <c r="N58" s="5">
        <f t="shared" si="22"/>
        <v>3507.9708746007836</v>
      </c>
      <c r="P58" s="5">
        <f t="shared" si="23"/>
        <v>10229030.470893517</v>
      </c>
      <c r="Q58" s="5">
        <f t="shared" si="24"/>
        <v>924351.48897411744</v>
      </c>
      <c r="R58" s="5">
        <f t="shared" si="25"/>
        <v>3507.9708746007836</v>
      </c>
      <c r="T58" s="39">
        <f t="shared" si="26"/>
        <v>6.7709752678445448E-4</v>
      </c>
      <c r="V58" s="5">
        <f t="shared" si="27"/>
        <v>2.1104967445135117</v>
      </c>
      <c r="W58" s="5">
        <f t="shared" si="28"/>
        <v>2.9184254535939544</v>
      </c>
      <c r="X58" s="5">
        <f t="shared" si="29"/>
        <v>3699.9708746007836</v>
      </c>
      <c r="Z58" s="5">
        <f t="shared" si="30"/>
        <v>2.1104967443446832</v>
      </c>
      <c r="AA58" s="5">
        <f t="shared" si="31"/>
        <v>2.9184254535070662</v>
      </c>
      <c r="AB58" s="5">
        <f t="shared" si="32"/>
        <v>3699.9708746007836</v>
      </c>
      <c r="AC58" s="84">
        <f t="shared" si="16"/>
        <v>2.1105009653466138</v>
      </c>
      <c r="AD58" s="84">
        <f t="shared" si="17"/>
        <v>2.9184312903696465</v>
      </c>
      <c r="AE58" s="84">
        <f t="shared" si="18"/>
        <v>3699.978274557332</v>
      </c>
      <c r="AG58" s="22">
        <f t="shared" si="19"/>
        <v>5.5626711380289724E-10</v>
      </c>
    </row>
    <row r="59" spans="1:33" x14ac:dyDescent="0.2">
      <c r="A59" s="32">
        <v>720</v>
      </c>
      <c r="B59" s="32">
        <v>0.8</v>
      </c>
      <c r="C59" s="32">
        <v>183</v>
      </c>
      <c r="D59" s="28">
        <v>2.2406685269723874</v>
      </c>
      <c r="E59" s="28">
        <v>2.9160806840364502</v>
      </c>
      <c r="F59" s="28">
        <v>3724.9779338285475</v>
      </c>
      <c r="H59" s="84">
        <f t="shared" si="0"/>
        <v>2.2406640456353335</v>
      </c>
      <c r="I59" s="84">
        <f t="shared" si="1"/>
        <v>2.9160748518750821</v>
      </c>
      <c r="J59" s="84">
        <f t="shared" si="2"/>
        <v>3724.9704838726807</v>
      </c>
      <c r="L59" s="5">
        <f t="shared" si="20"/>
        <v>10229030.600664046</v>
      </c>
      <c r="M59" s="5">
        <f t="shared" si="21"/>
        <v>924351.48607485183</v>
      </c>
      <c r="N59" s="5">
        <f t="shared" si="22"/>
        <v>3532.9704838726807</v>
      </c>
      <c r="P59" s="5">
        <f t="shared" si="23"/>
        <v>10229030.60108529</v>
      </c>
      <c r="Q59" s="5">
        <f t="shared" si="24"/>
        <v>924351.48662307393</v>
      </c>
      <c r="R59" s="5">
        <f t="shared" si="25"/>
        <v>3532.9704838726807</v>
      </c>
      <c r="T59" s="39">
        <f t="shared" si="26"/>
        <v>6.9137148439216579E-4</v>
      </c>
      <c r="V59" s="5">
        <f t="shared" si="27"/>
        <v>2.2406640462577343</v>
      </c>
      <c r="W59" s="5">
        <f t="shared" si="28"/>
        <v>2.9160748518770561</v>
      </c>
      <c r="X59" s="5">
        <f t="shared" si="29"/>
        <v>3724.9704838726807</v>
      </c>
      <c r="Z59" s="5">
        <f t="shared" si="30"/>
        <v>2.2406640460681526</v>
      </c>
      <c r="AA59" s="5">
        <f t="shared" si="31"/>
        <v>2.9160748519071222</v>
      </c>
      <c r="AB59" s="5">
        <f t="shared" si="32"/>
        <v>3724.9704838726807</v>
      </c>
      <c r="AC59" s="84">
        <f t="shared" si="16"/>
        <v>2.2406685274052074</v>
      </c>
      <c r="AD59" s="84">
        <f t="shared" si="17"/>
        <v>2.9160806840684899</v>
      </c>
      <c r="AE59" s="84">
        <f t="shared" si="18"/>
        <v>3724.977933828548</v>
      </c>
      <c r="AG59" s="22">
        <f t="shared" si="19"/>
        <v>4.3400449724151214E-10</v>
      </c>
    </row>
    <row r="60" spans="1:33" x14ac:dyDescent="0.2">
      <c r="A60" s="32">
        <v>750</v>
      </c>
      <c r="B60" s="32">
        <v>0.9</v>
      </c>
      <c r="C60" s="32">
        <v>190.5</v>
      </c>
      <c r="D60" s="28">
        <v>2.3648022615312287</v>
      </c>
      <c r="E60" s="28">
        <v>2.9218378102928422</v>
      </c>
      <c r="F60" s="28">
        <v>3749.9776232809895</v>
      </c>
      <c r="H60" s="84">
        <f t="shared" si="0"/>
        <v>2.3647975319267061</v>
      </c>
      <c r="I60" s="84">
        <f t="shared" si="1"/>
        <v>2.9218319666172219</v>
      </c>
      <c r="J60" s="84">
        <f t="shared" si="2"/>
        <v>3749.9701233257429</v>
      </c>
      <c r="L60" s="5">
        <f t="shared" si="20"/>
        <v>10229030.724797532</v>
      </c>
      <c r="M60" s="5">
        <f t="shared" si="21"/>
        <v>924351.49183196656</v>
      </c>
      <c r="N60" s="5">
        <f t="shared" si="22"/>
        <v>3557.9701233257429</v>
      </c>
      <c r="P60" s="5">
        <f t="shared" si="23"/>
        <v>10229030.725242114</v>
      </c>
      <c r="Q60" s="5">
        <f t="shared" si="24"/>
        <v>924351.49238127097</v>
      </c>
      <c r="R60" s="5">
        <f t="shared" si="25"/>
        <v>3557.9701233257429</v>
      </c>
      <c r="T60" s="39">
        <f t="shared" si="26"/>
        <v>7.0667408147025471E-4</v>
      </c>
      <c r="V60" s="5">
        <f t="shared" si="27"/>
        <v>2.3647975325584412</v>
      </c>
      <c r="W60" s="5">
        <f t="shared" si="28"/>
        <v>2.9218319666106254</v>
      </c>
      <c r="X60" s="5">
        <f t="shared" si="29"/>
        <v>3749.9701233257429</v>
      </c>
      <c r="Z60" s="5">
        <f t="shared" si="30"/>
        <v>2.3647975323545123</v>
      </c>
      <c r="AA60" s="5">
        <f t="shared" si="31"/>
        <v>2.9218319666163732</v>
      </c>
      <c r="AB60" s="5">
        <f t="shared" si="32"/>
        <v>3749.9701233257429</v>
      </c>
      <c r="AC60" s="84">
        <f t="shared" si="16"/>
        <v>2.3648022619590359</v>
      </c>
      <c r="AD60" s="84">
        <f t="shared" si="17"/>
        <v>2.9218378102919935</v>
      </c>
      <c r="AE60" s="84">
        <f t="shared" si="18"/>
        <v>3749.9776232809891</v>
      </c>
      <c r="AG60" s="22">
        <f t="shared" si="19"/>
        <v>4.2780820650211492E-10</v>
      </c>
    </row>
    <row r="61" spans="1:33" x14ac:dyDescent="0.2">
      <c r="A61" s="32">
        <v>780</v>
      </c>
      <c r="B61" s="32">
        <v>1.2</v>
      </c>
      <c r="C61" s="32">
        <v>198.8</v>
      </c>
      <c r="D61" s="28">
        <v>2.5391852868131854</v>
      </c>
      <c r="E61" s="28">
        <v>2.955246819927007</v>
      </c>
      <c r="F61" s="28">
        <v>3774.9769570832473</v>
      </c>
      <c r="H61" s="84">
        <f t="shared" si="0"/>
        <v>2.5391802084426121</v>
      </c>
      <c r="I61" s="84">
        <f t="shared" si="1"/>
        <v>2.9552409094333671</v>
      </c>
      <c r="J61" s="84">
        <f t="shared" si="2"/>
        <v>3774.9694071293338</v>
      </c>
      <c r="L61" s="5">
        <f t="shared" si="20"/>
        <v>10229030.899180207</v>
      </c>
      <c r="M61" s="5">
        <f t="shared" si="21"/>
        <v>924351.52524090942</v>
      </c>
      <c r="N61" s="5">
        <f t="shared" si="22"/>
        <v>3582.9694071293338</v>
      </c>
      <c r="P61" s="5">
        <f t="shared" si="23"/>
        <v>10229030.899657574</v>
      </c>
      <c r="Q61" s="5">
        <f t="shared" si="24"/>
        <v>924351.52579649468</v>
      </c>
      <c r="R61" s="5">
        <f t="shared" si="25"/>
        <v>3582.9694071293338</v>
      </c>
      <c r="T61" s="39">
        <f t="shared" si="26"/>
        <v>7.3249806559223471E-4</v>
      </c>
      <c r="V61" s="5">
        <f t="shared" si="27"/>
        <v>2.5391802079975605</v>
      </c>
      <c r="W61" s="5">
        <f t="shared" si="28"/>
        <v>2.9552409094758332</v>
      </c>
      <c r="X61" s="5">
        <f t="shared" si="29"/>
        <v>3774.9694071293338</v>
      </c>
      <c r="Z61" s="5">
        <f t="shared" si="30"/>
        <v>2.5391802082678314</v>
      </c>
      <c r="AA61" s="5">
        <f t="shared" si="31"/>
        <v>2.9552409094397731</v>
      </c>
      <c r="AB61" s="5">
        <f t="shared" si="32"/>
        <v>3774.9694071293338</v>
      </c>
      <c r="AC61" s="84">
        <f t="shared" si="16"/>
        <v>2.5391852866384044</v>
      </c>
      <c r="AD61" s="84">
        <f t="shared" si="17"/>
        <v>2.9552468199334125</v>
      </c>
      <c r="AE61" s="84">
        <f t="shared" si="18"/>
        <v>3774.9769570832477</v>
      </c>
      <c r="AG61" s="22">
        <f t="shared" si="19"/>
        <v>1.7489900850076835E-10</v>
      </c>
    </row>
    <row r="62" spans="1:33" x14ac:dyDescent="0.2">
      <c r="A62" s="32">
        <v>810</v>
      </c>
      <c r="B62" s="32">
        <v>1.1000000000000001</v>
      </c>
      <c r="C62" s="32">
        <v>197</v>
      </c>
      <c r="D62" s="28">
        <v>2.7416103781754848</v>
      </c>
      <c r="E62" s="28">
        <v>2.9957055093925522</v>
      </c>
      <c r="F62" s="28">
        <v>3799.9760910770078</v>
      </c>
      <c r="H62" s="84">
        <f t="shared" si="0"/>
        <v>2.7416048949547287</v>
      </c>
      <c r="I62" s="84">
        <f t="shared" si="1"/>
        <v>2.9956995179815338</v>
      </c>
      <c r="J62" s="84">
        <f t="shared" si="2"/>
        <v>3799.9684911248264</v>
      </c>
      <c r="L62" s="5">
        <f t="shared" si="20"/>
        <v>10229031.101604894</v>
      </c>
      <c r="M62" s="5">
        <f t="shared" si="21"/>
        <v>924351.56569951796</v>
      </c>
      <c r="N62" s="5">
        <f t="shared" si="22"/>
        <v>3607.9684911248264</v>
      </c>
      <c r="P62" s="5">
        <f t="shared" si="23"/>
        <v>10229031.102120316</v>
      </c>
      <c r="Q62" s="5">
        <f t="shared" si="24"/>
        <v>924351.56626270944</v>
      </c>
      <c r="R62" s="5">
        <f t="shared" si="25"/>
        <v>3607.9684911248264</v>
      </c>
      <c r="T62" s="39">
        <f t="shared" si="26"/>
        <v>7.6344242238587695E-4</v>
      </c>
      <c r="V62" s="5">
        <f t="shared" si="27"/>
        <v>2.7416048943996429</v>
      </c>
      <c r="W62" s="5">
        <f t="shared" si="28"/>
        <v>2.9956995180109516</v>
      </c>
      <c r="X62" s="5">
        <f t="shared" si="29"/>
        <v>3799.9684911248264</v>
      </c>
      <c r="Z62" s="5">
        <f t="shared" si="30"/>
        <v>2.7416048945319402</v>
      </c>
      <c r="AA62" s="5">
        <f t="shared" si="31"/>
        <v>2.9956995179843675</v>
      </c>
      <c r="AB62" s="5">
        <f t="shared" si="32"/>
        <v>3799.9684911248264</v>
      </c>
      <c r="AC62" s="84">
        <f t="shared" si="16"/>
        <v>2.7416103777526954</v>
      </c>
      <c r="AD62" s="84">
        <f t="shared" si="17"/>
        <v>2.9957055093953859</v>
      </c>
      <c r="AE62" s="84">
        <f t="shared" si="18"/>
        <v>3799.9760910770083</v>
      </c>
      <c r="AG62" s="22">
        <f t="shared" si="19"/>
        <v>4.2279910003319615E-10</v>
      </c>
    </row>
    <row r="63" spans="1:33" x14ac:dyDescent="0.2">
      <c r="A63" s="32">
        <v>840</v>
      </c>
      <c r="B63" s="32">
        <v>1.3</v>
      </c>
      <c r="C63" s="32">
        <v>206</v>
      </c>
      <c r="D63" s="28">
        <v>2.9112804435253121</v>
      </c>
      <c r="E63" s="28">
        <v>3.0085600455168811</v>
      </c>
      <c r="F63" s="28">
        <v>3824.9755118527978</v>
      </c>
      <c r="H63" s="84">
        <f t="shared" si="0"/>
        <v>2.9112746209644254</v>
      </c>
      <c r="I63" s="84">
        <f t="shared" si="1"/>
        <v>3.00855402839679</v>
      </c>
      <c r="J63" s="84">
        <f t="shared" si="2"/>
        <v>3824.9678619017745</v>
      </c>
      <c r="L63" s="5">
        <f t="shared" si="20"/>
        <v>10229031.271274621</v>
      </c>
      <c r="M63" s="5">
        <f t="shared" si="21"/>
        <v>924351.5785540283</v>
      </c>
      <c r="N63" s="5">
        <f t="shared" si="22"/>
        <v>3632.9678619017745</v>
      </c>
      <c r="P63" s="5">
        <f t="shared" si="23"/>
        <v>10229031.27182194</v>
      </c>
      <c r="Q63" s="5">
        <f t="shared" si="24"/>
        <v>924351.57911963656</v>
      </c>
      <c r="R63" s="5">
        <f t="shared" si="25"/>
        <v>3632.9678619017745</v>
      </c>
      <c r="T63" s="39">
        <f t="shared" si="26"/>
        <v>7.8706512391695405E-4</v>
      </c>
      <c r="V63" s="5">
        <f t="shared" si="27"/>
        <v>2.9112746212631464</v>
      </c>
      <c r="W63" s="5">
        <f t="shared" si="28"/>
        <v>3.0085540283471346</v>
      </c>
      <c r="X63" s="5">
        <f t="shared" si="29"/>
        <v>3824.9678619017745</v>
      </c>
      <c r="Z63" s="5">
        <f t="shared" si="30"/>
        <v>2.9112746212849947</v>
      </c>
      <c r="AA63" s="5">
        <f t="shared" si="31"/>
        <v>3.0085540284546632</v>
      </c>
      <c r="AB63" s="5">
        <f t="shared" si="32"/>
        <v>3824.9678619017745</v>
      </c>
      <c r="AC63" s="84">
        <f t="shared" si="16"/>
        <v>2.9112804438458824</v>
      </c>
      <c r="AD63" s="84">
        <f t="shared" si="17"/>
        <v>3.0085600455747543</v>
      </c>
      <c r="AE63" s="84">
        <f t="shared" si="18"/>
        <v>3824.9755118527978</v>
      </c>
      <c r="AG63" s="22">
        <f t="shared" si="19"/>
        <v>3.2575234655919703E-10</v>
      </c>
    </row>
    <row r="64" spans="1:33" x14ac:dyDescent="0.2">
      <c r="A64" s="32">
        <v>870</v>
      </c>
      <c r="B64" s="32">
        <v>1</v>
      </c>
      <c r="C64" s="32">
        <v>200.1</v>
      </c>
      <c r="D64" s="28">
        <v>3.0889944680789991</v>
      </c>
      <c r="E64" s="28">
        <v>3.0276578983641564</v>
      </c>
      <c r="F64" s="28">
        <v>3849.9748724021761</v>
      </c>
      <c r="H64" s="84">
        <f t="shared" si="0"/>
        <v>3.0889882900900631</v>
      </c>
      <c r="I64" s="84">
        <f t="shared" si="1"/>
        <v>3.0276518430483601</v>
      </c>
      <c r="J64" s="84">
        <f t="shared" si="2"/>
        <v>3849.9671724524319</v>
      </c>
      <c r="L64" s="5">
        <f t="shared" si="20"/>
        <v>10229031.448988289</v>
      </c>
      <c r="M64" s="5">
        <f t="shared" si="21"/>
        <v>924351.59765184298</v>
      </c>
      <c r="N64" s="5">
        <f t="shared" si="22"/>
        <v>3657.9671724524319</v>
      </c>
      <c r="P64" s="5">
        <f t="shared" si="23"/>
        <v>10229031.449569019</v>
      </c>
      <c r="Q64" s="5">
        <f t="shared" si="24"/>
        <v>924351.59822104149</v>
      </c>
      <c r="R64" s="5">
        <f t="shared" si="25"/>
        <v>3657.9671724524319</v>
      </c>
      <c r="T64" s="39">
        <f t="shared" si="26"/>
        <v>8.1316307331410218E-4</v>
      </c>
      <c r="V64" s="5">
        <f t="shared" si="27"/>
        <v>3.0889882892370224</v>
      </c>
      <c r="W64" s="5">
        <f t="shared" si="28"/>
        <v>3.0276518430327997</v>
      </c>
      <c r="X64" s="5">
        <f t="shared" si="29"/>
        <v>3849.9671724524319</v>
      </c>
      <c r="Z64" s="5">
        <f t="shared" si="30"/>
        <v>3.0889882893553153</v>
      </c>
      <c r="AA64" s="5">
        <f t="shared" si="31"/>
        <v>3.027651842999719</v>
      </c>
      <c r="AB64" s="5">
        <f t="shared" si="32"/>
        <v>3849.9671724524319</v>
      </c>
      <c r="AC64" s="84">
        <f t="shared" si="16"/>
        <v>3.0889944673442495</v>
      </c>
      <c r="AD64" s="84">
        <f t="shared" si="17"/>
        <v>3.0276578983155154</v>
      </c>
      <c r="AE64" s="84">
        <f t="shared" si="18"/>
        <v>3849.9748724021765</v>
      </c>
      <c r="AG64" s="22">
        <f t="shared" si="19"/>
        <v>7.3635801697376531E-10</v>
      </c>
    </row>
    <row r="65" spans="1:33" x14ac:dyDescent="0.2">
      <c r="A65" s="32">
        <v>900</v>
      </c>
      <c r="B65" s="32">
        <v>1.1000000000000001</v>
      </c>
      <c r="C65" s="32">
        <v>208</v>
      </c>
      <c r="D65" s="28">
        <v>3.2705965903986676</v>
      </c>
      <c r="E65" s="28">
        <v>3.0520985155944653</v>
      </c>
      <c r="F65" s="28">
        <v>3874.9742008143658</v>
      </c>
      <c r="H65" s="84">
        <f t="shared" si="0"/>
        <v>3.2705900492054871</v>
      </c>
      <c r="I65" s="84">
        <f t="shared" si="1"/>
        <v>3.0520924113974344</v>
      </c>
      <c r="J65" s="84">
        <f t="shared" si="2"/>
        <v>3874.9664508659644</v>
      </c>
      <c r="L65" s="5">
        <f t="shared" si="20"/>
        <v>10229031.630590048</v>
      </c>
      <c r="M65" s="5">
        <f t="shared" si="21"/>
        <v>924351.62209241139</v>
      </c>
      <c r="N65" s="5">
        <f t="shared" si="22"/>
        <v>3682.9664508659644</v>
      </c>
      <c r="P65" s="5">
        <f t="shared" si="23"/>
        <v>10229031.63120492</v>
      </c>
      <c r="Q65" s="5">
        <f t="shared" si="24"/>
        <v>924351.6226662047</v>
      </c>
      <c r="R65" s="5">
        <f t="shared" si="25"/>
        <v>3682.9664508659644</v>
      </c>
      <c r="T65" s="39">
        <f t="shared" si="26"/>
        <v>8.4101521236919728E-4</v>
      </c>
      <c r="V65" s="5">
        <f t="shared" si="27"/>
        <v>3.2705900482833385</v>
      </c>
      <c r="W65" s="5">
        <f t="shared" si="28"/>
        <v>3.0520924114389345</v>
      </c>
      <c r="X65" s="5">
        <f t="shared" si="29"/>
        <v>3874.9664508659644</v>
      </c>
      <c r="Z65" s="5">
        <f t="shared" si="30"/>
        <v>3.270590049556299</v>
      </c>
      <c r="AA65" s="5">
        <f t="shared" si="31"/>
        <v>3.0520924113753365</v>
      </c>
      <c r="AB65" s="5">
        <f t="shared" si="32"/>
        <v>3874.9664508659644</v>
      </c>
      <c r="AC65" s="84">
        <f t="shared" si="16"/>
        <v>3.2705965907494803</v>
      </c>
      <c r="AD65" s="84">
        <f t="shared" si="17"/>
        <v>3.0520985155723674</v>
      </c>
      <c r="AE65" s="84">
        <f t="shared" si="18"/>
        <v>3874.9742008143658</v>
      </c>
      <c r="AG65" s="22">
        <f t="shared" si="19"/>
        <v>3.5150800177276059E-10</v>
      </c>
    </row>
    <row r="66" spans="1:33" x14ac:dyDescent="0.2">
      <c r="A66" s="32">
        <v>930</v>
      </c>
      <c r="B66" s="32">
        <v>0.8</v>
      </c>
      <c r="C66" s="32">
        <v>215.5</v>
      </c>
      <c r="D66" s="28">
        <v>3.4443771833432835</v>
      </c>
      <c r="E66" s="28">
        <v>3.0590207312796154</v>
      </c>
      <c r="F66" s="28">
        <v>3899.973593922798</v>
      </c>
      <c r="H66" s="84">
        <f t="shared" si="0"/>
        <v>3.4443702945889174</v>
      </c>
      <c r="I66" s="84">
        <f t="shared" si="1"/>
        <v>3.059014613238153</v>
      </c>
      <c r="J66" s="84">
        <f t="shared" si="2"/>
        <v>3899.9657939756107</v>
      </c>
      <c r="L66" s="5">
        <f t="shared" si="20"/>
        <v>10229031.804370293</v>
      </c>
      <c r="M66" s="5">
        <f t="shared" si="21"/>
        <v>924351.62901461322</v>
      </c>
      <c r="N66" s="5">
        <f t="shared" si="22"/>
        <v>3707.9657939756107</v>
      </c>
      <c r="P66" s="5">
        <f t="shared" si="23"/>
        <v>10229031.805017836</v>
      </c>
      <c r="Q66" s="5">
        <f t="shared" si="24"/>
        <v>924351.62958970794</v>
      </c>
      <c r="R66" s="5">
        <f t="shared" si="25"/>
        <v>3707.9657939756107</v>
      </c>
      <c r="T66" s="39">
        <f t="shared" si="26"/>
        <v>8.6605188505028507E-4</v>
      </c>
      <c r="V66" s="5">
        <f t="shared" si="27"/>
        <v>3.4443702939897776</v>
      </c>
      <c r="W66" s="5">
        <f t="shared" si="28"/>
        <v>3.0590146132744849</v>
      </c>
      <c r="X66" s="5">
        <f t="shared" si="29"/>
        <v>3899.9657939756107</v>
      </c>
      <c r="Z66" s="5">
        <f t="shared" si="30"/>
        <v>3.4443702953724418</v>
      </c>
      <c r="AA66" s="5">
        <f t="shared" si="31"/>
        <v>3.0590146132438183</v>
      </c>
      <c r="AB66" s="5">
        <f t="shared" si="32"/>
        <v>3899.9657939756107</v>
      </c>
      <c r="AC66" s="84">
        <f t="shared" si="16"/>
        <v>3.4443771841268096</v>
      </c>
      <c r="AD66" s="84">
        <f t="shared" si="17"/>
        <v>3.0590207312852806</v>
      </c>
      <c r="AE66" s="84">
        <f t="shared" si="18"/>
        <v>3899.973593922798</v>
      </c>
      <c r="AG66" s="22">
        <f t="shared" si="19"/>
        <v>7.8354661373344624E-10</v>
      </c>
    </row>
    <row r="67" spans="1:33" x14ac:dyDescent="0.2">
      <c r="A67" s="32">
        <v>960</v>
      </c>
      <c r="B67" s="32">
        <v>0.8</v>
      </c>
      <c r="C67" s="32">
        <v>213.2</v>
      </c>
      <c r="D67" s="28">
        <v>3.5987985059698224</v>
      </c>
      <c r="E67" s="28">
        <v>3.0476388249179336</v>
      </c>
      <c r="F67" s="28">
        <v>3924.9731134978492</v>
      </c>
      <c r="H67" s="84">
        <f t="shared" si="0"/>
        <v>3.5987913083728111</v>
      </c>
      <c r="I67" s="84">
        <f t="shared" si="1"/>
        <v>3.0476327296402839</v>
      </c>
      <c r="J67" s="84">
        <f t="shared" si="2"/>
        <v>3924.9652635516227</v>
      </c>
      <c r="L67" s="5">
        <f t="shared" si="20"/>
        <v>10229031.958791308</v>
      </c>
      <c r="M67" s="5">
        <f t="shared" si="21"/>
        <v>924351.61763272958</v>
      </c>
      <c r="N67" s="5">
        <f t="shared" si="22"/>
        <v>3732.9652635516227</v>
      </c>
      <c r="P67" s="5">
        <f t="shared" si="23"/>
        <v>10229031.95946788</v>
      </c>
      <c r="Q67" s="5">
        <f t="shared" si="24"/>
        <v>924351.61820568459</v>
      </c>
      <c r="R67" s="5">
        <f t="shared" si="25"/>
        <v>3732.9652635516227</v>
      </c>
      <c r="T67" s="39">
        <f t="shared" si="26"/>
        <v>8.8658194404842223E-4</v>
      </c>
      <c r="V67" s="5">
        <f t="shared" si="27"/>
        <v>3.5987913087010384</v>
      </c>
      <c r="W67" s="5">
        <f t="shared" si="28"/>
        <v>3.0476327296346426</v>
      </c>
      <c r="X67" s="5">
        <f t="shared" si="29"/>
        <v>3924.9652635516227</v>
      </c>
      <c r="Z67" s="5">
        <f t="shared" si="30"/>
        <v>3.598791308257931</v>
      </c>
      <c r="AA67" s="5">
        <f t="shared" si="31"/>
        <v>3.0476327296844699</v>
      </c>
      <c r="AB67" s="5">
        <f t="shared" si="32"/>
        <v>3924.9652635516227</v>
      </c>
      <c r="AC67" s="84">
        <f t="shared" si="16"/>
        <v>3.5987985058549423</v>
      </c>
      <c r="AD67" s="84">
        <f t="shared" si="17"/>
        <v>3.0476388249621196</v>
      </c>
      <c r="AE67" s="84">
        <f t="shared" si="18"/>
        <v>3924.9731134978492</v>
      </c>
      <c r="AG67" s="22">
        <f t="shared" si="19"/>
        <v>1.2308468701108507E-10</v>
      </c>
    </row>
    <row r="68" spans="1:33" x14ac:dyDescent="0.2">
      <c r="A68" s="32">
        <v>990</v>
      </c>
      <c r="B68" s="32">
        <v>0.9</v>
      </c>
      <c r="C68" s="32">
        <v>220</v>
      </c>
      <c r="D68" s="28">
        <v>3.7281897211513386</v>
      </c>
      <c r="E68" s="28">
        <v>3.0204259909993523</v>
      </c>
      <c r="F68" s="28">
        <v>3949.9727615305451</v>
      </c>
      <c r="H68" s="84">
        <f t="shared" si="0"/>
        <v>3.7281822647718972</v>
      </c>
      <c r="I68" s="84">
        <f t="shared" si="1"/>
        <v>3.0204199501473705</v>
      </c>
      <c r="J68" s="84">
        <f t="shared" si="2"/>
        <v>3949.9648615850224</v>
      </c>
      <c r="L68" s="5">
        <f t="shared" si="20"/>
        <v>10229032.088182265</v>
      </c>
      <c r="M68" s="5">
        <f t="shared" si="21"/>
        <v>924351.59041995008</v>
      </c>
      <c r="N68" s="5">
        <f t="shared" si="22"/>
        <v>3757.9648615850224</v>
      </c>
      <c r="P68" s="5">
        <f t="shared" si="23"/>
        <v>10229032.088883162</v>
      </c>
      <c r="Q68" s="5">
        <f t="shared" si="24"/>
        <v>924351.5909877891</v>
      </c>
      <c r="R68" s="5">
        <f t="shared" si="25"/>
        <v>3757.9648615850224</v>
      </c>
      <c r="T68" s="39">
        <f t="shared" si="26"/>
        <v>9.0205166113686396E-4</v>
      </c>
      <c r="V68" s="5">
        <f t="shared" si="27"/>
        <v>3.728182265534997</v>
      </c>
      <c r="W68" s="5">
        <f t="shared" si="28"/>
        <v>3.0204199501313269</v>
      </c>
      <c r="X68" s="5">
        <f t="shared" si="29"/>
        <v>3949.9648615850224</v>
      </c>
      <c r="Z68" s="5">
        <f t="shared" si="30"/>
        <v>3.7281822638752375</v>
      </c>
      <c r="AA68" s="5">
        <f t="shared" si="31"/>
        <v>3.020419950195965</v>
      </c>
      <c r="AB68" s="5">
        <f t="shared" si="32"/>
        <v>3949.9648615850224</v>
      </c>
      <c r="AC68" s="84">
        <f t="shared" si="16"/>
        <v>3.7281897202546781</v>
      </c>
      <c r="AD68" s="84">
        <f t="shared" si="17"/>
        <v>3.0204259910479467</v>
      </c>
      <c r="AE68" s="84">
        <f t="shared" si="18"/>
        <v>3949.9727615305451</v>
      </c>
      <c r="AG68" s="22">
        <f t="shared" si="19"/>
        <v>8.9797634507479748E-10</v>
      </c>
    </row>
    <row r="69" spans="1:33" x14ac:dyDescent="0.2">
      <c r="A69" s="32">
        <v>1020</v>
      </c>
      <c r="B69" s="32">
        <v>0.6</v>
      </c>
      <c r="C69" s="32">
        <v>233.4</v>
      </c>
      <c r="D69" s="28">
        <v>3.8448586855840312</v>
      </c>
      <c r="E69" s="28">
        <v>3.0017400263063752</v>
      </c>
      <c r="F69" s="28">
        <v>3974.97247936753</v>
      </c>
      <c r="H69" s="84">
        <f t="shared" si="0"/>
        <v>3.8448509958666603</v>
      </c>
      <c r="I69" s="84">
        <f t="shared" si="1"/>
        <v>3.001734022826323</v>
      </c>
      <c r="J69" s="84">
        <f t="shared" si="2"/>
        <v>3974.9645294225716</v>
      </c>
      <c r="L69" s="5">
        <f t="shared" si="20"/>
        <v>10229032.204850996</v>
      </c>
      <c r="M69" s="5">
        <f t="shared" si="21"/>
        <v>924351.57173402281</v>
      </c>
      <c r="N69" s="5">
        <f t="shared" si="22"/>
        <v>3782.9645294225716</v>
      </c>
      <c r="P69" s="5">
        <f t="shared" si="23"/>
        <v>10229032.205573827</v>
      </c>
      <c r="Q69" s="5">
        <f t="shared" si="24"/>
        <v>924351.57229834876</v>
      </c>
      <c r="R69" s="5">
        <f t="shared" si="25"/>
        <v>3782.9645294225716</v>
      </c>
      <c r="T69" s="39">
        <f t="shared" si="26"/>
        <v>9.1703249613140974E-4</v>
      </c>
      <c r="V69" s="5">
        <f t="shared" si="27"/>
        <v>3.8448509965091944</v>
      </c>
      <c r="W69" s="5">
        <f t="shared" si="28"/>
        <v>3.0017340228660032</v>
      </c>
      <c r="X69" s="5">
        <f t="shared" si="29"/>
        <v>3974.9645294225716</v>
      </c>
      <c r="Z69" s="5">
        <f t="shared" si="30"/>
        <v>3.8448509956371408</v>
      </c>
      <c r="AA69" s="5">
        <f t="shared" si="31"/>
        <v>3.0017340228198215</v>
      </c>
      <c r="AB69" s="5">
        <f t="shared" si="32"/>
        <v>3974.9645294225716</v>
      </c>
      <c r="AC69" s="84">
        <f t="shared" si="16"/>
        <v>3.8448586853545113</v>
      </c>
      <c r="AD69" s="84">
        <f t="shared" si="17"/>
        <v>3.0017400262998737</v>
      </c>
      <c r="AE69" s="84">
        <f t="shared" si="18"/>
        <v>3974.9724793675296</v>
      </c>
      <c r="AG69" s="22">
        <f t="shared" si="19"/>
        <v>2.2961247189321688E-10</v>
      </c>
    </row>
    <row r="70" spans="1:33" x14ac:dyDescent="0.2">
      <c r="A70" s="32">
        <v>1050</v>
      </c>
      <c r="B70" s="32">
        <v>0.6</v>
      </c>
      <c r="C70" s="32">
        <v>231.8</v>
      </c>
      <c r="D70" s="28">
        <v>3.9757109975156131</v>
      </c>
      <c r="E70" s="28">
        <v>3.0006300026457251</v>
      </c>
      <c r="F70" s="28">
        <v>3999.9721356782438</v>
      </c>
      <c r="H70" s="84">
        <f t="shared" si="0"/>
        <v>3.975703046093618</v>
      </c>
      <c r="I70" s="84">
        <f t="shared" si="1"/>
        <v>3.0006240013857202</v>
      </c>
      <c r="J70" s="84">
        <f t="shared" si="2"/>
        <v>3999.9641357339729</v>
      </c>
      <c r="L70" s="5">
        <f t="shared" si="20"/>
        <v>10229032.335703045</v>
      </c>
      <c r="M70" s="5">
        <f t="shared" si="21"/>
        <v>924351.57062400132</v>
      </c>
      <c r="N70" s="5">
        <f t="shared" si="22"/>
        <v>3807.9641357339729</v>
      </c>
      <c r="P70" s="5">
        <f t="shared" si="23"/>
        <v>10229032.336450478</v>
      </c>
      <c r="Q70" s="5">
        <f t="shared" si="24"/>
        <v>924351.57118811866</v>
      </c>
      <c r="R70" s="5">
        <f t="shared" si="25"/>
        <v>3807.9641357339729</v>
      </c>
      <c r="T70" s="39">
        <f t="shared" si="26"/>
        <v>9.3642103488510142E-4</v>
      </c>
      <c r="V70" s="5">
        <f t="shared" si="27"/>
        <v>3.9757030457258224</v>
      </c>
      <c r="W70" s="5">
        <f t="shared" si="28"/>
        <v>3.0006240013753995</v>
      </c>
      <c r="X70" s="5">
        <f t="shared" si="29"/>
        <v>3999.9641357339729</v>
      </c>
      <c r="Z70" s="5">
        <f t="shared" si="30"/>
        <v>3.9757030464853407</v>
      </c>
      <c r="AA70" s="5">
        <f t="shared" si="31"/>
        <v>3.0006240013969885</v>
      </c>
      <c r="AB70" s="5">
        <f t="shared" si="32"/>
        <v>3999.9641357339729</v>
      </c>
      <c r="AC70" s="84">
        <f t="shared" si="16"/>
        <v>3.9757109979073357</v>
      </c>
      <c r="AD70" s="84">
        <f t="shared" si="17"/>
        <v>3.0006300026569934</v>
      </c>
      <c r="AE70" s="84">
        <f t="shared" si="18"/>
        <v>3999.9721356782438</v>
      </c>
      <c r="AG70" s="22">
        <f t="shared" si="19"/>
        <v>3.9188469341052579E-10</v>
      </c>
    </row>
    <row r="71" spans="1:33" x14ac:dyDescent="0.2">
      <c r="A71" s="32">
        <v>1080</v>
      </c>
      <c r="B71" s="32">
        <v>1</v>
      </c>
      <c r="C71" s="32">
        <v>245</v>
      </c>
      <c r="D71" s="28">
        <v>4.1206638207063611</v>
      </c>
      <c r="E71" s="28">
        <v>2.9759545768847451</v>
      </c>
      <c r="F71" s="28">
        <v>4024.9717005558387</v>
      </c>
      <c r="H71" s="84">
        <f t="shared" si="0"/>
        <v>4.1206555793787203</v>
      </c>
      <c r="I71" s="84">
        <f t="shared" si="1"/>
        <v>2.9759486249755915</v>
      </c>
      <c r="J71" s="84">
        <f t="shared" si="2"/>
        <v>4024.9636506124384</v>
      </c>
      <c r="L71" s="5">
        <f t="shared" si="20"/>
        <v>10229032.480655579</v>
      </c>
      <c r="M71" s="5">
        <f t="shared" si="21"/>
        <v>924351.54594862496</v>
      </c>
      <c r="N71" s="5">
        <f t="shared" si="22"/>
        <v>3832.9636506124384</v>
      </c>
      <c r="P71" s="5">
        <f t="shared" si="23"/>
        <v>10229032.481430262</v>
      </c>
      <c r="Q71" s="5">
        <f t="shared" si="24"/>
        <v>924351.54650810326</v>
      </c>
      <c r="R71" s="5">
        <f t="shared" si="25"/>
        <v>3832.9636506124384</v>
      </c>
      <c r="T71" s="39">
        <f t="shared" si="26"/>
        <v>9.5558902555885285E-4</v>
      </c>
      <c r="V71" s="5">
        <f t="shared" si="27"/>
        <v>4.1206555794924498</v>
      </c>
      <c r="W71" s="5">
        <f t="shared" si="28"/>
        <v>2.9759486250113696</v>
      </c>
      <c r="X71" s="5">
        <f t="shared" si="29"/>
        <v>4024.9636506124384</v>
      </c>
      <c r="Z71" s="5">
        <f t="shared" si="30"/>
        <v>4.1206555796742617</v>
      </c>
      <c r="AA71" s="5">
        <f t="shared" si="31"/>
        <v>2.9759486249695675</v>
      </c>
      <c r="AB71" s="5">
        <f t="shared" si="32"/>
        <v>4024.9636506124384</v>
      </c>
      <c r="AC71" s="84">
        <f t="shared" si="16"/>
        <v>4.1206638210019033</v>
      </c>
      <c r="AD71" s="84">
        <f t="shared" si="17"/>
        <v>2.9759545768787206</v>
      </c>
      <c r="AE71" s="84">
        <f t="shared" si="18"/>
        <v>4024.9717005558391</v>
      </c>
      <c r="AG71" s="22">
        <f t="shared" si="19"/>
        <v>2.9560400443263857E-10</v>
      </c>
    </row>
    <row r="72" spans="1:33" x14ac:dyDescent="0.2">
      <c r="A72" s="32">
        <v>1110</v>
      </c>
      <c r="B72" s="32">
        <v>0.9</v>
      </c>
      <c r="C72" s="32">
        <v>251.1</v>
      </c>
      <c r="D72" s="28">
        <v>4.2656321871118603</v>
      </c>
      <c r="E72" s="28">
        <v>2.9518443788337065</v>
      </c>
      <c r="F72" s="28">
        <v>4049.9712657410178</v>
      </c>
      <c r="H72" s="84">
        <f t="shared" si="0"/>
        <v>4.2656236558474863</v>
      </c>
      <c r="I72" s="84">
        <f t="shared" si="1"/>
        <v>2.9518384751449491</v>
      </c>
      <c r="J72" s="84">
        <f t="shared" si="2"/>
        <v>4049.9631657984864</v>
      </c>
      <c r="L72" s="5">
        <f t="shared" si="20"/>
        <v>10229032.625623655</v>
      </c>
      <c r="M72" s="5">
        <f t="shared" si="21"/>
        <v>924351.52183847514</v>
      </c>
      <c r="N72" s="5">
        <f t="shared" si="22"/>
        <v>3857.9631657984864</v>
      </c>
      <c r="P72" s="5">
        <f t="shared" si="23"/>
        <v>10229032.626425592</v>
      </c>
      <c r="Q72" s="5">
        <f t="shared" si="24"/>
        <v>924351.52239342069</v>
      </c>
      <c r="R72" s="5">
        <f t="shared" si="25"/>
        <v>3857.9631657984864</v>
      </c>
      <c r="T72" s="39">
        <f t="shared" si="26"/>
        <v>9.752274444323367E-4</v>
      </c>
      <c r="V72" s="5">
        <f t="shared" si="27"/>
        <v>4.2656236551702023</v>
      </c>
      <c r="W72" s="5">
        <f t="shared" si="28"/>
        <v>2.9518384751863778</v>
      </c>
      <c r="X72" s="5">
        <f t="shared" si="29"/>
        <v>4049.9631657984864</v>
      </c>
      <c r="Z72" s="5">
        <f t="shared" si="30"/>
        <v>4.265623655577568</v>
      </c>
      <c r="AA72" s="5">
        <f t="shared" si="31"/>
        <v>2.9518384751057791</v>
      </c>
      <c r="AB72" s="5">
        <f t="shared" si="32"/>
        <v>4049.9631657984864</v>
      </c>
      <c r="AC72" s="84">
        <f t="shared" si="16"/>
        <v>4.2656321868419411</v>
      </c>
      <c r="AD72" s="84">
        <f t="shared" si="17"/>
        <v>2.9518443787945365</v>
      </c>
      <c r="AE72" s="84">
        <f t="shared" si="18"/>
        <v>4049.9712657410173</v>
      </c>
      <c r="AG72" s="22">
        <f t="shared" si="19"/>
        <v>2.7274689594064527E-10</v>
      </c>
    </row>
    <row r="73" spans="1:33" x14ac:dyDescent="0.2">
      <c r="A73" s="32">
        <v>1140</v>
      </c>
      <c r="B73" s="32">
        <v>0.8</v>
      </c>
      <c r="C73" s="32">
        <v>255</v>
      </c>
      <c r="D73" s="28">
        <v>4.4092672153971053</v>
      </c>
      <c r="E73" s="28">
        <v>2.9570735824620717</v>
      </c>
      <c r="F73" s="28">
        <v>4074.9708520740796</v>
      </c>
      <c r="H73" s="84">
        <f t="shared" si="0"/>
        <v>4.4092583968626755</v>
      </c>
      <c r="I73" s="84">
        <f t="shared" si="1"/>
        <v>2.9570676683149073</v>
      </c>
      <c r="J73" s="84">
        <f t="shared" si="2"/>
        <v>4074.9627021323759</v>
      </c>
      <c r="L73" s="5">
        <f t="shared" si="20"/>
        <v>10229032.769258397</v>
      </c>
      <c r="M73" s="5">
        <f t="shared" si="21"/>
        <v>924351.52706766827</v>
      </c>
      <c r="N73" s="5">
        <f t="shared" si="22"/>
        <v>3882.9627021323759</v>
      </c>
      <c r="P73" s="5">
        <f t="shared" si="23"/>
        <v>10229032.770087337</v>
      </c>
      <c r="Q73" s="5">
        <f t="shared" si="24"/>
        <v>924351.52762359695</v>
      </c>
      <c r="R73" s="5">
        <f t="shared" si="25"/>
        <v>3882.9627021323759</v>
      </c>
      <c r="T73" s="39">
        <f t="shared" si="26"/>
        <v>9.9809765028771287E-4</v>
      </c>
      <c r="V73" s="5">
        <f t="shared" si="27"/>
        <v>4.4092583972960711</v>
      </c>
      <c r="W73" s="5">
        <f t="shared" si="28"/>
        <v>2.9570676683215424</v>
      </c>
      <c r="X73" s="5">
        <f t="shared" si="29"/>
        <v>4074.9627021323759</v>
      </c>
      <c r="Z73" s="5">
        <f t="shared" si="30"/>
        <v>4.4092583971387516</v>
      </c>
      <c r="AA73" s="5">
        <f t="shared" si="31"/>
        <v>2.9570676682800201</v>
      </c>
      <c r="AB73" s="5">
        <f t="shared" si="32"/>
        <v>4074.9627021323759</v>
      </c>
      <c r="AC73" s="84">
        <f t="shared" si="16"/>
        <v>4.4092672156731822</v>
      </c>
      <c r="AD73" s="84">
        <f t="shared" si="17"/>
        <v>2.9570735824271845</v>
      </c>
      <c r="AE73" s="84">
        <f t="shared" si="18"/>
        <v>4074.9708520740796</v>
      </c>
      <c r="AG73" s="22">
        <f t="shared" si="19"/>
        <v>2.7827251627741429E-10</v>
      </c>
    </row>
    <row r="74" spans="1:33" x14ac:dyDescent="0.2">
      <c r="A74" s="32">
        <v>1170</v>
      </c>
      <c r="B74" s="32">
        <v>0.9</v>
      </c>
      <c r="C74" s="32">
        <v>253</v>
      </c>
      <c r="D74" s="28">
        <v>4.5503706038172975</v>
      </c>
      <c r="E74" s="28">
        <v>2.9450015626750368</v>
      </c>
      <c r="F74" s="28">
        <v>4099.9704464400675</v>
      </c>
      <c r="H74" s="84">
        <f t="shared" si="0"/>
        <v>4.5503615030760907</v>
      </c>
      <c r="I74" s="84">
        <f t="shared" si="1"/>
        <v>2.944995672671912</v>
      </c>
      <c r="J74" s="84">
        <f t="shared" si="2"/>
        <v>4099.9622464991753</v>
      </c>
      <c r="L74" s="5">
        <f t="shared" si="20"/>
        <v>10229032.910361502</v>
      </c>
      <c r="M74" s="5">
        <f t="shared" si="21"/>
        <v>924351.51499567262</v>
      </c>
      <c r="N74" s="5">
        <f t="shared" si="22"/>
        <v>3907.9622464991753</v>
      </c>
      <c r="P74" s="5">
        <f t="shared" si="23"/>
        <v>10229032.911216971</v>
      </c>
      <c r="Q74" s="5">
        <f t="shared" si="24"/>
        <v>924351.51554933179</v>
      </c>
      <c r="R74" s="5">
        <f t="shared" si="25"/>
        <v>3907.9622464991753</v>
      </c>
      <c r="T74" s="39">
        <f t="shared" si="26"/>
        <v>1.0190016357407524E-3</v>
      </c>
      <c r="V74" s="5">
        <f t="shared" si="27"/>
        <v>4.5503615029156208</v>
      </c>
      <c r="W74" s="5">
        <f t="shared" si="28"/>
        <v>2.9449956726748496</v>
      </c>
      <c r="X74" s="5">
        <f t="shared" si="29"/>
        <v>4099.9622464991753</v>
      </c>
      <c r="Z74" s="5">
        <f t="shared" si="30"/>
        <v>4.5503615031665836</v>
      </c>
      <c r="AA74" s="5">
        <f t="shared" si="31"/>
        <v>2.9449956726518063</v>
      </c>
      <c r="AB74" s="5">
        <f t="shared" si="32"/>
        <v>4099.9622464991753</v>
      </c>
      <c r="AC74" s="84">
        <f t="shared" si="16"/>
        <v>4.5503706039077914</v>
      </c>
      <c r="AD74" s="84">
        <f t="shared" si="17"/>
        <v>2.9450015626549311</v>
      </c>
      <c r="AE74" s="84">
        <f t="shared" si="18"/>
        <v>4099.9704464400675</v>
      </c>
      <c r="AG74" s="22">
        <f t="shared" si="19"/>
        <v>9.2700448090482845E-11</v>
      </c>
    </row>
    <row r="75" spans="1:33" x14ac:dyDescent="0.2">
      <c r="A75" s="32">
        <v>1200</v>
      </c>
      <c r="B75" s="32">
        <v>0.6</v>
      </c>
      <c r="C75" s="32">
        <v>261</v>
      </c>
      <c r="D75" s="28">
        <v>4.6895779748414688</v>
      </c>
      <c r="E75" s="28">
        <v>2.9285988969878711</v>
      </c>
      <c r="F75" s="28">
        <v>4124.9700503733156</v>
      </c>
      <c r="H75" s="84">
        <f t="shared" si="0"/>
        <v>4.68956859568552</v>
      </c>
      <c r="I75" s="84">
        <f t="shared" si="1"/>
        <v>2.9285930397900777</v>
      </c>
      <c r="J75" s="84">
        <f t="shared" si="2"/>
        <v>4124.961800433216</v>
      </c>
      <c r="L75" s="5">
        <f t="shared" si="20"/>
        <v>10229033.049568595</v>
      </c>
      <c r="M75" s="5">
        <f t="shared" si="21"/>
        <v>924351.49859303969</v>
      </c>
      <c r="N75" s="5">
        <f t="shared" si="22"/>
        <v>3932.961800433216</v>
      </c>
      <c r="P75" s="5">
        <f t="shared" si="23"/>
        <v>10229033.050450234</v>
      </c>
      <c r="Q75" s="5">
        <f t="shared" si="24"/>
        <v>924351.49914361525</v>
      </c>
      <c r="R75" s="5">
        <f t="shared" si="25"/>
        <v>3932.961800433216</v>
      </c>
      <c r="T75" s="39">
        <f t="shared" si="26"/>
        <v>1.0394323789768968E-3</v>
      </c>
      <c r="V75" s="5">
        <f t="shared" si="27"/>
        <v>4.6895685959607363</v>
      </c>
      <c r="W75" s="5">
        <f t="shared" si="28"/>
        <v>2.9285930397454649</v>
      </c>
      <c r="X75" s="5">
        <f t="shared" si="29"/>
        <v>4124.961800433216</v>
      </c>
      <c r="Z75" s="5">
        <f t="shared" si="30"/>
        <v>4.6895685954426973</v>
      </c>
      <c r="AA75" s="5">
        <f t="shared" si="31"/>
        <v>2.9285930398083515</v>
      </c>
      <c r="AB75" s="5">
        <f t="shared" si="32"/>
        <v>4124.961800433216</v>
      </c>
      <c r="AC75" s="84">
        <f t="shared" si="16"/>
        <v>4.6895779745986461</v>
      </c>
      <c r="AD75" s="84">
        <f t="shared" si="17"/>
        <v>2.9285988970061454</v>
      </c>
      <c r="AE75" s="84">
        <f t="shared" si="18"/>
        <v>4124.9700503733156</v>
      </c>
      <c r="AG75" s="22">
        <f t="shared" si="19"/>
        <v>2.4350931965378308E-10</v>
      </c>
    </row>
    <row r="76" spans="1:33" x14ac:dyDescent="0.2">
      <c r="A76" s="32">
        <v>1230</v>
      </c>
      <c r="B76" s="32">
        <v>0.8</v>
      </c>
      <c r="C76" s="32">
        <v>274</v>
      </c>
      <c r="D76" s="28">
        <v>4.8279593927895332</v>
      </c>
      <c r="E76" s="28">
        <v>2.9529865331035636</v>
      </c>
      <c r="F76" s="28">
        <v>4149.9696530207693</v>
      </c>
      <c r="H76" s="84">
        <f t="shared" si="0"/>
        <v>4.8279497368707487</v>
      </c>
      <c r="I76" s="84">
        <f t="shared" si="1"/>
        <v>2.9529806271304979</v>
      </c>
      <c r="J76" s="84">
        <f t="shared" si="2"/>
        <v>4149.961353081464</v>
      </c>
      <c r="L76" s="5">
        <f t="shared" si="20"/>
        <v>10229033.187949736</v>
      </c>
      <c r="M76" s="5">
        <f t="shared" si="21"/>
        <v>924351.52298062702</v>
      </c>
      <c r="N76" s="5">
        <f t="shared" si="22"/>
        <v>3957.961353081464</v>
      </c>
      <c r="P76" s="5">
        <f t="shared" si="23"/>
        <v>10229033.188857391</v>
      </c>
      <c r="Q76" s="5">
        <f t="shared" si="24"/>
        <v>924351.52353578748</v>
      </c>
      <c r="R76" s="5">
        <f t="shared" si="25"/>
        <v>3957.961353081464</v>
      </c>
      <c r="T76" s="39">
        <f t="shared" si="26"/>
        <v>1.0639747140936456E-3</v>
      </c>
      <c r="V76" s="5">
        <f t="shared" si="27"/>
        <v>4.8279497362673283</v>
      </c>
      <c r="W76" s="5">
        <f t="shared" si="28"/>
        <v>2.952980627072975</v>
      </c>
      <c r="X76" s="5">
        <f t="shared" si="29"/>
        <v>4149.961353081464</v>
      </c>
      <c r="Z76" s="5">
        <f t="shared" si="30"/>
        <v>4.8279497375220233</v>
      </c>
      <c r="AA76" s="5">
        <f t="shared" si="31"/>
        <v>2.9529806271704726</v>
      </c>
      <c r="AB76" s="5">
        <f t="shared" si="32"/>
        <v>4149.961353081464</v>
      </c>
      <c r="AC76" s="84">
        <f t="shared" si="16"/>
        <v>4.8279593934408096</v>
      </c>
      <c r="AD76" s="84">
        <f t="shared" si="17"/>
        <v>2.9529865331435388</v>
      </c>
      <c r="AE76" s="84">
        <f t="shared" si="18"/>
        <v>4149.9696530207702</v>
      </c>
      <c r="AG76" s="22">
        <f t="shared" si="19"/>
        <v>6.5250267714092954E-10</v>
      </c>
    </row>
    <row r="77" spans="1:33" x14ac:dyDescent="0.2">
      <c r="A77" s="32">
        <v>1260</v>
      </c>
      <c r="B77" s="32">
        <v>1</v>
      </c>
      <c r="C77" s="32">
        <v>278.8</v>
      </c>
      <c r="D77" s="28">
        <v>4.9550150972742868</v>
      </c>
      <c r="E77" s="28">
        <v>2.9925679545193709</v>
      </c>
      <c r="F77" s="28">
        <v>4174.9692980239033</v>
      </c>
      <c r="H77" s="84">
        <f t="shared" si="0"/>
        <v>4.955005187244093</v>
      </c>
      <c r="I77" s="84">
        <f t="shared" si="1"/>
        <v>2.9925619693834622</v>
      </c>
      <c r="J77" s="84">
        <f t="shared" si="2"/>
        <v>4174.9609480853078</v>
      </c>
      <c r="L77" s="5">
        <f t="shared" si="20"/>
        <v>10229033.315005187</v>
      </c>
      <c r="M77" s="5">
        <f t="shared" si="21"/>
        <v>924351.56256196939</v>
      </c>
      <c r="N77" s="5">
        <f t="shared" si="22"/>
        <v>3982.9609480853078</v>
      </c>
      <c r="P77" s="5">
        <f t="shared" si="23"/>
        <v>10229033.315936727</v>
      </c>
      <c r="Q77" s="5">
        <f t="shared" si="24"/>
        <v>924351.563124571</v>
      </c>
      <c r="R77" s="5">
        <f t="shared" si="25"/>
        <v>3982.9609480853078</v>
      </c>
      <c r="T77" s="39">
        <f t="shared" si="26"/>
        <v>1.088250099129634E-3</v>
      </c>
      <c r="V77" s="5">
        <f t="shared" si="27"/>
        <v>4.9550051875412464</v>
      </c>
      <c r="W77" s="5">
        <f t="shared" si="28"/>
        <v>2.9925619694404304</v>
      </c>
      <c r="X77" s="5">
        <f t="shared" si="29"/>
        <v>4174.9609480853078</v>
      </c>
      <c r="Z77" s="5">
        <f t="shared" si="30"/>
        <v>4.9550051870701743</v>
      </c>
      <c r="AA77" s="5">
        <f t="shared" si="31"/>
        <v>2.9925619693965451</v>
      </c>
      <c r="AB77" s="5">
        <f t="shared" si="32"/>
        <v>4174.9609480853078</v>
      </c>
      <c r="AC77" s="84">
        <f t="shared" si="16"/>
        <v>4.9550150971003681</v>
      </c>
      <c r="AD77" s="84">
        <f t="shared" si="17"/>
        <v>2.9925679545324537</v>
      </c>
      <c r="AE77" s="84">
        <f t="shared" si="18"/>
        <v>4174.9692980239033</v>
      </c>
      <c r="AG77" s="22">
        <f t="shared" si="19"/>
        <v>1.7441003634880267E-10</v>
      </c>
    </row>
    <row r="78" spans="1:33" x14ac:dyDescent="0.2">
      <c r="A78" s="32">
        <v>1290</v>
      </c>
      <c r="B78" s="32">
        <v>1.1000000000000001</v>
      </c>
      <c r="C78" s="32">
        <v>270</v>
      </c>
      <c r="D78" s="28">
        <v>5.064186069485995</v>
      </c>
      <c r="E78" s="28">
        <v>3.0443827953455265</v>
      </c>
      <c r="F78" s="28">
        <v>4199.9690038068547</v>
      </c>
      <c r="H78" s="84">
        <f t="shared" si="0"/>
        <v>5.0641759411138567</v>
      </c>
      <c r="I78" s="84">
        <f t="shared" si="1"/>
        <v>3.0443767065799361</v>
      </c>
      <c r="J78" s="84">
        <f t="shared" si="2"/>
        <v>4199.9606038688471</v>
      </c>
      <c r="L78" s="5">
        <f t="shared" si="20"/>
        <v>10229033.42417594</v>
      </c>
      <c r="M78" s="5">
        <f t="shared" si="21"/>
        <v>924351.61437670654</v>
      </c>
      <c r="N78" s="5">
        <f t="shared" si="22"/>
        <v>4007.9606038688471</v>
      </c>
      <c r="P78" s="5">
        <f t="shared" si="23"/>
        <v>10229033.425128005</v>
      </c>
      <c r="Q78" s="5">
        <f t="shared" si="24"/>
        <v>924351.61494904931</v>
      </c>
      <c r="R78" s="5">
        <f t="shared" si="25"/>
        <v>4007.9606038688471</v>
      </c>
      <c r="T78" s="39">
        <f t="shared" si="26"/>
        <v>1.1108573261151447E-3</v>
      </c>
      <c r="V78" s="5">
        <f t="shared" si="27"/>
        <v>5.0641759410500526</v>
      </c>
      <c r="W78" s="5">
        <f t="shared" si="28"/>
        <v>3.044376706588082</v>
      </c>
      <c r="X78" s="5">
        <f t="shared" si="29"/>
        <v>4199.9606038688471</v>
      </c>
      <c r="Z78" s="5">
        <f t="shared" si="30"/>
        <v>5.064175940964148</v>
      </c>
      <c r="AA78" s="5">
        <f t="shared" si="31"/>
        <v>3.0443767065420828</v>
      </c>
      <c r="AB78" s="5">
        <f t="shared" si="32"/>
        <v>4199.9606038688471</v>
      </c>
      <c r="AC78" s="84">
        <f t="shared" si="16"/>
        <v>5.0641860693362863</v>
      </c>
      <c r="AD78" s="84">
        <f t="shared" si="17"/>
        <v>3.0443827953076732</v>
      </c>
      <c r="AE78" s="84">
        <f t="shared" si="18"/>
        <v>4199.9690038068547</v>
      </c>
      <c r="AG78" s="22">
        <f t="shared" si="19"/>
        <v>1.5442008398381923E-10</v>
      </c>
    </row>
    <row r="79" spans="1:33" x14ac:dyDescent="0.2">
      <c r="A79" s="32">
        <v>1320</v>
      </c>
      <c r="B79" s="32">
        <v>0.9</v>
      </c>
      <c r="C79" s="32">
        <v>254</v>
      </c>
      <c r="D79" s="28">
        <v>5.1341488649028868</v>
      </c>
      <c r="E79" s="28">
        <v>3.1223845913495771</v>
      </c>
      <c r="F79" s="28">
        <v>4224.9687769488555</v>
      </c>
      <c r="H79" s="84">
        <f t="shared" si="0"/>
        <v>5.1341385966051574</v>
      </c>
      <c r="I79" s="84">
        <f t="shared" si="1"/>
        <v>3.1223783465803945</v>
      </c>
      <c r="J79" s="84">
        <f t="shared" si="2"/>
        <v>4224.9603270113021</v>
      </c>
      <c r="L79" s="5">
        <f t="shared" si="20"/>
        <v>10229033.494138597</v>
      </c>
      <c r="M79" s="5">
        <f t="shared" si="21"/>
        <v>924351.69237834658</v>
      </c>
      <c r="N79" s="5">
        <f t="shared" si="22"/>
        <v>4032.9603270113021</v>
      </c>
      <c r="P79" s="5">
        <f t="shared" si="23"/>
        <v>10229033.495103814</v>
      </c>
      <c r="Q79" s="5">
        <f t="shared" si="24"/>
        <v>924351.69296535361</v>
      </c>
      <c r="R79" s="5">
        <f t="shared" si="25"/>
        <v>4032.9603270113021</v>
      </c>
      <c r="T79" s="39">
        <f t="shared" si="26"/>
        <v>1.1296996765557577E-3</v>
      </c>
      <c r="V79" s="5">
        <f t="shared" si="27"/>
        <v>5.1341385971754789</v>
      </c>
      <c r="W79" s="5">
        <f t="shared" si="28"/>
        <v>3.1223783466266468</v>
      </c>
      <c r="X79" s="5">
        <f t="shared" si="29"/>
        <v>4224.9603270113021</v>
      </c>
      <c r="Z79" s="5">
        <f t="shared" si="30"/>
        <v>5.1341385962477801</v>
      </c>
      <c r="AA79" s="5">
        <f t="shared" si="31"/>
        <v>3.1223783465283441</v>
      </c>
      <c r="AB79" s="5">
        <f t="shared" si="32"/>
        <v>4224.9603270113021</v>
      </c>
      <c r="AC79" s="84">
        <f t="shared" si="16"/>
        <v>5.1341488645455087</v>
      </c>
      <c r="AD79" s="84">
        <f t="shared" si="17"/>
        <v>3.1223845912975263</v>
      </c>
      <c r="AE79" s="84">
        <f t="shared" si="18"/>
        <v>4224.9687769488555</v>
      </c>
      <c r="AG79" s="22">
        <f t="shared" si="19"/>
        <v>3.6114873992330574E-10</v>
      </c>
    </row>
    <row r="80" spans="1:33" x14ac:dyDescent="0.2">
      <c r="A80" s="32">
        <v>1350</v>
      </c>
      <c r="B80" s="32">
        <v>1.2</v>
      </c>
      <c r="C80" s="32">
        <v>258</v>
      </c>
      <c r="D80" s="28">
        <v>5.1529736611247774</v>
      </c>
      <c r="E80" s="28">
        <v>3.1947187225754186</v>
      </c>
      <c r="F80" s="28">
        <v>4249.9686610200515</v>
      </c>
      <c r="H80" s="84">
        <f t="shared" si="0"/>
        <v>5.1529633551774552</v>
      </c>
      <c r="I80" s="84">
        <f t="shared" si="1"/>
        <v>3.1947123331379736</v>
      </c>
      <c r="J80" s="84">
        <f t="shared" si="2"/>
        <v>4249.9601610827303</v>
      </c>
      <c r="L80" s="5">
        <f t="shared" si="20"/>
        <v>10229033.512963355</v>
      </c>
      <c r="M80" s="5">
        <f t="shared" si="21"/>
        <v>924351.7647123331</v>
      </c>
      <c r="N80" s="5">
        <f t="shared" si="22"/>
        <v>4057.9601610827303</v>
      </c>
      <c r="P80" s="5">
        <f t="shared" si="23"/>
        <v>10229033.513932113</v>
      </c>
      <c r="Q80" s="5">
        <f t="shared" si="24"/>
        <v>924351.76531293895</v>
      </c>
      <c r="R80" s="5">
        <f t="shared" si="25"/>
        <v>4057.9601610827303</v>
      </c>
      <c r="T80" s="39">
        <f t="shared" si="26"/>
        <v>1.1398330960368478E-3</v>
      </c>
      <c r="V80" s="5">
        <f t="shared" si="27"/>
        <v>5.1529633551836014</v>
      </c>
      <c r="W80" s="5">
        <f t="shared" si="28"/>
        <v>3.1947123331483454</v>
      </c>
      <c r="X80" s="5">
        <f t="shared" si="29"/>
        <v>4249.9601610827303</v>
      </c>
      <c r="Z80" s="5">
        <f t="shared" si="30"/>
        <v>5.1529633560894812</v>
      </c>
      <c r="AA80" s="5">
        <f t="shared" si="31"/>
        <v>3.1947123330835585</v>
      </c>
      <c r="AB80" s="5">
        <f t="shared" si="32"/>
        <v>4249.9601610827303</v>
      </c>
      <c r="AC80" s="84">
        <f t="shared" si="16"/>
        <v>5.1529736620368043</v>
      </c>
      <c r="AD80" s="84">
        <f t="shared" si="17"/>
        <v>3.194718722521003</v>
      </c>
      <c r="AE80" s="84">
        <f t="shared" si="18"/>
        <v>4249.9686610200515</v>
      </c>
      <c r="AG80" s="22">
        <f t="shared" si="19"/>
        <v>9.1364879422093561E-10</v>
      </c>
    </row>
    <row r="81" spans="1:33" x14ac:dyDescent="0.2">
      <c r="A81" s="32">
        <v>1380</v>
      </c>
      <c r="B81" s="32">
        <v>1</v>
      </c>
      <c r="C81" s="32">
        <v>249</v>
      </c>
      <c r="D81" s="28">
        <v>5.1121918011891854</v>
      </c>
      <c r="E81" s="28">
        <v>3.2490281950805713</v>
      </c>
      <c r="F81" s="28">
        <v>4274.9685580768801</v>
      </c>
      <c r="H81" s="84">
        <f t="shared" si="0"/>
        <v>5.1121815768055843</v>
      </c>
      <c r="I81" s="84">
        <f t="shared" si="1"/>
        <v>3.2490216970241814</v>
      </c>
      <c r="J81" s="84">
        <f t="shared" si="2"/>
        <v>4274.9600081397648</v>
      </c>
      <c r="L81" s="5">
        <f t="shared" si="20"/>
        <v>10229033.472181575</v>
      </c>
      <c r="M81" s="5">
        <f t="shared" si="21"/>
        <v>924351.81902169692</v>
      </c>
      <c r="N81" s="5">
        <f t="shared" si="22"/>
        <v>4082.9600081397648</v>
      </c>
      <c r="P81" s="5">
        <f t="shared" si="23"/>
        <v>10229033.473142667</v>
      </c>
      <c r="Q81" s="5">
        <f t="shared" si="24"/>
        <v>924351.8196325131</v>
      </c>
      <c r="R81" s="5">
        <f t="shared" si="25"/>
        <v>4082.9600081397648</v>
      </c>
      <c r="T81" s="39">
        <f t="shared" si="26"/>
        <v>1.1387682034727296E-3</v>
      </c>
      <c r="V81" s="5">
        <f t="shared" si="27"/>
        <v>5.1121815759688616</v>
      </c>
      <c r="W81" s="5">
        <f t="shared" si="28"/>
        <v>3.2490216969745234</v>
      </c>
      <c r="X81" s="5">
        <f t="shared" si="29"/>
        <v>4274.9600081397648</v>
      </c>
      <c r="Z81" s="5">
        <f t="shared" si="30"/>
        <v>5.1121815772017376</v>
      </c>
      <c r="AA81" s="5">
        <f t="shared" si="31"/>
        <v>3.2490216970715231</v>
      </c>
      <c r="AB81" s="5">
        <f t="shared" si="32"/>
        <v>4274.9600081397648</v>
      </c>
      <c r="AC81" s="84">
        <f t="shared" si="16"/>
        <v>5.1121918015853405</v>
      </c>
      <c r="AD81" s="84">
        <f t="shared" si="17"/>
        <v>3.249028195127913</v>
      </c>
      <c r="AE81" s="84">
        <f t="shared" si="18"/>
        <v>4274.968558076881</v>
      </c>
      <c r="AG81" s="22">
        <f t="shared" si="19"/>
        <v>3.9897485207558585E-10</v>
      </c>
    </row>
    <row r="82" spans="1:33" x14ac:dyDescent="0.2">
      <c r="A82" s="32">
        <v>1410</v>
      </c>
      <c r="B82" s="32">
        <v>1.1000000000000001</v>
      </c>
      <c r="C82" s="32">
        <v>240</v>
      </c>
      <c r="D82" s="28">
        <v>5.0111567327671542</v>
      </c>
      <c r="E82" s="28">
        <v>3.2821906476101512</v>
      </c>
      <c r="F82" s="28">
        <v>4299.9683268353938</v>
      </c>
      <c r="H82" s="84">
        <f t="shared" si="0"/>
        <v>5.0111467104536889</v>
      </c>
      <c r="I82" s="84">
        <f t="shared" si="1"/>
        <v>3.2821840832288562</v>
      </c>
      <c r="J82" s="84">
        <f t="shared" si="2"/>
        <v>4299.9597268987409</v>
      </c>
      <c r="L82" s="5">
        <f t="shared" si="20"/>
        <v>10229033.371146711</v>
      </c>
      <c r="M82" s="5">
        <f t="shared" si="21"/>
        <v>924351.8521840832</v>
      </c>
      <c r="N82" s="5">
        <f t="shared" si="22"/>
        <v>4107.9597268987409</v>
      </c>
      <c r="P82" s="5">
        <f t="shared" si="23"/>
        <v>10229033.372088805</v>
      </c>
      <c r="Q82" s="5">
        <f t="shared" si="24"/>
        <v>924351.85280113376</v>
      </c>
      <c r="R82" s="5">
        <f t="shared" si="25"/>
        <v>4107.9597268987409</v>
      </c>
      <c r="T82" s="39">
        <f t="shared" si="26"/>
        <v>1.1261851443981972E-3</v>
      </c>
      <c r="V82" s="5">
        <f t="shared" si="27"/>
        <v>5.0111467111855745</v>
      </c>
      <c r="W82" s="5">
        <f t="shared" si="28"/>
        <v>3.2821840832475573</v>
      </c>
      <c r="X82" s="5">
        <f t="shared" si="29"/>
        <v>4299.9597268987409</v>
      </c>
      <c r="Z82" s="5">
        <f t="shared" si="30"/>
        <v>5.0111467098556348</v>
      </c>
      <c r="AA82" s="5">
        <f t="shared" si="31"/>
        <v>3.2821840832056934</v>
      </c>
      <c r="AB82" s="5">
        <f t="shared" si="32"/>
        <v>4299.9597268987409</v>
      </c>
      <c r="AC82" s="84">
        <f t="shared" si="16"/>
        <v>5.0111567321690984</v>
      </c>
      <c r="AD82" s="84">
        <f t="shared" si="17"/>
        <v>3.2821906475869884</v>
      </c>
      <c r="AE82" s="84">
        <f t="shared" si="18"/>
        <v>4299.9683268353938</v>
      </c>
      <c r="AG82" s="22">
        <f t="shared" si="19"/>
        <v>5.9850420871062973E-10</v>
      </c>
    </row>
    <row r="83" spans="1:33" x14ac:dyDescent="0.2">
      <c r="A83" s="32">
        <v>1440</v>
      </c>
      <c r="B83" s="32">
        <v>0.8</v>
      </c>
      <c r="C83" s="32">
        <v>247.5</v>
      </c>
      <c r="D83" s="28">
        <v>4.8437796254944923</v>
      </c>
      <c r="E83" s="28">
        <v>3.266816068208128</v>
      </c>
      <c r="F83" s="28">
        <v>4324.9677417362336</v>
      </c>
      <c r="H83" s="84">
        <f t="shared" si="0"/>
        <v>4.8437699379352424</v>
      </c>
      <c r="I83" s="84">
        <f t="shared" si="1"/>
        <v>3.2668095345759922</v>
      </c>
      <c r="J83" s="84">
        <f t="shared" si="2"/>
        <v>4324.9590918007507</v>
      </c>
      <c r="L83" s="5">
        <f t="shared" si="20"/>
        <v>10229033.203769937</v>
      </c>
      <c r="M83" s="5">
        <f t="shared" si="21"/>
        <v>924351.83680953458</v>
      </c>
      <c r="N83" s="5">
        <f t="shared" si="22"/>
        <v>4132.9590918007507</v>
      </c>
      <c r="P83" s="5">
        <f t="shared" si="23"/>
        <v>10229033.204680566</v>
      </c>
      <c r="Q83" s="5">
        <f t="shared" si="24"/>
        <v>924351.83742369467</v>
      </c>
      <c r="R83" s="5">
        <f t="shared" si="25"/>
        <v>4132.9590918007507</v>
      </c>
      <c r="T83" s="39">
        <f t="shared" si="26"/>
        <v>1.0983792784468524E-3</v>
      </c>
      <c r="V83" s="5">
        <f t="shared" si="27"/>
        <v>4.8437699377536774</v>
      </c>
      <c r="W83" s="5">
        <f t="shared" si="28"/>
        <v>3.2668095346307382</v>
      </c>
      <c r="X83" s="5">
        <f t="shared" si="29"/>
        <v>4324.9590918007507</v>
      </c>
      <c r="Z83" s="5">
        <f t="shared" si="30"/>
        <v>4.843769937592417</v>
      </c>
      <c r="AA83" s="5">
        <f t="shared" si="31"/>
        <v>3.2668095345280004</v>
      </c>
      <c r="AB83" s="5">
        <f t="shared" si="32"/>
        <v>4324.9590918007507</v>
      </c>
      <c r="AC83" s="84">
        <f t="shared" si="16"/>
        <v>4.8437796251516669</v>
      </c>
      <c r="AD83" s="84">
        <f t="shared" si="17"/>
        <v>3.2668160681601366</v>
      </c>
      <c r="AE83" s="84">
        <f t="shared" si="18"/>
        <v>4324.9677417362336</v>
      </c>
      <c r="AG83" s="22">
        <f t="shared" si="19"/>
        <v>3.4616813247793517E-10</v>
      </c>
    </row>
    <row r="84" spans="1:33" x14ac:dyDescent="0.2">
      <c r="A84" s="32">
        <v>1470</v>
      </c>
      <c r="B84" s="32">
        <v>0.9</v>
      </c>
      <c r="C84" s="32">
        <v>241</v>
      </c>
      <c r="D84" s="28">
        <v>4.780615841631441</v>
      </c>
      <c r="E84" s="28">
        <v>3.2870612652317281</v>
      </c>
      <c r="F84" s="28">
        <v>4349.9674746666333</v>
      </c>
      <c r="H84" s="84">
        <f t="shared" si="0"/>
        <v>4.7806062803997582</v>
      </c>
      <c r="I84" s="84">
        <f t="shared" si="1"/>
        <v>3.2870546911091982</v>
      </c>
      <c r="J84" s="84">
        <f t="shared" si="2"/>
        <v>4349.9587747316846</v>
      </c>
      <c r="L84" s="5">
        <f t="shared" si="20"/>
        <v>10229033.14060628</v>
      </c>
      <c r="M84" s="5">
        <f t="shared" si="21"/>
        <v>924351.85705469106</v>
      </c>
      <c r="N84" s="5">
        <f t="shared" si="22"/>
        <v>4157.9587747316846</v>
      </c>
      <c r="P84" s="5">
        <f t="shared" si="23"/>
        <v>10229033.141505035</v>
      </c>
      <c r="Q84" s="5">
        <f t="shared" si="24"/>
        <v>924351.85767265735</v>
      </c>
      <c r="R84" s="5">
        <f t="shared" si="25"/>
        <v>4157.9587747316846</v>
      </c>
      <c r="T84" s="39">
        <f t="shared" si="26"/>
        <v>1.0907068760459993E-3</v>
      </c>
      <c r="V84" s="5">
        <f t="shared" si="27"/>
        <v>4.7806062810122967</v>
      </c>
      <c r="W84" s="5">
        <f t="shared" si="28"/>
        <v>3.2870546911144629</v>
      </c>
      <c r="X84" s="5">
        <f t="shared" si="29"/>
        <v>4349.9587747316846</v>
      </c>
      <c r="Z84" s="5">
        <f t="shared" si="30"/>
        <v>4.7806062812556016</v>
      </c>
      <c r="AA84" s="5">
        <f t="shared" si="31"/>
        <v>3.2870546911212326</v>
      </c>
      <c r="AB84" s="5">
        <f t="shared" si="32"/>
        <v>4349.9587747316846</v>
      </c>
      <c r="AC84" s="84">
        <f t="shared" si="16"/>
        <v>4.7806158424872853</v>
      </c>
      <c r="AD84" s="84">
        <f t="shared" si="17"/>
        <v>3.2870612652437625</v>
      </c>
      <c r="AE84" s="84">
        <f t="shared" si="18"/>
        <v>4349.9674746666333</v>
      </c>
      <c r="AG84" s="22">
        <f t="shared" si="19"/>
        <v>8.5592889025165251E-10</v>
      </c>
    </row>
    <row r="85" spans="1:33" x14ac:dyDescent="0.2">
      <c r="A85" s="32">
        <v>1500</v>
      </c>
      <c r="B85" s="32">
        <v>0.9</v>
      </c>
      <c r="C85" s="32">
        <v>235</v>
      </c>
      <c r="D85" s="28">
        <v>4.7859187653611794</v>
      </c>
      <c r="E85" s="28">
        <v>3.3775196282613051</v>
      </c>
      <c r="F85" s="28">
        <v>4374.9672656798875</v>
      </c>
      <c r="H85" s="84">
        <f t="shared" si="0"/>
        <v>4.7859091935236489</v>
      </c>
      <c r="I85" s="84">
        <f t="shared" si="1"/>
        <v>3.3775128732220487</v>
      </c>
      <c r="J85" s="84">
        <f t="shared" si="2"/>
        <v>4374.9585157453566</v>
      </c>
      <c r="L85" s="5">
        <f t="shared" si="20"/>
        <v>10229033.145909192</v>
      </c>
      <c r="M85" s="5">
        <f t="shared" si="21"/>
        <v>924351.94751287322</v>
      </c>
      <c r="N85" s="5">
        <f t="shared" si="22"/>
        <v>4182.9585157453566</v>
      </c>
      <c r="P85" s="5">
        <f t="shared" si="23"/>
        <v>10229033.146808945</v>
      </c>
      <c r="Q85" s="5">
        <f t="shared" si="24"/>
        <v>924351.94814784557</v>
      </c>
      <c r="R85" s="5">
        <f t="shared" si="25"/>
        <v>4182.9585157453566</v>
      </c>
      <c r="T85" s="39">
        <f t="shared" si="26"/>
        <v>1.1012468555248167E-3</v>
      </c>
      <c r="V85" s="5">
        <f t="shared" si="27"/>
        <v>4.7859091926366091</v>
      </c>
      <c r="W85" s="5">
        <f t="shared" si="28"/>
        <v>3.3775128732668236</v>
      </c>
      <c r="X85" s="5">
        <f t="shared" si="29"/>
        <v>4374.9585157453566</v>
      </c>
      <c r="Z85" s="5">
        <f t="shared" si="30"/>
        <v>4.7859091943100598</v>
      </c>
      <c r="AA85" s="5">
        <f t="shared" si="31"/>
        <v>3.3775128732019897</v>
      </c>
      <c r="AB85" s="5">
        <f t="shared" si="32"/>
        <v>4374.9585157453566</v>
      </c>
      <c r="AC85" s="84">
        <f t="shared" si="16"/>
        <v>4.7859187661475922</v>
      </c>
      <c r="AD85" s="84">
        <f t="shared" si="17"/>
        <v>3.3775196282412461</v>
      </c>
      <c r="AE85" s="84">
        <f t="shared" si="18"/>
        <v>4374.9672656798875</v>
      </c>
      <c r="AG85" s="22">
        <f t="shared" si="19"/>
        <v>7.8666849488796898E-10</v>
      </c>
    </row>
    <row r="86" spans="1:33" x14ac:dyDescent="0.2">
      <c r="A86" s="32">
        <v>1530</v>
      </c>
      <c r="B86" s="32">
        <v>0.8</v>
      </c>
      <c r="C86" s="32">
        <v>231.8</v>
      </c>
      <c r="D86" s="28">
        <v>4.6639043870426971</v>
      </c>
      <c r="E86" s="28">
        <v>3.3454372067417384</v>
      </c>
      <c r="F86" s="28">
        <v>4399.9668254350163</v>
      </c>
      <c r="H86" s="84">
        <f t="shared" si="0"/>
        <v>4.6638950592339237</v>
      </c>
      <c r="I86" s="84">
        <f t="shared" si="1"/>
        <v>3.3454305158673256</v>
      </c>
      <c r="J86" s="84">
        <f t="shared" si="2"/>
        <v>4399.9580255013661</v>
      </c>
      <c r="L86" s="5">
        <f t="shared" si="20"/>
        <v>10229033.023895059</v>
      </c>
      <c r="M86" s="5">
        <f t="shared" si="21"/>
        <v>924351.91543051577</v>
      </c>
      <c r="N86" s="5">
        <f t="shared" si="22"/>
        <v>4207.9580255013661</v>
      </c>
      <c r="P86" s="5">
        <f t="shared" si="23"/>
        <v>10229033.024771871</v>
      </c>
      <c r="Q86" s="5">
        <f t="shared" si="24"/>
        <v>924351.91605945677</v>
      </c>
      <c r="R86" s="5">
        <f t="shared" si="25"/>
        <v>4207.9580255013661</v>
      </c>
      <c r="T86" s="39">
        <f t="shared" si="26"/>
        <v>1.0790581637245861E-3</v>
      </c>
      <c r="V86" s="5">
        <f t="shared" si="27"/>
        <v>4.663895059376955</v>
      </c>
      <c r="W86" s="5">
        <f t="shared" si="28"/>
        <v>3.3454305158229545</v>
      </c>
      <c r="X86" s="5">
        <f t="shared" si="29"/>
        <v>4399.9580255013661</v>
      </c>
      <c r="Z86" s="5">
        <f t="shared" si="30"/>
        <v>4.6638950593701161</v>
      </c>
      <c r="AA86" s="5">
        <f t="shared" si="31"/>
        <v>3.3454305158798889</v>
      </c>
      <c r="AB86" s="5">
        <f t="shared" si="32"/>
        <v>4399.9580255013661</v>
      </c>
      <c r="AC86" s="84">
        <f t="shared" si="16"/>
        <v>4.6639043871788903</v>
      </c>
      <c r="AD86" s="84">
        <f t="shared" si="17"/>
        <v>3.3454372067543021</v>
      </c>
      <c r="AE86" s="84">
        <f t="shared" si="18"/>
        <v>4399.9668254350163</v>
      </c>
      <c r="AG86" s="22">
        <f t="shared" si="19"/>
        <v>1.3677154846075361E-10</v>
      </c>
    </row>
    <row r="87" spans="1:33" x14ac:dyDescent="0.2">
      <c r="A87" s="32">
        <v>1560</v>
      </c>
      <c r="B87" s="32">
        <v>1.2</v>
      </c>
      <c r="C87" s="32">
        <v>229.4</v>
      </c>
      <c r="D87" s="28">
        <v>4.3787557130537378</v>
      </c>
      <c r="E87" s="28">
        <v>3.0659730877014022</v>
      </c>
      <c r="F87" s="28">
        <v>4451.9652710719774</v>
      </c>
      <c r="H87" s="84">
        <f t="shared" si="0"/>
        <v>4.3787469555423124</v>
      </c>
      <c r="I87" s="84">
        <f t="shared" si="1"/>
        <v>3.0659669557552274</v>
      </c>
      <c r="J87" s="84">
        <f t="shared" si="2"/>
        <v>4451.9563671414353</v>
      </c>
      <c r="L87" s="5">
        <f t="shared" si="20"/>
        <v>10229032.738746954</v>
      </c>
      <c r="M87" s="5">
        <f t="shared" si="21"/>
        <v>924351.63596695568</v>
      </c>
      <c r="N87" s="5">
        <f t="shared" si="22"/>
        <v>4259.9563671414353</v>
      </c>
      <c r="P87" s="5">
        <f t="shared" si="23"/>
        <v>10229032.739570159</v>
      </c>
      <c r="Q87" s="5">
        <f t="shared" si="24"/>
        <v>924351.63654335751</v>
      </c>
      <c r="R87" s="5">
        <f t="shared" si="25"/>
        <v>4259.9563671414353</v>
      </c>
      <c r="T87" s="39">
        <f t="shared" si="26"/>
        <v>1.0049408409971807E-3</v>
      </c>
      <c r="V87" s="5">
        <f t="shared" si="27"/>
        <v>4.3787469547241926</v>
      </c>
      <c r="W87" s="5">
        <f t="shared" si="28"/>
        <v>3.0659669557353482</v>
      </c>
      <c r="X87" s="5">
        <f t="shared" si="29"/>
        <v>4451.9563671414353</v>
      </c>
      <c r="Z87" s="5">
        <f t="shared" si="30"/>
        <v>4.3787469556334617</v>
      </c>
      <c r="AA87" s="5">
        <f t="shared" si="31"/>
        <v>3.0659669557755191</v>
      </c>
      <c r="AB87" s="5">
        <f t="shared" si="32"/>
        <v>4451.9563671414353</v>
      </c>
      <c r="AC87" s="84">
        <f t="shared" si="16"/>
        <v>4.378755713144888</v>
      </c>
      <c r="AD87" s="84">
        <f t="shared" si="17"/>
        <v>3.0659730877216944</v>
      </c>
      <c r="AE87" s="84">
        <f t="shared" si="18"/>
        <v>4451.9652710719765</v>
      </c>
      <c r="AG87" s="22">
        <f t="shared" si="19"/>
        <v>9.3386078991915594E-11</v>
      </c>
    </row>
    <row r="88" spans="1:33" x14ac:dyDescent="0.2">
      <c r="A88" s="32">
        <v>1590</v>
      </c>
      <c r="B88" s="32">
        <v>1.2</v>
      </c>
      <c r="C88" s="32">
        <v>221.3</v>
      </c>
      <c r="D88" s="28">
        <v>4.1907236896271707</v>
      </c>
      <c r="E88" s="28">
        <v>2.8871777066937914</v>
      </c>
      <c r="F88" s="28">
        <v>4499.9645654535334</v>
      </c>
      <c r="H88" s="84">
        <f t="shared" si="0"/>
        <v>4.1907153081797919</v>
      </c>
      <c r="I88" s="84">
        <f t="shared" si="1"/>
        <v>2.8871719323383784</v>
      </c>
      <c r="J88" s="84">
        <f t="shared" si="2"/>
        <v>4499.955565524403</v>
      </c>
      <c r="L88" s="5">
        <f t="shared" si="20"/>
        <v>10229032.550715307</v>
      </c>
      <c r="M88" s="5">
        <f t="shared" si="21"/>
        <v>924351.45717193233</v>
      </c>
      <c r="N88" s="5">
        <f t="shared" si="22"/>
        <v>4307.955565524403</v>
      </c>
      <c r="P88" s="5">
        <f t="shared" si="23"/>
        <v>10229032.551503163</v>
      </c>
      <c r="Q88" s="5">
        <f t="shared" si="24"/>
        <v>924351.45771472063</v>
      </c>
      <c r="R88" s="5">
        <f t="shared" si="25"/>
        <v>4307.955565524403</v>
      </c>
      <c r="T88" s="39">
        <f t="shared" si="26"/>
        <v>9.5673209747532486E-4</v>
      </c>
      <c r="V88" s="5">
        <f t="shared" si="27"/>
        <v>4.1907153073698282</v>
      </c>
      <c r="W88" s="5">
        <f t="shared" si="28"/>
        <v>2.8871719323797151</v>
      </c>
      <c r="X88" s="5">
        <f t="shared" si="29"/>
        <v>4499.955565524403</v>
      </c>
      <c r="Z88" s="5">
        <f t="shared" si="30"/>
        <v>4.1907153089490317</v>
      </c>
      <c r="AA88" s="5">
        <f t="shared" si="31"/>
        <v>2.887171932357095</v>
      </c>
      <c r="AB88" s="5">
        <f t="shared" si="32"/>
        <v>4499.955565524403</v>
      </c>
      <c r="AC88" s="84">
        <f t="shared" si="16"/>
        <v>4.1907236903964122</v>
      </c>
      <c r="AD88" s="84">
        <f t="shared" si="17"/>
        <v>2.8871777067125084</v>
      </c>
      <c r="AE88" s="84">
        <f t="shared" si="18"/>
        <v>4499.9645654535334</v>
      </c>
      <c r="AG88" s="22">
        <f t="shared" si="19"/>
        <v>7.6946923508984757E-10</v>
      </c>
    </row>
    <row r="89" spans="1:33" x14ac:dyDescent="0.2">
      <c r="A89" s="32">
        <v>1620</v>
      </c>
      <c r="B89" s="32">
        <v>1.1000000000000001</v>
      </c>
      <c r="C89" s="32">
        <v>209.6</v>
      </c>
      <c r="D89" s="28">
        <v>4.1221414949155637</v>
      </c>
      <c r="E89" s="28">
        <v>2.7820686010400153</v>
      </c>
      <c r="F89" s="28">
        <v>4549.9643597930462</v>
      </c>
      <c r="H89" s="84">
        <f t="shared" si="0"/>
        <v>4.1221332506325741</v>
      </c>
      <c r="I89" s="84">
        <f t="shared" si="1"/>
        <v>2.7820630369028136</v>
      </c>
      <c r="J89" s="84">
        <f t="shared" si="2"/>
        <v>4549.9552598643277</v>
      </c>
      <c r="L89" s="5">
        <f t="shared" si="20"/>
        <v>10229032.482133251</v>
      </c>
      <c r="M89" s="5">
        <f t="shared" si="21"/>
        <v>924351.35206303687</v>
      </c>
      <c r="N89" s="5">
        <f t="shared" si="22"/>
        <v>4357.9552598643277</v>
      </c>
      <c r="P89" s="5">
        <f t="shared" si="23"/>
        <v>10229032.482908212</v>
      </c>
      <c r="Q89" s="5">
        <f t="shared" si="24"/>
        <v>924351.35258606472</v>
      </c>
      <c r="R89" s="5">
        <f t="shared" si="25"/>
        <v>4357.9552598643277</v>
      </c>
      <c r="T89" s="39">
        <f t="shared" si="26"/>
        <v>9.349452531722417E-4</v>
      </c>
      <c r="V89" s="5">
        <f t="shared" si="27"/>
        <v>4.1221332512795925</v>
      </c>
      <c r="W89" s="5">
        <f t="shared" si="28"/>
        <v>2.7820630369242281</v>
      </c>
      <c r="X89" s="5">
        <f t="shared" si="29"/>
        <v>4549.9552598643277</v>
      </c>
      <c r="Z89" s="5">
        <f t="shared" si="30"/>
        <v>4.1221332511932856</v>
      </c>
      <c r="AA89" s="5">
        <f t="shared" si="31"/>
        <v>2.7820630369208077</v>
      </c>
      <c r="AB89" s="5">
        <f t="shared" si="32"/>
        <v>4549.9552598643277</v>
      </c>
      <c r="AC89" s="84">
        <f t="shared" si="16"/>
        <v>4.1221414954762761</v>
      </c>
      <c r="AD89" s="84">
        <f t="shared" si="17"/>
        <v>2.7820686010580093</v>
      </c>
      <c r="AE89" s="84">
        <f t="shared" si="18"/>
        <v>4549.9643597930462</v>
      </c>
      <c r="AG89" s="22">
        <f t="shared" si="19"/>
        <v>5.6100101836213205E-10</v>
      </c>
    </row>
    <row r="90" spans="1:33" x14ac:dyDescent="0.2">
      <c r="A90" s="32">
        <v>1650</v>
      </c>
      <c r="B90" s="32">
        <v>1.4</v>
      </c>
      <c r="C90" s="32">
        <v>200.5</v>
      </c>
      <c r="D90" s="28">
        <v>4.1117823587147617</v>
      </c>
      <c r="E90" s="28">
        <v>2.7378327484431058</v>
      </c>
      <c r="F90" s="28">
        <v>4599.964329785962</v>
      </c>
      <c r="H90" s="84">
        <f t="shared" si="0"/>
        <v>4.1117741351500445</v>
      </c>
      <c r="I90" s="84">
        <f t="shared" si="1"/>
        <v>2.7378272727776092</v>
      </c>
      <c r="J90" s="84">
        <f t="shared" si="2"/>
        <v>4599.9551298573033</v>
      </c>
      <c r="L90" s="5">
        <f t="shared" si="20"/>
        <v>10229032.471774135</v>
      </c>
      <c r="M90" s="5">
        <f t="shared" si="21"/>
        <v>924351.30782727269</v>
      </c>
      <c r="N90" s="5">
        <f t="shared" si="22"/>
        <v>4407.9551298573033</v>
      </c>
      <c r="P90" s="5">
        <f t="shared" si="23"/>
        <v>10229032.472547147</v>
      </c>
      <c r="Q90" s="5">
        <f t="shared" si="24"/>
        <v>924351.30834198429</v>
      </c>
      <c r="R90" s="5">
        <f t="shared" si="25"/>
        <v>4407.9551298573033</v>
      </c>
      <c r="T90" s="39">
        <f t="shared" si="26"/>
        <v>9.2869616801825438E-4</v>
      </c>
      <c r="V90" s="5">
        <f t="shared" si="27"/>
        <v>4.1117741353809834</v>
      </c>
      <c r="W90" s="5">
        <f t="shared" si="28"/>
        <v>2.7378272727364674</v>
      </c>
      <c r="X90" s="5">
        <f t="shared" si="29"/>
        <v>4599.9551298573033</v>
      </c>
      <c r="Z90" s="5">
        <f t="shared" si="30"/>
        <v>4.1117741344817924</v>
      </c>
      <c r="AA90" s="5">
        <f t="shared" si="31"/>
        <v>2.7378272728117694</v>
      </c>
      <c r="AB90" s="5">
        <f t="shared" si="32"/>
        <v>4599.9551298573033</v>
      </c>
      <c r="AC90" s="84">
        <f t="shared" si="16"/>
        <v>4.1117823580465078</v>
      </c>
      <c r="AD90" s="84">
        <f t="shared" si="17"/>
        <v>2.737832748477266</v>
      </c>
      <c r="AE90" s="84">
        <f t="shared" si="18"/>
        <v>4599.964329785962</v>
      </c>
      <c r="AG90" s="22">
        <f t="shared" si="19"/>
        <v>6.6912643927175454E-10</v>
      </c>
    </row>
    <row r="91" spans="1:33" x14ac:dyDescent="0.2">
      <c r="A91" s="32">
        <v>1680</v>
      </c>
      <c r="B91" s="32">
        <v>1.3</v>
      </c>
      <c r="C91" s="32">
        <v>195</v>
      </c>
      <c r="D91" s="28">
        <v>4.0034940784760833</v>
      </c>
      <c r="E91" s="28">
        <v>2.7078767283533276</v>
      </c>
      <c r="F91" s="28">
        <v>4649.9641963812855</v>
      </c>
      <c r="H91" s="84">
        <f t="shared" si="0"/>
        <v>4.0034860714879263</v>
      </c>
      <c r="I91" s="84">
        <f t="shared" si="1"/>
        <v>2.7078713125998712</v>
      </c>
      <c r="J91" s="84">
        <f t="shared" si="2"/>
        <v>4649.9548964528931</v>
      </c>
      <c r="L91" s="5">
        <f t="shared" si="20"/>
        <v>10229032.36348607</v>
      </c>
      <c r="M91" s="5">
        <f t="shared" si="21"/>
        <v>924351.27787131257</v>
      </c>
      <c r="N91" s="5">
        <f t="shared" si="22"/>
        <v>4457.9548964528931</v>
      </c>
      <c r="P91" s="5">
        <f t="shared" si="23"/>
        <v>10229032.364238726</v>
      </c>
      <c r="Q91" s="5">
        <f t="shared" si="24"/>
        <v>924351.27838039235</v>
      </c>
      <c r="R91" s="5">
        <f t="shared" si="25"/>
        <v>4457.9548964528931</v>
      </c>
      <c r="T91" s="39">
        <f t="shared" si="26"/>
        <v>9.0865447671075611E-4</v>
      </c>
      <c r="V91" s="5">
        <f t="shared" si="27"/>
        <v>4.0034860707819462</v>
      </c>
      <c r="W91" s="5">
        <f t="shared" si="28"/>
        <v>2.7078713126247749</v>
      </c>
      <c r="X91" s="5">
        <f t="shared" si="29"/>
        <v>4649.9548964528931</v>
      </c>
      <c r="Z91" s="5">
        <f t="shared" si="30"/>
        <v>4.0034860711898181</v>
      </c>
      <c r="AA91" s="5">
        <f t="shared" si="31"/>
        <v>2.7078713125965734</v>
      </c>
      <c r="AB91" s="5">
        <f t="shared" si="32"/>
        <v>4649.9548964528931</v>
      </c>
      <c r="AC91" s="84">
        <f t="shared" si="16"/>
        <v>4.0034940781779742</v>
      </c>
      <c r="AD91" s="84">
        <f t="shared" si="17"/>
        <v>2.7078767283500298</v>
      </c>
      <c r="AE91" s="84">
        <f t="shared" si="18"/>
        <v>4649.9641963812855</v>
      </c>
      <c r="AG91" s="22">
        <f t="shared" si="19"/>
        <v>2.9812733326026981E-10</v>
      </c>
    </row>
    <row r="92" spans="1:33" x14ac:dyDescent="0.2">
      <c r="A92" s="32">
        <v>1710</v>
      </c>
      <c r="B92" s="32">
        <v>1.1000000000000001</v>
      </c>
      <c r="C92" s="32">
        <v>202</v>
      </c>
      <c r="D92" s="28">
        <v>3.8126496848895504</v>
      </c>
      <c r="E92" s="28">
        <v>2.6625718042648114</v>
      </c>
      <c r="F92" s="28">
        <v>4699.9638062354306</v>
      </c>
      <c r="H92" s="84">
        <f t="shared" si="0"/>
        <v>3.8126420595901807</v>
      </c>
      <c r="I92" s="84">
        <f t="shared" si="1"/>
        <v>2.6625664791212031</v>
      </c>
      <c r="J92" s="84">
        <f t="shared" si="2"/>
        <v>4699.9544063078183</v>
      </c>
      <c r="L92" s="5">
        <f t="shared" si="20"/>
        <v>10229032.17264206</v>
      </c>
      <c r="M92" s="5">
        <f t="shared" si="21"/>
        <v>924351.23256647913</v>
      </c>
      <c r="N92" s="5">
        <f t="shared" si="22"/>
        <v>4507.9544063078183</v>
      </c>
      <c r="P92" s="5">
        <f t="shared" si="23"/>
        <v>10229032.173358835</v>
      </c>
      <c r="Q92" s="5">
        <f t="shared" si="24"/>
        <v>924351.23306704161</v>
      </c>
      <c r="R92" s="5">
        <f t="shared" si="25"/>
        <v>4507.9544063078183</v>
      </c>
      <c r="T92" s="39">
        <f t="shared" si="26"/>
        <v>8.7425976770955983E-4</v>
      </c>
      <c r="V92" s="5">
        <f t="shared" si="27"/>
        <v>3.8126420602202415</v>
      </c>
      <c r="W92" s="5">
        <f t="shared" si="28"/>
        <v>2.6625664791790769</v>
      </c>
      <c r="X92" s="5">
        <f t="shared" si="29"/>
        <v>4699.9544063078183</v>
      </c>
      <c r="Z92" s="5">
        <f t="shared" si="30"/>
        <v>3.8126420591688639</v>
      </c>
      <c r="AA92" s="5">
        <f t="shared" si="31"/>
        <v>2.6625664791653696</v>
      </c>
      <c r="AB92" s="5">
        <f t="shared" si="32"/>
        <v>4699.9544063078183</v>
      </c>
      <c r="AC92" s="84">
        <f t="shared" si="16"/>
        <v>3.8126496844682323</v>
      </c>
      <c r="AD92" s="84">
        <f t="shared" si="17"/>
        <v>2.6625718043089779</v>
      </c>
      <c r="AE92" s="84">
        <f t="shared" si="18"/>
        <v>4699.9638062354306</v>
      </c>
      <c r="AG92" s="22">
        <f t="shared" si="19"/>
        <v>4.2362673357602093E-10</v>
      </c>
    </row>
    <row r="93" spans="1:33" x14ac:dyDescent="0.2">
      <c r="A93" s="32">
        <v>1740</v>
      </c>
      <c r="B93" s="32">
        <v>1.4</v>
      </c>
      <c r="C93" s="32">
        <v>198</v>
      </c>
      <c r="D93" s="28">
        <v>3.668373974044985</v>
      </c>
      <c r="E93" s="28">
        <v>2.6476968638316065</v>
      </c>
      <c r="F93" s="28">
        <v>4749.9635653394971</v>
      </c>
      <c r="H93" s="84">
        <f t="shared" si="0"/>
        <v>3.6683666372970372</v>
      </c>
      <c r="I93" s="84">
        <f t="shared" si="1"/>
        <v>2.647691568437879</v>
      </c>
      <c r="J93" s="84">
        <f t="shared" si="2"/>
        <v>4749.9540654123666</v>
      </c>
      <c r="L93" s="5">
        <f t="shared" si="20"/>
        <v>10229032.028366636</v>
      </c>
      <c r="M93" s="5">
        <f t="shared" si="21"/>
        <v>924351.21769156842</v>
      </c>
      <c r="N93" s="5">
        <f t="shared" si="22"/>
        <v>4557.9540654123666</v>
      </c>
      <c r="P93" s="5">
        <f t="shared" si="23"/>
        <v>10229032.02905629</v>
      </c>
      <c r="Q93" s="5">
        <f t="shared" si="24"/>
        <v>924351.21818933438</v>
      </c>
      <c r="R93" s="5">
        <f t="shared" si="25"/>
        <v>4557.9540654123666</v>
      </c>
      <c r="T93" s="39">
        <f t="shared" si="26"/>
        <v>8.5052521681196344E-4</v>
      </c>
      <c r="V93" s="5">
        <f t="shared" si="27"/>
        <v>3.6683666370809078</v>
      </c>
      <c r="W93" s="5">
        <f t="shared" si="28"/>
        <v>2.6476915684761479</v>
      </c>
      <c r="X93" s="5">
        <f t="shared" si="29"/>
        <v>4749.9540654123666</v>
      </c>
      <c r="Z93" s="5">
        <f t="shared" si="30"/>
        <v>3.6683666378327233</v>
      </c>
      <c r="AA93" s="5">
        <f t="shared" si="31"/>
        <v>2.6476915684168008</v>
      </c>
      <c r="AB93" s="5">
        <f t="shared" si="32"/>
        <v>4749.9540654123666</v>
      </c>
      <c r="AC93" s="84">
        <f t="shared" si="16"/>
        <v>3.6683739745806725</v>
      </c>
      <c r="AD93" s="84">
        <f t="shared" si="17"/>
        <v>2.6476968638105283</v>
      </c>
      <c r="AE93" s="84">
        <f t="shared" si="18"/>
        <v>4749.9635653394962</v>
      </c>
      <c r="AG93" s="22">
        <f t="shared" si="19"/>
        <v>5.3610279931309113E-10</v>
      </c>
    </row>
    <row r="94" spans="1:33" x14ac:dyDescent="0.2">
      <c r="A94" s="32">
        <v>1770</v>
      </c>
      <c r="B94" s="32">
        <v>1.1000000000000001</v>
      </c>
      <c r="C94" s="32">
        <v>191.6</v>
      </c>
      <c r="D94" s="28">
        <v>3.6158239441888993</v>
      </c>
      <c r="E94" s="28">
        <v>2.636995887729777</v>
      </c>
      <c r="F94" s="28">
        <v>4799.9635299197835</v>
      </c>
      <c r="H94" s="84">
        <f t="shared" si="0"/>
        <v>3.6158167125410112</v>
      </c>
      <c r="I94" s="84">
        <f t="shared" si="1"/>
        <v>2.6369906137380017</v>
      </c>
      <c r="J94" s="84">
        <f t="shared" si="2"/>
        <v>4799.9539299927237</v>
      </c>
      <c r="L94" s="5">
        <f t="shared" si="20"/>
        <v>10229031.975816712</v>
      </c>
      <c r="M94" s="5">
        <f t="shared" si="21"/>
        <v>924351.20699061372</v>
      </c>
      <c r="N94" s="5">
        <f t="shared" si="22"/>
        <v>4607.9539299927237</v>
      </c>
      <c r="P94" s="5">
        <f t="shared" si="23"/>
        <v>10229031.976496486</v>
      </c>
      <c r="Q94" s="5">
        <f t="shared" si="24"/>
        <v>924351.2074863679</v>
      </c>
      <c r="R94" s="5">
        <f t="shared" si="25"/>
        <v>4607.9539299927237</v>
      </c>
      <c r="T94" s="39">
        <f t="shared" si="26"/>
        <v>8.4134724441993535E-4</v>
      </c>
      <c r="V94" s="5">
        <f t="shared" si="27"/>
        <v>3.6158167123794556</v>
      </c>
      <c r="W94" s="5">
        <f t="shared" si="28"/>
        <v>2.6369906137697399</v>
      </c>
      <c r="X94" s="5">
        <f t="shared" si="29"/>
        <v>4799.9539299927237</v>
      </c>
      <c r="Z94" s="5">
        <f t="shared" si="30"/>
        <v>3.6158167130472596</v>
      </c>
      <c r="AA94" s="5">
        <f t="shared" si="31"/>
        <v>2.6369906137166996</v>
      </c>
      <c r="AB94" s="5">
        <f t="shared" si="32"/>
        <v>4799.9539299927237</v>
      </c>
      <c r="AC94" s="84">
        <f t="shared" si="16"/>
        <v>3.6158239446951481</v>
      </c>
      <c r="AD94" s="84">
        <f t="shared" si="17"/>
        <v>2.6369958877084745</v>
      </c>
      <c r="AE94" s="84">
        <f t="shared" si="18"/>
        <v>4799.9635299197835</v>
      </c>
      <c r="AG94" s="22">
        <f t="shared" si="19"/>
        <v>5.0669681818600276E-10</v>
      </c>
    </row>
    <row r="95" spans="1:33" x14ac:dyDescent="0.2">
      <c r="A95" s="32">
        <v>1800</v>
      </c>
      <c r="B95" s="32">
        <v>5.9</v>
      </c>
      <c r="C95" s="32">
        <v>296.39999999999998</v>
      </c>
      <c r="D95" s="28">
        <v>3.6161505171639048</v>
      </c>
      <c r="E95" s="28">
        <v>2.5827610267680647</v>
      </c>
      <c r="F95" s="28">
        <v>4849.9634940633341</v>
      </c>
      <c r="H95" s="84">
        <f t="shared" si="0"/>
        <v>3.6161432848628712</v>
      </c>
      <c r="I95" s="84">
        <f t="shared" si="1"/>
        <v>2.5827558612460115</v>
      </c>
      <c r="J95" s="84">
        <f t="shared" si="2"/>
        <v>4849.9537941363469</v>
      </c>
      <c r="L95" s="5">
        <f t="shared" si="20"/>
        <v>10229031.976143284</v>
      </c>
      <c r="M95" s="5">
        <f t="shared" si="21"/>
        <v>924351.15275586117</v>
      </c>
      <c r="N95" s="5">
        <f t="shared" si="22"/>
        <v>4657.9537941363469</v>
      </c>
      <c r="P95" s="5">
        <f t="shared" si="23"/>
        <v>10229031.976823119</v>
      </c>
      <c r="Q95" s="5">
        <f t="shared" si="24"/>
        <v>924351.15324141935</v>
      </c>
      <c r="R95" s="5">
        <f t="shared" si="25"/>
        <v>4657.9537941363469</v>
      </c>
      <c r="T95" s="39">
        <f t="shared" si="26"/>
        <v>8.3543000503738128E-4</v>
      </c>
      <c r="V95" s="5">
        <f t="shared" si="27"/>
        <v>3.6161432843655348</v>
      </c>
      <c r="W95" s="5">
        <f t="shared" si="28"/>
        <v>2.5827558612218127</v>
      </c>
      <c r="X95" s="5">
        <f t="shared" si="29"/>
        <v>4849.9537941363469</v>
      </c>
      <c r="Z95" s="5">
        <f t="shared" si="30"/>
        <v>3.6161432851050819</v>
      </c>
      <c r="AA95" s="5">
        <f t="shared" si="31"/>
        <v>2.5827558612990953</v>
      </c>
      <c r="AB95" s="5">
        <f t="shared" si="32"/>
        <v>4849.9537941363469</v>
      </c>
      <c r="AC95" s="84">
        <f t="shared" si="16"/>
        <v>3.6161505174061164</v>
      </c>
      <c r="AD95" s="84">
        <f t="shared" si="17"/>
        <v>2.5827610268211485</v>
      </c>
      <c r="AE95" s="84">
        <f t="shared" si="18"/>
        <v>4849.9634940633341</v>
      </c>
      <c r="AG95" s="22">
        <f t="shared" si="19"/>
        <v>2.4796035372132303E-10</v>
      </c>
    </row>
    <row r="96" spans="1:33" x14ac:dyDescent="0.2">
      <c r="A96" s="32">
        <v>1830</v>
      </c>
      <c r="B96" s="32">
        <v>10.7</v>
      </c>
      <c r="C96" s="32">
        <v>303</v>
      </c>
      <c r="D96" s="28">
        <v>3.6530282475144715</v>
      </c>
      <c r="E96" s="28">
        <v>2.5241321280062428</v>
      </c>
      <c r="F96" s="28">
        <v>4899.9634458349601</v>
      </c>
      <c r="H96" s="84">
        <f t="shared" si="0"/>
        <v>3.6530209414579771</v>
      </c>
      <c r="I96" s="84">
        <f t="shared" si="1"/>
        <v>2.5241270797419872</v>
      </c>
      <c r="J96" s="84">
        <f t="shared" si="2"/>
        <v>4899.9536459080691</v>
      </c>
      <c r="L96" s="5">
        <f t="shared" si="20"/>
        <v>10229032.01302094</v>
      </c>
      <c r="M96" s="5">
        <f t="shared" si="21"/>
        <v>924351.0941270797</v>
      </c>
      <c r="N96" s="5">
        <f t="shared" si="22"/>
        <v>4707.9536459080691</v>
      </c>
      <c r="P96" s="5">
        <f t="shared" si="23"/>
        <v>10229032.013707709</v>
      </c>
      <c r="Q96" s="5">
        <f t="shared" si="24"/>
        <v>924351.09460161556</v>
      </c>
      <c r="R96" s="5">
        <f t="shared" si="25"/>
        <v>4707.9536459080691</v>
      </c>
      <c r="T96" s="39">
        <f t="shared" si="26"/>
        <v>8.3476653982237942E-4</v>
      </c>
      <c r="V96" s="5">
        <f t="shared" si="27"/>
        <v>3.653020940721035</v>
      </c>
      <c r="W96" s="5">
        <f t="shared" si="28"/>
        <v>2.5241270797559991</v>
      </c>
      <c r="X96" s="5">
        <f t="shared" si="29"/>
        <v>4899.9536459080691</v>
      </c>
      <c r="Z96" s="5">
        <f t="shared" si="30"/>
        <v>3.6530209412264765</v>
      </c>
      <c r="AA96" s="5">
        <f t="shared" si="31"/>
        <v>2.5241270797251318</v>
      </c>
      <c r="AB96" s="5">
        <f t="shared" si="32"/>
        <v>4899.9536459080691</v>
      </c>
      <c r="AC96" s="84">
        <f t="shared" si="16"/>
        <v>3.6530282472829705</v>
      </c>
      <c r="AD96" s="84">
        <f t="shared" si="17"/>
        <v>2.5241321279893874</v>
      </c>
      <c r="AE96" s="84">
        <f t="shared" si="18"/>
        <v>4899.9634458349601</v>
      </c>
      <c r="AG96" s="22">
        <f t="shared" si="19"/>
        <v>2.3211384381427852E-10</v>
      </c>
    </row>
    <row r="97" spans="1:33" x14ac:dyDescent="0.2">
      <c r="A97" s="32">
        <v>1860</v>
      </c>
      <c r="B97" s="32">
        <v>15.9</v>
      </c>
      <c r="C97" s="32">
        <v>308</v>
      </c>
      <c r="D97" s="28">
        <v>3.6328995240804476</v>
      </c>
      <c r="E97" s="28">
        <v>2.4942056424454027</v>
      </c>
      <c r="F97" s="28">
        <v>4949.9634209169608</v>
      </c>
      <c r="H97" s="84">
        <f t="shared" si="0"/>
        <v>3.6328922582813998</v>
      </c>
      <c r="I97" s="84">
        <f t="shared" si="1"/>
        <v>2.4942006540341182</v>
      </c>
      <c r="J97" s="84">
        <f t="shared" si="2"/>
        <v>4949.9535209901196</v>
      </c>
      <c r="L97" s="5">
        <f t="shared" si="20"/>
        <v>10229031.992892258</v>
      </c>
      <c r="M97" s="5">
        <f t="shared" si="21"/>
        <v>924351.06420065393</v>
      </c>
      <c r="N97" s="5">
        <f t="shared" si="22"/>
        <v>4757.9535209901196</v>
      </c>
      <c r="P97" s="5">
        <f t="shared" si="23"/>
        <v>10229031.993575241</v>
      </c>
      <c r="Q97" s="5">
        <f t="shared" si="24"/>
        <v>924351.06466956367</v>
      </c>
      <c r="R97" s="5">
        <f t="shared" si="25"/>
        <v>4757.9535209901196</v>
      </c>
      <c r="T97" s="39">
        <f t="shared" si="26"/>
        <v>8.2845812855761292E-4</v>
      </c>
      <c r="V97" s="5">
        <f t="shared" si="27"/>
        <v>3.6328922584652901</v>
      </c>
      <c r="W97" s="5">
        <f t="shared" si="28"/>
        <v>2.4942006539786234</v>
      </c>
      <c r="X97" s="5">
        <f t="shared" si="29"/>
        <v>4949.9535209901196</v>
      </c>
      <c r="Z97" s="5">
        <f t="shared" si="30"/>
        <v>3.6328922582681846</v>
      </c>
      <c r="AA97" s="5">
        <f t="shared" si="31"/>
        <v>2.4942006539961201</v>
      </c>
      <c r="AB97" s="5">
        <f t="shared" si="32"/>
        <v>4949.9535209901196</v>
      </c>
      <c r="AC97" s="84">
        <f t="shared" si="16"/>
        <v>3.6328995240672324</v>
      </c>
      <c r="AD97" s="84">
        <f t="shared" si="17"/>
        <v>2.4942056424074046</v>
      </c>
      <c r="AE97" s="84">
        <f t="shared" si="18"/>
        <v>4949.9634209169617</v>
      </c>
      <c r="AG97" s="22">
        <f t="shared" si="19"/>
        <v>4.0240782897976384E-11</v>
      </c>
    </row>
    <row r="98" spans="1:33" x14ac:dyDescent="0.2">
      <c r="A98" s="32">
        <v>1890</v>
      </c>
      <c r="B98" s="32">
        <v>23.5</v>
      </c>
      <c r="C98" s="32">
        <v>307.10000000000002</v>
      </c>
      <c r="D98" s="28">
        <v>3.5349965314400773</v>
      </c>
      <c r="E98" s="28">
        <v>2.3963981250051143</v>
      </c>
      <c r="F98" s="28">
        <v>4999.9631925906469</v>
      </c>
      <c r="H98" s="84">
        <f t="shared" ref="H98:H161" si="33">D98*F$10/F$20</f>
        <v>3.5349894614470143</v>
      </c>
      <c r="I98" s="84">
        <f t="shared" ref="I98:I161" si="34">E98*F$10/F$20</f>
        <v>2.3963933322088646</v>
      </c>
      <c r="J98" s="84">
        <f t="shared" ref="J98:J161" si="35">F98*F$10/F$14</f>
        <v>4999.9531926642621</v>
      </c>
      <c r="L98" s="5">
        <f t="shared" si="20"/>
        <v>10229031.894989461</v>
      </c>
      <c r="M98" s="5">
        <f t="shared" si="21"/>
        <v>924350.96639333211</v>
      </c>
      <c r="N98" s="5">
        <f t="shared" si="22"/>
        <v>4807.9531926642621</v>
      </c>
      <c r="P98" s="5">
        <f t="shared" si="23"/>
        <v>10229031.895654039</v>
      </c>
      <c r="Q98" s="5">
        <f t="shared" si="24"/>
        <v>924350.96684385405</v>
      </c>
      <c r="R98" s="5">
        <f t="shared" si="25"/>
        <v>4807.9531926642621</v>
      </c>
      <c r="T98" s="39">
        <f t="shared" si="26"/>
        <v>8.0289160829585154E-4</v>
      </c>
      <c r="V98" s="5">
        <f t="shared" si="27"/>
        <v>3.5349894613027573</v>
      </c>
      <c r="W98" s="5">
        <f t="shared" si="28"/>
        <v>2.3963933321647346</v>
      </c>
      <c r="X98" s="5">
        <f t="shared" si="29"/>
        <v>4999.9531926642621</v>
      </c>
      <c r="Z98" s="5">
        <f t="shared" si="30"/>
        <v>3.5349894620346238</v>
      </c>
      <c r="AA98" s="5">
        <f t="shared" si="31"/>
        <v>2.3963933321586541</v>
      </c>
      <c r="AB98" s="5">
        <f t="shared" si="32"/>
        <v>4999.9531926642621</v>
      </c>
      <c r="AC98" s="84">
        <f t="shared" si="16"/>
        <v>3.5349965320276873</v>
      </c>
      <c r="AD98" s="84">
        <f t="shared" si="17"/>
        <v>2.3963981249549038</v>
      </c>
      <c r="AE98" s="84">
        <f t="shared" si="18"/>
        <v>4999.9631925906469</v>
      </c>
      <c r="AG98" s="22">
        <f t="shared" si="19"/>
        <v>5.8975126999008968E-10</v>
      </c>
    </row>
    <row r="99" spans="1:33" x14ac:dyDescent="0.2">
      <c r="A99" s="32">
        <v>1920</v>
      </c>
      <c r="B99" s="32">
        <v>29.6</v>
      </c>
      <c r="C99" s="32">
        <v>307.5</v>
      </c>
      <c r="D99" s="28">
        <v>3.3701086066005597</v>
      </c>
      <c r="E99" s="28">
        <v>2.1830810319236775</v>
      </c>
      <c r="F99" s="28">
        <v>5049.9624599635863</v>
      </c>
      <c r="H99" s="84">
        <f t="shared" si="33"/>
        <v>3.3701018663833469</v>
      </c>
      <c r="I99" s="84">
        <f t="shared" si="34"/>
        <v>2.1830766657616141</v>
      </c>
      <c r="J99" s="84">
        <f t="shared" si="35"/>
        <v>5049.9523600386674</v>
      </c>
      <c r="L99" s="5">
        <f t="shared" si="20"/>
        <v>10229031.730101867</v>
      </c>
      <c r="M99" s="5">
        <f t="shared" si="21"/>
        <v>924350.75307666569</v>
      </c>
      <c r="N99" s="5">
        <f t="shared" si="22"/>
        <v>4857.9523600386674</v>
      </c>
      <c r="P99" s="5">
        <f t="shared" si="23"/>
        <v>10229031.730735445</v>
      </c>
      <c r="Q99" s="5">
        <f t="shared" si="24"/>
        <v>924350.75348708418</v>
      </c>
      <c r="R99" s="5">
        <f t="shared" si="25"/>
        <v>4857.9523600386674</v>
      </c>
      <c r="T99" s="39">
        <f t="shared" si="26"/>
        <v>7.5489427585427376E-4</v>
      </c>
      <c r="V99" s="5">
        <f t="shared" si="27"/>
        <v>3.3701018672436476</v>
      </c>
      <c r="W99" s="5">
        <f t="shared" si="28"/>
        <v>2.1830766657367349</v>
      </c>
      <c r="X99" s="5">
        <f t="shared" si="29"/>
        <v>5049.9523600386674</v>
      </c>
      <c r="Z99" s="5">
        <f t="shared" si="30"/>
        <v>3.3701018668401921</v>
      </c>
      <c r="AA99" s="5">
        <f t="shared" si="31"/>
        <v>2.183076665815372</v>
      </c>
      <c r="AB99" s="5">
        <f t="shared" si="32"/>
        <v>5049.9523600386674</v>
      </c>
      <c r="AC99" s="84">
        <f t="shared" ref="AC99:AC162" si="36">Z99*F$20/F$10</f>
        <v>3.3701086070574058</v>
      </c>
      <c r="AD99" s="84">
        <f t="shared" ref="AD99:AD162" si="37">AA99*F$20/F$10</f>
        <v>2.1830810319774354</v>
      </c>
      <c r="AE99" s="84">
        <f t="shared" ref="AE99:AE162" si="38">AB99*F$14/F$10</f>
        <v>5049.9624599635872</v>
      </c>
      <c r="AG99" s="22">
        <f t="shared" ref="AG99:AG150" si="39">SQRT(SUMSQ(AC99-D99,AD99-E99,AE99-F99))</f>
        <v>4.5999903451273081E-10</v>
      </c>
    </row>
    <row r="100" spans="1:33" x14ac:dyDescent="0.2">
      <c r="A100" s="32">
        <v>1950</v>
      </c>
      <c r="B100" s="32">
        <v>31.1</v>
      </c>
      <c r="C100" s="32">
        <v>308.2</v>
      </c>
      <c r="D100" s="28">
        <v>3.26825894841497</v>
      </c>
      <c r="E100" s="28">
        <v>2.0692883551700807</v>
      </c>
      <c r="F100" s="28">
        <v>5099.9621490005502</v>
      </c>
      <c r="H100" s="84">
        <f t="shared" si="33"/>
        <v>3.2682524118970737</v>
      </c>
      <c r="I100" s="84">
        <f t="shared" si="34"/>
        <v>2.0692842165933705</v>
      </c>
      <c r="J100" s="84">
        <f t="shared" si="35"/>
        <v>5099.9519490762532</v>
      </c>
      <c r="L100" s="5">
        <f t="shared" si="20"/>
        <v>10229031.628252411</v>
      </c>
      <c r="M100" s="5">
        <f t="shared" si="21"/>
        <v>924350.63928421657</v>
      </c>
      <c r="N100" s="5">
        <f t="shared" si="22"/>
        <v>4907.9519490762532</v>
      </c>
      <c r="P100" s="5">
        <f t="shared" si="23"/>
        <v>10229031.628866842</v>
      </c>
      <c r="Q100" s="5">
        <f t="shared" si="24"/>
        <v>924350.639673242</v>
      </c>
      <c r="R100" s="5">
        <f t="shared" si="25"/>
        <v>4907.9519490762532</v>
      </c>
      <c r="T100" s="39">
        <f t="shared" si="26"/>
        <v>7.2723169519167371E-4</v>
      </c>
      <c r="V100" s="5">
        <f t="shared" si="27"/>
        <v>3.2682524118572474</v>
      </c>
      <c r="W100" s="5">
        <f t="shared" si="28"/>
        <v>2.0692842166172341</v>
      </c>
      <c r="X100" s="5">
        <f t="shared" si="29"/>
        <v>5099.9519490762532</v>
      </c>
      <c r="Z100" s="5">
        <f t="shared" si="30"/>
        <v>3.2682524111593261</v>
      </c>
      <c r="AA100" s="5">
        <f t="shared" si="31"/>
        <v>2.0692842166147054</v>
      </c>
      <c r="AB100" s="5">
        <f t="shared" si="32"/>
        <v>5099.9519490762532</v>
      </c>
      <c r="AC100" s="84">
        <f t="shared" si="36"/>
        <v>3.268258947677221</v>
      </c>
      <c r="AD100" s="84">
        <f t="shared" si="37"/>
        <v>2.0692883551914156</v>
      </c>
      <c r="AE100" s="84">
        <f t="shared" si="38"/>
        <v>5099.9621490005502</v>
      </c>
      <c r="AG100" s="22">
        <f t="shared" si="39"/>
        <v>7.3805740061176265E-10</v>
      </c>
    </row>
    <row r="101" spans="1:33" x14ac:dyDescent="0.2">
      <c r="A101" s="32">
        <v>1980</v>
      </c>
      <c r="B101" s="32">
        <v>31.6</v>
      </c>
      <c r="C101" s="32">
        <v>309.10000000000002</v>
      </c>
      <c r="D101" s="28">
        <v>3.1570906270699046</v>
      </c>
      <c r="E101" s="28">
        <v>2.1082843056055092</v>
      </c>
      <c r="F101" s="28">
        <v>5149.9619639456732</v>
      </c>
      <c r="H101" s="84">
        <f t="shared" si="33"/>
        <v>3.1570843128886508</v>
      </c>
      <c r="I101" s="84">
        <f t="shared" si="34"/>
        <v>2.1082800890368985</v>
      </c>
      <c r="J101" s="84">
        <f t="shared" si="35"/>
        <v>5149.9516640217462</v>
      </c>
      <c r="L101" s="5">
        <f t="shared" si="20"/>
        <v>10229031.517084312</v>
      </c>
      <c r="M101" s="5">
        <f t="shared" si="21"/>
        <v>924350.67828008893</v>
      </c>
      <c r="N101" s="5">
        <f t="shared" si="22"/>
        <v>4957.9516640217462</v>
      </c>
      <c r="P101" s="5">
        <f t="shared" si="23"/>
        <v>10229031.517677844</v>
      </c>
      <c r="Q101" s="5">
        <f t="shared" si="24"/>
        <v>924350.67867644562</v>
      </c>
      <c r="R101" s="5">
        <f t="shared" si="25"/>
        <v>4957.9516640217462</v>
      </c>
      <c r="T101" s="39">
        <f t="shared" si="26"/>
        <v>7.1370772070494977E-4</v>
      </c>
      <c r="V101" s="5">
        <f t="shared" si="27"/>
        <v>3.1570843122899532</v>
      </c>
      <c r="W101" s="5">
        <f t="shared" si="28"/>
        <v>2.1082800889853388</v>
      </c>
      <c r="X101" s="5">
        <f t="shared" si="29"/>
        <v>5149.9516640217462</v>
      </c>
      <c r="Z101" s="5">
        <f t="shared" si="30"/>
        <v>3.1570843123160399</v>
      </c>
      <c r="AA101" s="5">
        <f t="shared" si="31"/>
        <v>2.1082800890136912</v>
      </c>
      <c r="AB101" s="5">
        <f t="shared" si="32"/>
        <v>5149.9516640217462</v>
      </c>
      <c r="AC101" s="84">
        <f t="shared" si="36"/>
        <v>3.1570906264972929</v>
      </c>
      <c r="AD101" s="84">
        <f t="shared" si="37"/>
        <v>2.1082843055823024</v>
      </c>
      <c r="AE101" s="84">
        <f t="shared" si="38"/>
        <v>5149.9619639456732</v>
      </c>
      <c r="AG101" s="22">
        <f t="shared" si="39"/>
        <v>5.7308180406303394E-10</v>
      </c>
    </row>
    <row r="102" spans="1:33" x14ac:dyDescent="0.2">
      <c r="A102" s="32">
        <v>2010</v>
      </c>
      <c r="B102" s="32">
        <v>32.5</v>
      </c>
      <c r="C102" s="32">
        <v>311.3</v>
      </c>
      <c r="D102" s="28">
        <v>3.0291110428712256</v>
      </c>
      <c r="E102" s="28">
        <v>2.299067979949609</v>
      </c>
      <c r="F102" s="28">
        <v>5199.9613640861908</v>
      </c>
      <c r="H102" s="84">
        <f t="shared" si="33"/>
        <v>3.0291049846491402</v>
      </c>
      <c r="I102" s="84">
        <f t="shared" si="34"/>
        <v>2.2990633818136494</v>
      </c>
      <c r="J102" s="84">
        <f t="shared" si="35"/>
        <v>5199.9509641634631</v>
      </c>
      <c r="L102" s="5">
        <f t="shared" si="20"/>
        <v>10229031.389104985</v>
      </c>
      <c r="M102" s="5">
        <f t="shared" si="21"/>
        <v>924350.8690633818</v>
      </c>
      <c r="N102" s="5">
        <f t="shared" si="22"/>
        <v>5007.9509641634631</v>
      </c>
      <c r="P102" s="5">
        <f t="shared" si="23"/>
        <v>10229031.389674455</v>
      </c>
      <c r="Q102" s="5">
        <f t="shared" si="24"/>
        <v>924350.8694956057</v>
      </c>
      <c r="R102" s="5">
        <f t="shared" si="25"/>
        <v>5007.9509641634631</v>
      </c>
      <c r="T102" s="39">
        <f t="shared" si="26"/>
        <v>7.1492225862229101E-4</v>
      </c>
      <c r="V102" s="5">
        <f t="shared" si="27"/>
        <v>3.0291049852967262</v>
      </c>
      <c r="W102" s="5">
        <f t="shared" si="28"/>
        <v>2.2990633818553761</v>
      </c>
      <c r="X102" s="5">
        <f t="shared" si="29"/>
        <v>5199.9509641634631</v>
      </c>
      <c r="Z102" s="5">
        <f t="shared" si="30"/>
        <v>3.0291049837865387</v>
      </c>
      <c r="AA102" s="5">
        <f t="shared" si="31"/>
        <v>2.2990633818360866</v>
      </c>
      <c r="AB102" s="5">
        <f t="shared" si="32"/>
        <v>5199.9509641634631</v>
      </c>
      <c r="AC102" s="84">
        <f t="shared" si="36"/>
        <v>3.0291110420086227</v>
      </c>
      <c r="AD102" s="84">
        <f t="shared" si="37"/>
        <v>2.2990679799720461</v>
      </c>
      <c r="AE102" s="84">
        <f t="shared" si="38"/>
        <v>5199.9613640861908</v>
      </c>
      <c r="AG102" s="22">
        <f t="shared" si="39"/>
        <v>8.6289463519891716E-10</v>
      </c>
    </row>
    <row r="103" spans="1:33" x14ac:dyDescent="0.2">
      <c r="A103" s="32">
        <v>2040</v>
      </c>
      <c r="B103" s="32">
        <v>36</v>
      </c>
      <c r="C103" s="32">
        <v>310.5</v>
      </c>
      <c r="D103" s="28">
        <v>2.9341968172645889</v>
      </c>
      <c r="E103" s="28">
        <v>2.6214473118410186</v>
      </c>
      <c r="F103" s="28">
        <v>5249.9602210004214</v>
      </c>
      <c r="H103" s="84">
        <f t="shared" si="33"/>
        <v>2.9341909488709548</v>
      </c>
      <c r="I103" s="84">
        <f t="shared" si="34"/>
        <v>2.6214420689463953</v>
      </c>
      <c r="J103" s="84">
        <f t="shared" si="35"/>
        <v>5249.94972107998</v>
      </c>
      <c r="L103" s="5">
        <f t="shared" si="20"/>
        <v>10229031.294190949</v>
      </c>
      <c r="M103" s="5">
        <f t="shared" si="21"/>
        <v>924351.1914420689</v>
      </c>
      <c r="N103" s="5">
        <f t="shared" si="22"/>
        <v>5057.94972107998</v>
      </c>
      <c r="P103" s="5">
        <f t="shared" si="23"/>
        <v>10229031.294742577</v>
      </c>
      <c r="Q103" s="5">
        <f t="shared" si="24"/>
        <v>924351.19193490001</v>
      </c>
      <c r="R103" s="5">
        <f t="shared" si="25"/>
        <v>5057.94972107998</v>
      </c>
      <c r="T103" s="39">
        <f t="shared" si="26"/>
        <v>7.3971338840948169E-4</v>
      </c>
      <c r="V103" s="5">
        <f t="shared" si="27"/>
        <v>2.9341909494251013</v>
      </c>
      <c r="W103" s="5">
        <f t="shared" si="28"/>
        <v>2.6214420689502731</v>
      </c>
      <c r="X103" s="5">
        <f t="shared" si="29"/>
        <v>5249.94972107998</v>
      </c>
      <c r="Z103" s="5">
        <f t="shared" si="30"/>
        <v>2.9341909494754796</v>
      </c>
      <c r="AA103" s="5">
        <f t="shared" si="31"/>
        <v>2.6214420689513331</v>
      </c>
      <c r="AB103" s="5">
        <f t="shared" si="32"/>
        <v>5249.94972107998</v>
      </c>
      <c r="AC103" s="84">
        <f t="shared" si="36"/>
        <v>2.9341968178691151</v>
      </c>
      <c r="AD103" s="84">
        <f t="shared" si="37"/>
        <v>2.6214473118459565</v>
      </c>
      <c r="AE103" s="84">
        <f t="shared" si="38"/>
        <v>5249.9602210004214</v>
      </c>
      <c r="AG103" s="22">
        <f t="shared" si="39"/>
        <v>6.0454637286023537E-10</v>
      </c>
    </row>
    <row r="104" spans="1:33" x14ac:dyDescent="0.2">
      <c r="A104" s="32">
        <v>2070</v>
      </c>
      <c r="B104" s="32">
        <v>35.6</v>
      </c>
      <c r="C104" s="32">
        <v>311.39999999999998</v>
      </c>
      <c r="D104" s="28">
        <v>2.6686978822643765</v>
      </c>
      <c r="E104" s="28">
        <v>2.9275419231254425</v>
      </c>
      <c r="F104" s="28">
        <v>5299.9585352152171</v>
      </c>
      <c r="H104" s="84">
        <f t="shared" si="33"/>
        <v>2.6686925448686125</v>
      </c>
      <c r="I104" s="84">
        <f t="shared" si="34"/>
        <v>2.9275360680415967</v>
      </c>
      <c r="J104" s="84">
        <f t="shared" si="35"/>
        <v>5299.9479352981471</v>
      </c>
      <c r="L104" s="5">
        <f t="shared" si="20"/>
        <v>10229031.028692544</v>
      </c>
      <c r="M104" s="5">
        <f t="shared" si="21"/>
        <v>924351.49753606797</v>
      </c>
      <c r="N104" s="5">
        <f t="shared" si="22"/>
        <v>5107.9479352981471</v>
      </c>
      <c r="P104" s="5">
        <f t="shared" si="23"/>
        <v>10229031.029194258</v>
      </c>
      <c r="Q104" s="5">
        <f t="shared" si="24"/>
        <v>924351.4980864448</v>
      </c>
      <c r="R104" s="5">
        <f t="shared" si="25"/>
        <v>5107.9479352981471</v>
      </c>
      <c r="T104" s="39">
        <f t="shared" si="26"/>
        <v>7.4473635978885558E-4</v>
      </c>
      <c r="V104" s="5">
        <f t="shared" si="27"/>
        <v>2.6686925441026688</v>
      </c>
      <c r="W104" s="5">
        <f t="shared" si="28"/>
        <v>2.9275360680185258</v>
      </c>
      <c r="X104" s="5">
        <f t="shared" si="29"/>
        <v>5299.9479352981471</v>
      </c>
      <c r="Z104" s="5">
        <f t="shared" si="30"/>
        <v>2.6686925445511092</v>
      </c>
      <c r="AA104" s="5">
        <f t="shared" si="31"/>
        <v>2.9275360680711446</v>
      </c>
      <c r="AB104" s="5">
        <f t="shared" si="32"/>
        <v>5299.9479352981471</v>
      </c>
      <c r="AC104" s="84">
        <f t="shared" si="36"/>
        <v>2.6686978819468727</v>
      </c>
      <c r="AD104" s="84">
        <f t="shared" si="37"/>
        <v>2.9275419231549904</v>
      </c>
      <c r="AE104" s="84">
        <f t="shared" si="38"/>
        <v>5299.9585352152171</v>
      </c>
      <c r="AG104" s="22">
        <f t="shared" si="39"/>
        <v>3.1887574888045956E-10</v>
      </c>
    </row>
    <row r="105" spans="1:33" x14ac:dyDescent="0.2">
      <c r="A105" s="32">
        <v>2100</v>
      </c>
      <c r="B105" s="32">
        <v>36.1</v>
      </c>
      <c r="C105" s="32">
        <v>309.7</v>
      </c>
      <c r="D105" s="28">
        <v>2.2989982473980466</v>
      </c>
      <c r="E105" s="28">
        <v>3.205322112517599</v>
      </c>
      <c r="F105" s="28">
        <v>5349.956396533501</v>
      </c>
      <c r="H105" s="84">
        <f t="shared" si="33"/>
        <v>2.2989936494015524</v>
      </c>
      <c r="I105" s="84">
        <f t="shared" si="34"/>
        <v>3.2053157018733742</v>
      </c>
      <c r="J105" s="84">
        <f t="shared" si="35"/>
        <v>5349.945696620709</v>
      </c>
      <c r="L105" s="5">
        <f t="shared" ref="L105:L150" si="40">E$21 + H105</f>
        <v>10229030.658993648</v>
      </c>
      <c r="M105" s="5">
        <f t="shared" ref="M105:M150" si="41">E$22 + I105</f>
        <v>924351.77531570185</v>
      </c>
      <c r="N105" s="5">
        <f t="shared" ref="N105:N150" si="42">J105 - E$17</f>
        <v>5157.945696620709</v>
      </c>
      <c r="P105" s="5">
        <f t="shared" ref="P105:P150" si="43">E$21 + E$24*H105</f>
        <v>10229030.65942586</v>
      </c>
      <c r="Q105" s="5">
        <f t="shared" ref="Q105:Q150" si="44">E$22 + E$24*I105</f>
        <v>924351.77591830119</v>
      </c>
      <c r="R105" s="5">
        <f t="shared" ref="R105:R150" si="45">N105 - H$17</f>
        <v>5157.945696620709</v>
      </c>
      <c r="T105" s="39">
        <f t="shared" ref="T105:T150" si="46">SQRT(SUMSQ(P105-L105,Q105-M105))</f>
        <v>7.4157474864556118E-4</v>
      </c>
      <c r="V105" s="5">
        <f t="shared" si="27"/>
        <v>2.2989936489611864</v>
      </c>
      <c r="W105" s="5">
        <f t="shared" si="28"/>
        <v>3.2053157018963248</v>
      </c>
      <c r="X105" s="5">
        <f t="shared" si="29"/>
        <v>5349.945696620709</v>
      </c>
      <c r="Z105" s="5">
        <f t="shared" si="30"/>
        <v>2.2989936500606927</v>
      </c>
      <c r="AA105" s="5">
        <f t="shared" si="31"/>
        <v>3.2053157018941727</v>
      </c>
      <c r="AB105" s="5">
        <f t="shared" si="32"/>
        <v>5349.945696620709</v>
      </c>
      <c r="AC105" s="84">
        <f t="shared" si="36"/>
        <v>2.2989982480571887</v>
      </c>
      <c r="AD105" s="84">
        <f t="shared" si="37"/>
        <v>3.2053221125383975</v>
      </c>
      <c r="AE105" s="84">
        <f t="shared" si="38"/>
        <v>5349.9563965335019</v>
      </c>
      <c r="AG105" s="22">
        <f t="shared" si="39"/>
        <v>6.5947075580124028E-10</v>
      </c>
    </row>
    <row r="106" spans="1:33" x14ac:dyDescent="0.2">
      <c r="A106" s="32">
        <v>2130</v>
      </c>
      <c r="B106" s="32">
        <v>37.9</v>
      </c>
      <c r="C106" s="32">
        <v>307.89999999999998</v>
      </c>
      <c r="D106" s="28">
        <v>1.8545711790929347</v>
      </c>
      <c r="E106" s="28">
        <v>3.5815573978379085</v>
      </c>
      <c r="F106" s="28">
        <v>5412.9537040349151</v>
      </c>
      <c r="H106" s="84">
        <f t="shared" si="33"/>
        <v>1.8545674699505765</v>
      </c>
      <c r="I106" s="84">
        <f t="shared" si="34"/>
        <v>3.581550234723113</v>
      </c>
      <c r="J106" s="84">
        <f t="shared" si="35"/>
        <v>5412.9428781275074</v>
      </c>
      <c r="L106" s="5">
        <f t="shared" si="40"/>
        <v>10229030.214567469</v>
      </c>
      <c r="M106" s="5">
        <f t="shared" si="41"/>
        <v>924352.15155023464</v>
      </c>
      <c r="N106" s="5">
        <f t="shared" si="42"/>
        <v>5220.9428781275074</v>
      </c>
      <c r="P106" s="5">
        <f t="shared" si="43"/>
        <v>10229030.214916129</v>
      </c>
      <c r="Q106" s="5">
        <f t="shared" si="44"/>
        <v>924352.15222356608</v>
      </c>
      <c r="R106" s="5">
        <f t="shared" si="45"/>
        <v>5220.9428781275074</v>
      </c>
      <c r="T106" s="39">
        <f t="shared" si="46"/>
        <v>7.5824698079800257E-4</v>
      </c>
      <c r="V106" s="5">
        <f t="shared" si="27"/>
        <v>1.8545674700289965</v>
      </c>
      <c r="W106" s="5">
        <f t="shared" si="28"/>
        <v>3.5815502346958965</v>
      </c>
      <c r="X106" s="5">
        <f t="shared" si="29"/>
        <v>5412.9428781275074</v>
      </c>
      <c r="Z106" s="5">
        <f t="shared" si="30"/>
        <v>1.8545674705767867</v>
      </c>
      <c r="AA106" s="5">
        <f t="shared" si="31"/>
        <v>3.5815502346884758</v>
      </c>
      <c r="AB106" s="5">
        <f t="shared" si="32"/>
        <v>5412.9428781275074</v>
      </c>
      <c r="AC106" s="84">
        <f t="shared" si="36"/>
        <v>1.8545711797191458</v>
      </c>
      <c r="AD106" s="84">
        <f t="shared" si="37"/>
        <v>3.5815573978032709</v>
      </c>
      <c r="AE106" s="84">
        <f t="shared" si="38"/>
        <v>5412.9537040349151</v>
      </c>
      <c r="AG106" s="22">
        <f t="shared" si="39"/>
        <v>6.2716830723409904E-10</v>
      </c>
    </row>
    <row r="107" spans="1:33" x14ac:dyDescent="0.2">
      <c r="A107" s="32">
        <v>2160</v>
      </c>
      <c r="B107" s="32">
        <v>37.4</v>
      </c>
      <c r="C107" s="32">
        <v>309.89999999999998</v>
      </c>
      <c r="D107" s="28">
        <v>1.5865246749499535</v>
      </c>
      <c r="E107" s="28">
        <v>3.8835112588246257</v>
      </c>
      <c r="F107" s="28">
        <v>5465.9521359754399</v>
      </c>
      <c r="H107" s="84">
        <f t="shared" si="33"/>
        <v>1.5865215019006038</v>
      </c>
      <c r="I107" s="84">
        <f t="shared" si="34"/>
        <v>3.8835034918021081</v>
      </c>
      <c r="J107" s="84">
        <f t="shared" si="35"/>
        <v>5465.9412040711686</v>
      </c>
      <c r="L107" s="5">
        <f t="shared" si="40"/>
        <v>10229029.946521502</v>
      </c>
      <c r="M107" s="5">
        <f t="shared" si="41"/>
        <v>924352.45350349171</v>
      </c>
      <c r="N107" s="5">
        <f t="shared" si="42"/>
        <v>5273.9412040711686</v>
      </c>
      <c r="P107" s="5">
        <f t="shared" si="43"/>
        <v>10229029.946819767</v>
      </c>
      <c r="Q107" s="5">
        <f t="shared" si="44"/>
        <v>924352.4542335904</v>
      </c>
      <c r="R107" s="5">
        <f t="shared" si="45"/>
        <v>5273.9412040711686</v>
      </c>
      <c r="T107" s="39">
        <f t="shared" si="46"/>
        <v>7.8867377790799945E-4</v>
      </c>
      <c r="V107" s="5">
        <f t="shared" si="27"/>
        <v>1.586521502584219</v>
      </c>
      <c r="W107" s="5">
        <f t="shared" si="28"/>
        <v>3.8835034917574376</v>
      </c>
      <c r="X107" s="5">
        <f t="shared" si="29"/>
        <v>5465.9412040711686</v>
      </c>
      <c r="Z107" s="5">
        <f t="shared" si="30"/>
        <v>1.5865215019096062</v>
      </c>
      <c r="AA107" s="5">
        <f t="shared" si="31"/>
        <v>3.8835034917918181</v>
      </c>
      <c r="AB107" s="5">
        <f t="shared" si="32"/>
        <v>5465.9412040711686</v>
      </c>
      <c r="AC107" s="84">
        <f t="shared" si="36"/>
        <v>1.5865246749589559</v>
      </c>
      <c r="AD107" s="84">
        <f t="shared" si="37"/>
        <v>3.8835112588143352</v>
      </c>
      <c r="AE107" s="84">
        <f t="shared" si="38"/>
        <v>5465.9521359754399</v>
      </c>
      <c r="AG107" s="22">
        <f t="shared" si="39"/>
        <v>1.3672433618749167E-11</v>
      </c>
    </row>
    <row r="108" spans="1:33" x14ac:dyDescent="0.2">
      <c r="A108" s="32">
        <v>2190</v>
      </c>
      <c r="B108" s="32">
        <v>32.700000000000003</v>
      </c>
      <c r="C108" s="32">
        <v>309.7</v>
      </c>
      <c r="D108" s="28">
        <v>1.3400733003369549</v>
      </c>
      <c r="E108" s="28">
        <v>3.9754213106144416</v>
      </c>
      <c r="F108" s="28">
        <v>5511.9512756734503</v>
      </c>
      <c r="H108" s="84">
        <f t="shared" si="33"/>
        <v>1.3400706201903543</v>
      </c>
      <c r="I108" s="84">
        <f t="shared" si="34"/>
        <v>3.9754133597718213</v>
      </c>
      <c r="J108" s="84">
        <f t="shared" si="35"/>
        <v>5511.9402517708995</v>
      </c>
      <c r="L108" s="5">
        <f t="shared" si="40"/>
        <v>10229029.70007062</v>
      </c>
      <c r="M108" s="5">
        <f t="shared" si="41"/>
        <v>924352.54541335977</v>
      </c>
      <c r="N108" s="5">
        <f t="shared" si="42"/>
        <v>5319.9402517708995</v>
      </c>
      <c r="P108" s="5">
        <f t="shared" si="43"/>
        <v>10229029.700322554</v>
      </c>
      <c r="Q108" s="5">
        <f t="shared" si="44"/>
        <v>924352.5461607374</v>
      </c>
      <c r="R108" s="5">
        <f t="shared" si="45"/>
        <v>5319.9402517708995</v>
      </c>
      <c r="T108" s="39">
        <f t="shared" si="46"/>
        <v>7.8869768321856071E-4</v>
      </c>
      <c r="V108" s="5">
        <f t="shared" ref="V108:V150" si="47">L108 - E$21</f>
        <v>1.3400706201791763</v>
      </c>
      <c r="W108" s="5">
        <f t="shared" ref="W108:W150" si="48">M108 - E$22</f>
        <v>3.9754133598180488</v>
      </c>
      <c r="X108" s="5">
        <f t="shared" ref="X108:X150" si="49">N108 + E$17</f>
        <v>5511.9402517708995</v>
      </c>
      <c r="Z108" s="5">
        <f t="shared" si="30"/>
        <v>1.3400706208347637</v>
      </c>
      <c r="AA108" s="5">
        <f t="shared" si="31"/>
        <v>3.9754133597413968</v>
      </c>
      <c r="AB108" s="5">
        <f t="shared" si="32"/>
        <v>5511.9402517708995</v>
      </c>
      <c r="AC108" s="84">
        <f t="shared" si="36"/>
        <v>1.3400733009813655</v>
      </c>
      <c r="AD108" s="84">
        <f t="shared" si="37"/>
        <v>3.975421310584017</v>
      </c>
      <c r="AE108" s="84">
        <f t="shared" si="38"/>
        <v>5511.9512756734503</v>
      </c>
      <c r="AG108" s="22">
        <f t="shared" si="39"/>
        <v>6.4512834227426772E-10</v>
      </c>
    </row>
    <row r="109" spans="1:33" x14ac:dyDescent="0.2">
      <c r="A109" s="32">
        <v>2220</v>
      </c>
      <c r="B109" s="32">
        <v>28.85</v>
      </c>
      <c r="C109" s="32">
        <v>310.39999999999998</v>
      </c>
      <c r="D109" s="28">
        <v>1.0449644828055082</v>
      </c>
      <c r="E109" s="28">
        <v>1.4252208909213362</v>
      </c>
      <c r="F109" s="28">
        <v>5607.9062954939409</v>
      </c>
      <c r="H109" s="84">
        <f t="shared" si="33"/>
        <v>1.0449623928765426</v>
      </c>
      <c r="I109" s="84">
        <f t="shared" si="34"/>
        <v>1.4252180404795545</v>
      </c>
      <c r="J109" s="84">
        <f t="shared" si="35"/>
        <v>5607.8950796813506</v>
      </c>
      <c r="L109" s="5">
        <f t="shared" si="40"/>
        <v>10229029.404962393</v>
      </c>
      <c r="M109" s="5">
        <f t="shared" si="41"/>
        <v>924349.99521804042</v>
      </c>
      <c r="N109" s="5">
        <f t="shared" si="42"/>
        <v>5415.8950796813506</v>
      </c>
      <c r="P109" s="5">
        <f t="shared" si="43"/>
        <v>10229029.405158846</v>
      </c>
      <c r="Q109" s="5">
        <f t="shared" si="44"/>
        <v>924349.99548598146</v>
      </c>
      <c r="R109" s="5">
        <f t="shared" si="45"/>
        <v>5415.8950796813506</v>
      </c>
      <c r="T109" s="39">
        <f t="shared" si="46"/>
        <v>3.3224426837865105E-4</v>
      </c>
      <c r="V109" s="5">
        <f t="shared" si="47"/>
        <v>1.0449623931199312</v>
      </c>
      <c r="W109" s="5">
        <f t="shared" si="48"/>
        <v>1.4252180404728279</v>
      </c>
      <c r="X109" s="5">
        <f t="shared" si="49"/>
        <v>5607.8950796813506</v>
      </c>
      <c r="Z109" s="5">
        <f t="shared" ref="Z109:Z150" si="50">(P109 - E$21) / E$24</f>
        <v>1.0449623933738663</v>
      </c>
      <c r="AA109" s="5">
        <f t="shared" ref="AA109:AA150" si="51">(Q109 - E$22) / E$24</f>
        <v>1.4252180405202655</v>
      </c>
      <c r="AB109" s="5">
        <f t="shared" ref="AB109:AB150" si="52">R109 + E$17</f>
        <v>5607.8950796813506</v>
      </c>
      <c r="AC109" s="84">
        <f t="shared" si="36"/>
        <v>1.0449644833028329</v>
      </c>
      <c r="AD109" s="84">
        <f t="shared" si="37"/>
        <v>1.4252208909620474</v>
      </c>
      <c r="AE109" s="84">
        <f t="shared" si="38"/>
        <v>5607.9062954939409</v>
      </c>
      <c r="AG109" s="22">
        <f t="shared" si="39"/>
        <v>4.989881625339239E-10</v>
      </c>
    </row>
    <row r="110" spans="1:33" x14ac:dyDescent="0.2">
      <c r="A110" s="32">
        <v>2250</v>
      </c>
      <c r="B110" s="32">
        <v>26.1</v>
      </c>
      <c r="C110" s="32">
        <v>311.10000000000002</v>
      </c>
      <c r="D110" s="28">
        <v>1.402478002283746</v>
      </c>
      <c r="E110" s="28">
        <v>-7.1033188485522434</v>
      </c>
      <c r="F110" s="28">
        <v>5704.5087803803463</v>
      </c>
      <c r="H110" s="84">
        <f t="shared" si="33"/>
        <v>1.4024751973277416</v>
      </c>
      <c r="I110" s="84">
        <f t="shared" si="34"/>
        <v>-7.1033046419145478</v>
      </c>
      <c r="J110" s="84">
        <f t="shared" si="35"/>
        <v>5704.497371362786</v>
      </c>
      <c r="L110" s="5">
        <f t="shared" si="40"/>
        <v>10229029.762475196</v>
      </c>
      <c r="M110" s="5">
        <f t="shared" si="41"/>
        <v>924341.46669535805</v>
      </c>
      <c r="N110" s="5">
        <f t="shared" si="42"/>
        <v>5512.497371362786</v>
      </c>
      <c r="P110" s="5">
        <f t="shared" si="43"/>
        <v>10229029.762738861</v>
      </c>
      <c r="Q110" s="5">
        <f t="shared" si="44"/>
        <v>924341.46535993682</v>
      </c>
      <c r="R110" s="5">
        <f t="shared" si="45"/>
        <v>5512.497371362786</v>
      </c>
      <c r="T110" s="39">
        <f t="shared" si="46"/>
        <v>1.3612013151005384E-3</v>
      </c>
      <c r="V110" s="5">
        <f t="shared" si="47"/>
        <v>1.4024751968681812</v>
      </c>
      <c r="W110" s="5">
        <f t="shared" si="48"/>
        <v>-7.1033046419033781</v>
      </c>
      <c r="X110" s="5">
        <f t="shared" si="49"/>
        <v>5704.497371362786</v>
      </c>
      <c r="Z110" s="5">
        <f t="shared" si="50"/>
        <v>1.4024751964027116</v>
      </c>
      <c r="AA110" s="5">
        <f t="shared" si="51"/>
        <v>-7.1033046418585579</v>
      </c>
      <c r="AB110" s="5">
        <f t="shared" si="52"/>
        <v>5704.497371362786</v>
      </c>
      <c r="AC110" s="84">
        <f t="shared" si="36"/>
        <v>1.4024780013587141</v>
      </c>
      <c r="AD110" s="84">
        <f t="shared" si="37"/>
        <v>-7.1033188484962544</v>
      </c>
      <c r="AE110" s="84">
        <f t="shared" si="38"/>
        <v>5704.5087803803463</v>
      </c>
      <c r="AG110" s="22">
        <f t="shared" si="39"/>
        <v>9.2672469031569678E-10</v>
      </c>
    </row>
    <row r="111" spans="1:33" x14ac:dyDescent="0.2">
      <c r="A111" s="32">
        <v>2280</v>
      </c>
      <c r="B111" s="32">
        <v>22.7</v>
      </c>
      <c r="C111" s="32">
        <v>309.89999999999998</v>
      </c>
      <c r="D111" s="28">
        <v>1.0816971249814631</v>
      </c>
      <c r="E111" s="28">
        <v>-20.722153371793198</v>
      </c>
      <c r="F111" s="28">
        <v>5799.5305107852246</v>
      </c>
      <c r="H111" s="84">
        <f t="shared" si="33"/>
        <v>1.0816949615872133</v>
      </c>
      <c r="I111" s="84">
        <f t="shared" si="34"/>
        <v>-20.722111927486456</v>
      </c>
      <c r="J111" s="84">
        <f t="shared" si="35"/>
        <v>5799.5189117242035</v>
      </c>
      <c r="L111" s="5">
        <f t="shared" si="40"/>
        <v>10229029.441694962</v>
      </c>
      <c r="M111" s="5">
        <f t="shared" si="41"/>
        <v>924327.84788807249</v>
      </c>
      <c r="N111" s="5">
        <f t="shared" si="42"/>
        <v>5607.5189117242035</v>
      </c>
      <c r="P111" s="5">
        <f t="shared" si="43"/>
        <v>10229029.44189832</v>
      </c>
      <c r="Q111" s="5">
        <f t="shared" si="44"/>
        <v>924327.84399231547</v>
      </c>
      <c r="R111" s="5">
        <f t="shared" si="45"/>
        <v>5607.5189117242035</v>
      </c>
      <c r="T111" s="39">
        <f t="shared" si="46"/>
        <v>3.9010610415195018E-3</v>
      </c>
      <c r="V111" s="5">
        <f t="shared" si="47"/>
        <v>1.0816949624568224</v>
      </c>
      <c r="W111" s="5">
        <f t="shared" si="48"/>
        <v>-20.72211192746181</v>
      </c>
      <c r="X111" s="5">
        <f t="shared" si="49"/>
        <v>5799.5189117242035</v>
      </c>
      <c r="Z111" s="5">
        <f t="shared" si="50"/>
        <v>1.081694961813459</v>
      </c>
      <c r="AA111" s="5">
        <f t="shared" si="51"/>
        <v>-20.722111927440832</v>
      </c>
      <c r="AB111" s="5">
        <f t="shared" si="52"/>
        <v>5799.5189117242035</v>
      </c>
      <c r="AC111" s="84">
        <f t="shared" si="36"/>
        <v>1.0816971252077092</v>
      </c>
      <c r="AD111" s="84">
        <f t="shared" si="37"/>
        <v>-20.722153371747574</v>
      </c>
      <c r="AE111" s="84">
        <f t="shared" si="38"/>
        <v>5799.5305107852246</v>
      </c>
      <c r="AG111" s="22">
        <f t="shared" si="39"/>
        <v>2.3080047096607149E-10</v>
      </c>
    </row>
    <row r="112" spans="1:33" x14ac:dyDescent="0.2">
      <c r="A112" s="32">
        <v>2310</v>
      </c>
      <c r="B112" s="32">
        <v>20.3</v>
      </c>
      <c r="C112" s="32">
        <v>309.7</v>
      </c>
      <c r="D112" s="28">
        <v>-1.219467843021087</v>
      </c>
      <c r="E112" s="28">
        <v>-37.459279437563367</v>
      </c>
      <c r="F112" s="28">
        <v>5894.0266682667734</v>
      </c>
      <c r="H112" s="84">
        <f t="shared" si="33"/>
        <v>-1.2194654040854012</v>
      </c>
      <c r="I112" s="84">
        <f t="shared" si="34"/>
        <v>-37.459204519004494</v>
      </c>
      <c r="J112" s="84">
        <f t="shared" si="35"/>
        <v>5894.0148802134372</v>
      </c>
      <c r="L112" s="5">
        <f t="shared" si="40"/>
        <v>10229027.140534595</v>
      </c>
      <c r="M112" s="5">
        <f t="shared" si="41"/>
        <v>924311.1107954809</v>
      </c>
      <c r="N112" s="5">
        <f t="shared" si="42"/>
        <v>5702.0148802134372</v>
      </c>
      <c r="P112" s="5">
        <f t="shared" si="43"/>
        <v>10229027.140305337</v>
      </c>
      <c r="Q112" s="5">
        <f t="shared" si="44"/>
        <v>924311.10375315044</v>
      </c>
      <c r="R112" s="5">
        <f t="shared" si="45"/>
        <v>5702.0148802134372</v>
      </c>
      <c r="T112" s="39">
        <f t="shared" si="46"/>
        <v>7.0460611362729722E-3</v>
      </c>
      <c r="V112" s="5">
        <f t="shared" si="47"/>
        <v>-1.2194654047489166</v>
      </c>
      <c r="W112" s="5">
        <f t="shared" si="48"/>
        <v>-37.459204519051127</v>
      </c>
      <c r="X112" s="5">
        <f t="shared" si="49"/>
        <v>5894.0148802134372</v>
      </c>
      <c r="Z112" s="5">
        <f t="shared" si="50"/>
        <v>-1.2194654033433456</v>
      </c>
      <c r="AA112" s="5">
        <f t="shared" si="51"/>
        <v>-37.459204519058439</v>
      </c>
      <c r="AB112" s="5">
        <f t="shared" si="52"/>
        <v>5894.0148802134372</v>
      </c>
      <c r="AC112" s="84">
        <f t="shared" si="36"/>
        <v>-1.2194678422790302</v>
      </c>
      <c r="AD112" s="84">
        <f t="shared" si="37"/>
        <v>-37.459279437617312</v>
      </c>
      <c r="AE112" s="84">
        <f t="shared" si="38"/>
        <v>5894.0266682667734</v>
      </c>
      <c r="AG112" s="22">
        <f t="shared" si="39"/>
        <v>7.4401504208472635E-10</v>
      </c>
    </row>
    <row r="113" spans="1:33" x14ac:dyDescent="0.2">
      <c r="A113" s="32">
        <v>2340</v>
      </c>
      <c r="B113" s="32">
        <v>18.2</v>
      </c>
      <c r="C113" s="32">
        <v>310.39999999999998</v>
      </c>
      <c r="D113" s="28">
        <v>-6.902323326280424</v>
      </c>
      <c r="E113" s="28">
        <v>-57.782649367872807</v>
      </c>
      <c r="F113" s="28">
        <v>5989.7126471883012</v>
      </c>
      <c r="H113" s="84">
        <f t="shared" si="33"/>
        <v>-6.9023095216337724</v>
      </c>
      <c r="I113" s="84">
        <f t="shared" si="34"/>
        <v>-57.782533802574079</v>
      </c>
      <c r="J113" s="84">
        <f t="shared" si="35"/>
        <v>5989.7006677630079</v>
      </c>
      <c r="L113" s="5">
        <f t="shared" si="40"/>
        <v>10229021.457690477</v>
      </c>
      <c r="M113" s="5">
        <f t="shared" si="41"/>
        <v>924290.78746619739</v>
      </c>
      <c r="N113" s="5">
        <f t="shared" si="42"/>
        <v>5797.7006677630079</v>
      </c>
      <c r="P113" s="5">
        <f t="shared" si="43"/>
        <v>10229021.456392843</v>
      </c>
      <c r="Q113" s="5">
        <f t="shared" si="44"/>
        <v>924290.77660308103</v>
      </c>
      <c r="R113" s="5">
        <f t="shared" si="45"/>
        <v>5797.7006677630079</v>
      </c>
      <c r="T113" s="39">
        <f t="shared" si="46"/>
        <v>1.0940345118008867E-2</v>
      </c>
      <c r="V113" s="5">
        <f t="shared" si="47"/>
        <v>-6.9023095220327377</v>
      </c>
      <c r="W113" s="5">
        <f t="shared" si="48"/>
        <v>-57.782533802557737</v>
      </c>
      <c r="X113" s="5">
        <f t="shared" si="49"/>
        <v>5989.7006677630079</v>
      </c>
      <c r="Z113" s="5">
        <f t="shared" si="50"/>
        <v>-6.9023095219375667</v>
      </c>
      <c r="AA113" s="5">
        <f t="shared" si="51"/>
        <v>-57.782533802563123</v>
      </c>
      <c r="AB113" s="5">
        <f t="shared" si="52"/>
        <v>5989.7006677630079</v>
      </c>
      <c r="AC113" s="84">
        <f t="shared" si="36"/>
        <v>-6.9023233265842192</v>
      </c>
      <c r="AD113" s="84">
        <f t="shared" si="37"/>
        <v>-57.78264936786185</v>
      </c>
      <c r="AE113" s="84">
        <f t="shared" si="38"/>
        <v>5989.7126471883012</v>
      </c>
      <c r="AG113" s="22">
        <f t="shared" si="39"/>
        <v>3.0399272484345885E-10</v>
      </c>
    </row>
    <row r="114" spans="1:33" x14ac:dyDescent="0.2">
      <c r="A114" s="32">
        <v>2370</v>
      </c>
      <c r="B114" s="32">
        <v>15.9</v>
      </c>
      <c r="C114" s="32">
        <v>311</v>
      </c>
      <c r="D114" s="28">
        <v>-17.483024024619453</v>
      </c>
      <c r="E114" s="28">
        <v>-80.292248282113263</v>
      </c>
      <c r="F114" s="28">
        <v>6082.4186259944418</v>
      </c>
      <c r="H114" s="84">
        <f t="shared" si="33"/>
        <v>-17.482989058571405</v>
      </c>
      <c r="I114" s="84">
        <f t="shared" si="34"/>
        <v>-80.292087697616708</v>
      </c>
      <c r="J114" s="84">
        <f t="shared" si="35"/>
        <v>6082.4064611571903</v>
      </c>
      <c r="L114" s="5">
        <f t="shared" si="40"/>
        <v>10229010.877010942</v>
      </c>
      <c r="M114" s="5">
        <f t="shared" si="41"/>
        <v>924268.27791230229</v>
      </c>
      <c r="N114" s="5">
        <f t="shared" si="42"/>
        <v>5890.4064611571903</v>
      </c>
      <c r="P114" s="5">
        <f t="shared" si="43"/>
        <v>10229010.873724138</v>
      </c>
      <c r="Q114" s="5">
        <f t="shared" si="44"/>
        <v>924268.2628173898</v>
      </c>
      <c r="R114" s="5">
        <f t="shared" si="45"/>
        <v>5890.4064611571903</v>
      </c>
      <c r="T114" s="39">
        <f t="shared" si="46"/>
        <v>1.5448606995675764E-2</v>
      </c>
      <c r="V114" s="5">
        <f t="shared" si="47"/>
        <v>-17.482989057898521</v>
      </c>
      <c r="W114" s="5">
        <f t="shared" si="48"/>
        <v>-80.292087697656825</v>
      </c>
      <c r="X114" s="5">
        <f t="shared" si="49"/>
        <v>6082.4064611571903</v>
      </c>
      <c r="Z114" s="5">
        <f t="shared" si="50"/>
        <v>-17.482989059096646</v>
      </c>
      <c r="AA114" s="5">
        <f t="shared" si="51"/>
        <v>-80.292087697664186</v>
      </c>
      <c r="AB114" s="5">
        <f t="shared" si="52"/>
        <v>6082.4064611571903</v>
      </c>
      <c r="AC114" s="84">
        <f t="shared" si="36"/>
        <v>-17.483024025144694</v>
      </c>
      <c r="AD114" s="84">
        <f t="shared" si="37"/>
        <v>-80.292248282160742</v>
      </c>
      <c r="AE114" s="84">
        <f t="shared" si="38"/>
        <v>6082.4186259944418</v>
      </c>
      <c r="AG114" s="22">
        <f t="shared" si="39"/>
        <v>5.273818094363614E-10</v>
      </c>
    </row>
    <row r="115" spans="1:33" x14ac:dyDescent="0.2">
      <c r="A115" s="32">
        <v>2400</v>
      </c>
      <c r="B115" s="32">
        <v>12.2</v>
      </c>
      <c r="C115" s="32">
        <v>311.7</v>
      </c>
      <c r="D115" s="28">
        <v>-32.194485665106541</v>
      </c>
      <c r="E115" s="28">
        <v>-103.92634341625194</v>
      </c>
      <c r="F115" s="28">
        <v>6173.2434610784576</v>
      </c>
      <c r="H115" s="84">
        <f t="shared" si="33"/>
        <v>-32.194421276135216</v>
      </c>
      <c r="I115" s="84">
        <f t="shared" si="34"/>
        <v>-103.92613556356511</v>
      </c>
      <c r="J115" s="84">
        <f t="shared" si="35"/>
        <v>6173.2311145915364</v>
      </c>
      <c r="L115" s="5">
        <f t="shared" si="40"/>
        <v>10228996.165578723</v>
      </c>
      <c r="M115" s="5">
        <f t="shared" si="41"/>
        <v>924244.64386443642</v>
      </c>
      <c r="N115" s="5">
        <f t="shared" si="42"/>
        <v>5981.2311145915364</v>
      </c>
      <c r="P115" s="5">
        <f t="shared" si="43"/>
        <v>10228996.159526171</v>
      </c>
      <c r="Q115" s="5">
        <f t="shared" si="44"/>
        <v>924244.62432632293</v>
      </c>
      <c r="R115" s="5">
        <f t="shared" si="45"/>
        <v>5981.2311145915364</v>
      </c>
      <c r="T115" s="39">
        <f t="shared" si="46"/>
        <v>2.0454125800174795E-2</v>
      </c>
      <c r="V115" s="5">
        <f t="shared" si="47"/>
        <v>-32.194421276450157</v>
      </c>
      <c r="W115" s="5">
        <f t="shared" si="48"/>
        <v>-103.92613556352444</v>
      </c>
      <c r="X115" s="5">
        <f t="shared" si="49"/>
        <v>6173.2311145915364</v>
      </c>
      <c r="Z115" s="5">
        <f t="shared" si="50"/>
        <v>-32.194421277041144</v>
      </c>
      <c r="AA115" s="5">
        <f t="shared" si="51"/>
        <v>-103.92613556353662</v>
      </c>
      <c r="AB115" s="5">
        <f t="shared" si="52"/>
        <v>6173.2311145915364</v>
      </c>
      <c r="AC115" s="84">
        <f t="shared" si="36"/>
        <v>-32.194485666012476</v>
      </c>
      <c r="AD115" s="84">
        <f t="shared" si="37"/>
        <v>-103.92634341622343</v>
      </c>
      <c r="AE115" s="84">
        <f t="shared" si="38"/>
        <v>6173.2434610784585</v>
      </c>
      <c r="AG115" s="22">
        <f t="shared" si="39"/>
        <v>9.0638374125508077E-10</v>
      </c>
    </row>
    <row r="116" spans="1:33" x14ac:dyDescent="0.2">
      <c r="A116" s="32">
        <v>2430</v>
      </c>
      <c r="B116" s="32">
        <v>9.9</v>
      </c>
      <c r="C116" s="32">
        <v>311.2</v>
      </c>
      <c r="D116" s="28">
        <v>-49.572519296885488</v>
      </c>
      <c r="E116" s="28">
        <v>-127.2068271142621</v>
      </c>
      <c r="F116" s="28">
        <v>6263.6882264721671</v>
      </c>
      <c r="H116" s="84">
        <f t="shared" si="33"/>
        <v>-49.572420151846899</v>
      </c>
      <c r="I116" s="84">
        <f t="shared" si="34"/>
        <v>-127.20657270060789</v>
      </c>
      <c r="J116" s="84">
        <f t="shared" si="35"/>
        <v>6263.6756990957147</v>
      </c>
      <c r="L116" s="5">
        <f t="shared" si="40"/>
        <v>10228978.787579847</v>
      </c>
      <c r="M116" s="5">
        <f t="shared" si="41"/>
        <v>924221.36342729931</v>
      </c>
      <c r="N116" s="5">
        <f t="shared" si="42"/>
        <v>6071.6756990957147</v>
      </c>
      <c r="P116" s="5">
        <f t="shared" si="43"/>
        <v>10228978.778260233</v>
      </c>
      <c r="Q116" s="5">
        <f t="shared" si="44"/>
        <v>924221.33951246366</v>
      </c>
      <c r="R116" s="5">
        <f t="shared" si="45"/>
        <v>6071.6756990957147</v>
      </c>
      <c r="T116" s="39">
        <f t="shared" si="46"/>
        <v>2.5666604386772186E-2</v>
      </c>
      <c r="V116" s="5">
        <f t="shared" si="47"/>
        <v>-49.572420151904225</v>
      </c>
      <c r="W116" s="5">
        <f t="shared" si="48"/>
        <v>-127.20657270064112</v>
      </c>
      <c r="X116" s="5">
        <f t="shared" si="49"/>
        <v>6263.6756990957147</v>
      </c>
      <c r="Z116" s="5">
        <f t="shared" si="50"/>
        <v>-49.57242015153475</v>
      </c>
      <c r="AA116" s="5">
        <f t="shared" si="51"/>
        <v>-127.206572700622</v>
      </c>
      <c r="AB116" s="5">
        <f t="shared" si="52"/>
        <v>6263.6756990957147</v>
      </c>
      <c r="AC116" s="84">
        <f t="shared" si="36"/>
        <v>-49.572519296573333</v>
      </c>
      <c r="AD116" s="84">
        <f t="shared" si="37"/>
        <v>-127.20682711427621</v>
      </c>
      <c r="AE116" s="84">
        <f t="shared" si="38"/>
        <v>6263.6882264721671</v>
      </c>
      <c r="AG116" s="22">
        <f t="shared" si="39"/>
        <v>3.1247443298377333E-10</v>
      </c>
    </row>
    <row r="117" spans="1:33" x14ac:dyDescent="0.2">
      <c r="A117" s="32">
        <v>2460</v>
      </c>
      <c r="B117" s="32">
        <v>7.9</v>
      </c>
      <c r="C117" s="32">
        <v>313.5</v>
      </c>
      <c r="D117" s="28">
        <v>-62.028226844360361</v>
      </c>
      <c r="E117" s="28">
        <v>-140.5856752134398</v>
      </c>
      <c r="F117" s="28">
        <v>6320.83281905268</v>
      </c>
      <c r="H117" s="84">
        <f t="shared" si="33"/>
        <v>-62.028102787906676</v>
      </c>
      <c r="I117" s="84">
        <f t="shared" si="34"/>
        <v>-140.58539404208938</v>
      </c>
      <c r="J117" s="84">
        <f t="shared" si="35"/>
        <v>6320.8201773870423</v>
      </c>
      <c r="L117" s="5">
        <f t="shared" si="40"/>
        <v>10228966.331897212</v>
      </c>
      <c r="M117" s="5">
        <f t="shared" si="41"/>
        <v>924207.98460595787</v>
      </c>
      <c r="N117" s="5">
        <f t="shared" si="42"/>
        <v>6128.8201773870423</v>
      </c>
      <c r="P117" s="5">
        <f t="shared" si="43"/>
        <v>10228966.320235929</v>
      </c>
      <c r="Q117" s="5">
        <f t="shared" si="44"/>
        <v>924207.95817590377</v>
      </c>
      <c r="R117" s="5">
        <f t="shared" si="45"/>
        <v>6128.8201773870423</v>
      </c>
      <c r="T117" s="39">
        <f t="shared" si="46"/>
        <v>2.8888289958304138E-2</v>
      </c>
      <c r="V117" s="5">
        <f t="shared" si="47"/>
        <v>-62.028102787211537</v>
      </c>
      <c r="W117" s="5">
        <f t="shared" si="48"/>
        <v>-140.58539404207841</v>
      </c>
      <c r="X117" s="5">
        <f t="shared" si="49"/>
        <v>6320.8201773870423</v>
      </c>
      <c r="Z117" s="5">
        <f t="shared" si="50"/>
        <v>-62.028102787559327</v>
      </c>
      <c r="AA117" s="5">
        <f t="shared" si="51"/>
        <v>-140.58539404210057</v>
      </c>
      <c r="AB117" s="5">
        <f t="shared" si="52"/>
        <v>6320.8201773870423</v>
      </c>
      <c r="AC117" s="84">
        <f t="shared" si="36"/>
        <v>-62.028226844013012</v>
      </c>
      <c r="AD117" s="84">
        <f t="shared" si="37"/>
        <v>-140.58567521345097</v>
      </c>
      <c r="AE117" s="84">
        <f t="shared" si="38"/>
        <v>6320.832819052679</v>
      </c>
      <c r="AG117" s="22">
        <f t="shared" si="39"/>
        <v>3.4752955317104728E-10</v>
      </c>
    </row>
    <row r="118" spans="1:33" x14ac:dyDescent="0.2">
      <c r="A118" s="32">
        <v>2490</v>
      </c>
      <c r="B118" s="32">
        <v>6.3</v>
      </c>
      <c r="C118" s="32">
        <v>312.8</v>
      </c>
      <c r="D118" s="28">
        <v>-83.877458805215568</v>
      </c>
      <c r="E118" s="28">
        <v>-161.23613201389369</v>
      </c>
      <c r="F118" s="28">
        <v>6410.9474104217297</v>
      </c>
      <c r="H118" s="84">
        <f t="shared" si="33"/>
        <v>-83.87729105029797</v>
      </c>
      <c r="I118" s="84">
        <f t="shared" si="34"/>
        <v>-161.23580954162969</v>
      </c>
      <c r="J118" s="84">
        <f t="shared" si="35"/>
        <v>6410.9345885269095</v>
      </c>
      <c r="L118" s="5">
        <f t="shared" si="40"/>
        <v>10228944.48270895</v>
      </c>
      <c r="M118" s="5">
        <f t="shared" si="41"/>
        <v>924187.33419045829</v>
      </c>
      <c r="N118" s="5">
        <f t="shared" si="42"/>
        <v>6218.9345885269095</v>
      </c>
      <c r="P118" s="5">
        <f t="shared" si="43"/>
        <v>10228944.466940019</v>
      </c>
      <c r="Q118" s="5">
        <f t="shared" si="44"/>
        <v>924187.30387812608</v>
      </c>
      <c r="R118" s="5">
        <f t="shared" si="45"/>
        <v>6218.9345885269095</v>
      </c>
      <c r="T118" s="39">
        <f t="shared" si="46"/>
        <v>3.4168650064267732E-2</v>
      </c>
      <c r="V118" s="5">
        <f t="shared" si="47"/>
        <v>-83.877291049808264</v>
      </c>
      <c r="W118" s="5">
        <f t="shared" si="48"/>
        <v>-161.23580954165664</v>
      </c>
      <c r="X118" s="5">
        <f t="shared" si="49"/>
        <v>6410.9345885269095</v>
      </c>
      <c r="Z118" s="5">
        <f t="shared" si="50"/>
        <v>-83.877291049406935</v>
      </c>
      <c r="AA118" s="5">
        <f t="shared" si="51"/>
        <v>-161.23580954167105</v>
      </c>
      <c r="AB118" s="5">
        <f t="shared" si="52"/>
        <v>6410.9345885269095</v>
      </c>
      <c r="AC118" s="84">
        <f t="shared" si="36"/>
        <v>-83.877458804324533</v>
      </c>
      <c r="AD118" s="84">
        <f t="shared" si="37"/>
        <v>-161.23613201393505</v>
      </c>
      <c r="AE118" s="84">
        <f t="shared" si="38"/>
        <v>6410.9474104217297</v>
      </c>
      <c r="AG118" s="22">
        <f t="shared" si="39"/>
        <v>8.9199391066107198E-10</v>
      </c>
    </row>
    <row r="119" spans="1:33" x14ac:dyDescent="0.2">
      <c r="A119" s="32">
        <v>2520</v>
      </c>
      <c r="B119" s="32">
        <v>4.3</v>
      </c>
      <c r="C119" s="32">
        <v>315.8</v>
      </c>
      <c r="D119" s="28">
        <v>-110.08423029388159</v>
      </c>
      <c r="E119" s="28">
        <v>-184.7186602609255</v>
      </c>
      <c r="F119" s="28">
        <v>6502.3930296205381</v>
      </c>
      <c r="H119" s="84">
        <f t="shared" si="33"/>
        <v>-110.08401012542102</v>
      </c>
      <c r="I119" s="84">
        <f t="shared" si="34"/>
        <v>-184.718290823605</v>
      </c>
      <c r="J119" s="84">
        <f t="shared" si="35"/>
        <v>6502.3800248344796</v>
      </c>
      <c r="L119" s="5">
        <f t="shared" si="40"/>
        <v>10228918.275989873</v>
      </c>
      <c r="M119" s="5">
        <f t="shared" si="41"/>
        <v>924163.85170917632</v>
      </c>
      <c r="N119" s="5">
        <f t="shared" si="42"/>
        <v>6310.3800248344796</v>
      </c>
      <c r="P119" s="5">
        <f t="shared" si="43"/>
        <v>10228918.255294081</v>
      </c>
      <c r="Q119" s="5">
        <f t="shared" si="44"/>
        <v>924163.81698213762</v>
      </c>
      <c r="R119" s="5">
        <f t="shared" si="45"/>
        <v>6310.3800248344796</v>
      </c>
      <c r="T119" s="39">
        <f t="shared" si="46"/>
        <v>4.0426266764056043E-2</v>
      </c>
      <c r="V119" s="5">
        <f t="shared" si="47"/>
        <v>-110.08401012606919</v>
      </c>
      <c r="W119" s="5">
        <f t="shared" si="48"/>
        <v>-184.71829082362819</v>
      </c>
      <c r="X119" s="5">
        <f t="shared" si="49"/>
        <v>6502.3800248344796</v>
      </c>
      <c r="Z119" s="5">
        <f t="shared" si="50"/>
        <v>-110.08401012467685</v>
      </c>
      <c r="AA119" s="5">
        <f t="shared" si="51"/>
        <v>-184.71829082365252</v>
      </c>
      <c r="AB119" s="5">
        <f t="shared" si="52"/>
        <v>6502.3800248344796</v>
      </c>
      <c r="AC119" s="84">
        <f t="shared" si="36"/>
        <v>-110.08423029313744</v>
      </c>
      <c r="AD119" s="84">
        <f t="shared" si="37"/>
        <v>-184.71866026097302</v>
      </c>
      <c r="AE119" s="84">
        <f t="shared" si="38"/>
        <v>6502.3930296205381</v>
      </c>
      <c r="AG119" s="22">
        <f t="shared" si="39"/>
        <v>7.4566719892427706E-10</v>
      </c>
    </row>
    <row r="120" spans="1:33" x14ac:dyDescent="0.2">
      <c r="A120" s="32">
        <v>2550</v>
      </c>
      <c r="B120" s="32">
        <v>3.5</v>
      </c>
      <c r="C120" s="32">
        <v>316</v>
      </c>
      <c r="D120" s="28">
        <v>-139.40322029366945</v>
      </c>
      <c r="E120" s="28">
        <v>-209.1876851573015</v>
      </c>
      <c r="F120" s="28">
        <v>6587.1805024314299</v>
      </c>
      <c r="H120" s="84">
        <f t="shared" si="33"/>
        <v>-139.40294148722887</v>
      </c>
      <c r="I120" s="84">
        <f t="shared" si="34"/>
        <v>-209.18726678193119</v>
      </c>
      <c r="J120" s="84">
        <f t="shared" si="35"/>
        <v>6587.1673280704263</v>
      </c>
      <c r="L120" s="5">
        <f t="shared" si="40"/>
        <v>10228888.957058512</v>
      </c>
      <c r="M120" s="5">
        <f t="shared" si="41"/>
        <v>924139.38273321802</v>
      </c>
      <c r="N120" s="5">
        <f t="shared" si="42"/>
        <v>6395.1673280704263</v>
      </c>
      <c r="P120" s="5">
        <f t="shared" si="43"/>
        <v>10228888.930850759</v>
      </c>
      <c r="Q120" s="5">
        <f t="shared" si="44"/>
        <v>924139.34340601182</v>
      </c>
      <c r="R120" s="5">
        <f t="shared" si="45"/>
        <v>6395.1673280704263</v>
      </c>
      <c r="T120" s="39">
        <f t="shared" si="46"/>
        <v>4.7259659758224166E-2</v>
      </c>
      <c r="V120" s="5">
        <f t="shared" si="47"/>
        <v>-139.40294148772955</v>
      </c>
      <c r="W120" s="5">
        <f t="shared" si="48"/>
        <v>-209.18726678192616</v>
      </c>
      <c r="X120" s="5">
        <f t="shared" si="49"/>
        <v>6587.1673280704263</v>
      </c>
      <c r="Z120" s="5">
        <f t="shared" si="50"/>
        <v>-139.40294148725573</v>
      </c>
      <c r="AA120" s="5">
        <f t="shared" si="51"/>
        <v>-209.18726678197763</v>
      </c>
      <c r="AB120" s="5">
        <f t="shared" si="52"/>
        <v>6587.1673280704263</v>
      </c>
      <c r="AC120" s="84">
        <f t="shared" si="36"/>
        <v>-139.40322029369631</v>
      </c>
      <c r="AD120" s="84">
        <f t="shared" si="37"/>
        <v>-209.18768515734794</v>
      </c>
      <c r="AE120" s="84">
        <f t="shared" si="38"/>
        <v>6587.1805024314299</v>
      </c>
      <c r="AG120" s="22">
        <f t="shared" si="39"/>
        <v>5.364842151407581E-11</v>
      </c>
    </row>
    <row r="121" spans="1:33" x14ac:dyDescent="0.2">
      <c r="A121" s="32">
        <v>2580</v>
      </c>
      <c r="B121" s="32">
        <v>3</v>
      </c>
      <c r="C121" s="32">
        <v>315.39999999999998</v>
      </c>
      <c r="D121" s="28">
        <v>-145.527931872115</v>
      </c>
      <c r="E121" s="28">
        <v>-214.11545126220622</v>
      </c>
      <c r="F121" s="28">
        <v>6603.373158981417</v>
      </c>
      <c r="H121" s="84">
        <f t="shared" si="33"/>
        <v>-145.52764081625128</v>
      </c>
      <c r="I121" s="84">
        <f t="shared" si="34"/>
        <v>-214.11502303130374</v>
      </c>
      <c r="J121" s="84">
        <f t="shared" si="35"/>
        <v>6603.3599522350996</v>
      </c>
      <c r="L121" s="5">
        <f t="shared" si="40"/>
        <v>10228882.832359184</v>
      </c>
      <c r="M121" s="5">
        <f t="shared" si="41"/>
        <v>924134.4549769687</v>
      </c>
      <c r="N121" s="5">
        <f t="shared" si="42"/>
        <v>6411.3599522350996</v>
      </c>
      <c r="P121" s="5">
        <f t="shared" si="43"/>
        <v>10228882.804999987</v>
      </c>
      <c r="Q121" s="5">
        <f t="shared" si="44"/>
        <v>924134.41472334426</v>
      </c>
      <c r="R121" s="5">
        <f t="shared" si="45"/>
        <v>6411.3599522350996</v>
      </c>
      <c r="T121" s="39">
        <f t="shared" si="46"/>
        <v>4.8671140691081485E-2</v>
      </c>
      <c r="V121" s="5">
        <f t="shared" si="47"/>
        <v>-145.52764081582427</v>
      </c>
      <c r="W121" s="5">
        <f t="shared" si="48"/>
        <v>-214.11502303124871</v>
      </c>
      <c r="X121" s="5">
        <f t="shared" si="49"/>
        <v>6603.3599522350996</v>
      </c>
      <c r="Z121" s="5">
        <f t="shared" si="50"/>
        <v>-145.52764081626702</v>
      </c>
      <c r="AA121" s="5">
        <f t="shared" si="51"/>
        <v>-214.11502303135524</v>
      </c>
      <c r="AB121" s="5">
        <f t="shared" si="52"/>
        <v>6603.3599522350996</v>
      </c>
      <c r="AC121" s="84">
        <f t="shared" si="36"/>
        <v>-145.52793187213075</v>
      </c>
      <c r="AD121" s="84">
        <f t="shared" si="37"/>
        <v>-214.11545126225775</v>
      </c>
      <c r="AE121" s="84">
        <f t="shared" si="38"/>
        <v>6603.373158981417</v>
      </c>
      <c r="AG121" s="22">
        <f t="shared" si="39"/>
        <v>5.3880582618832743E-11</v>
      </c>
    </row>
    <row r="122" spans="1:33" x14ac:dyDescent="0.2">
      <c r="A122" s="32">
        <v>2586</v>
      </c>
      <c r="B122" s="32">
        <v>2.9</v>
      </c>
      <c r="C122" s="32">
        <v>315.02100000000002</v>
      </c>
      <c r="D122" s="28">
        <v>-175.13834711492794</v>
      </c>
      <c r="E122" s="28">
        <v>-236.86414505122539</v>
      </c>
      <c r="F122" s="28">
        <v>6676.3729358378041</v>
      </c>
      <c r="H122" s="84">
        <f t="shared" si="33"/>
        <v>-175.13799683823373</v>
      </c>
      <c r="I122" s="84">
        <f t="shared" si="34"/>
        <v>-236.86367132293529</v>
      </c>
      <c r="J122" s="84">
        <f t="shared" si="35"/>
        <v>6676.359583091933</v>
      </c>
      <c r="L122" s="5">
        <f t="shared" si="40"/>
        <v>10228853.222003162</v>
      </c>
      <c r="M122" s="5">
        <f t="shared" si="41"/>
        <v>924111.70632867701</v>
      </c>
      <c r="N122" s="5">
        <f t="shared" si="42"/>
        <v>6484.359583091933</v>
      </c>
      <c r="P122" s="5">
        <f t="shared" si="43"/>
        <v>10228853.189077217</v>
      </c>
      <c r="Q122" s="5">
        <f t="shared" si="44"/>
        <v>924111.66179830686</v>
      </c>
      <c r="R122" s="5">
        <f t="shared" si="45"/>
        <v>6484.359583091933</v>
      </c>
      <c r="T122" s="39">
        <f t="shared" si="46"/>
        <v>5.5381149370560268E-2</v>
      </c>
      <c r="V122" s="5">
        <f t="shared" si="47"/>
        <v>-175.13799683749676</v>
      </c>
      <c r="W122" s="5">
        <f t="shared" si="48"/>
        <v>-236.86367132293526</v>
      </c>
      <c r="X122" s="5">
        <f t="shared" si="49"/>
        <v>6676.359583091933</v>
      </c>
      <c r="Z122" s="5">
        <f t="shared" si="50"/>
        <v>-175.13799683886637</v>
      </c>
      <c r="AA122" s="5">
        <f t="shared" si="51"/>
        <v>-236.86367132288282</v>
      </c>
      <c r="AB122" s="5">
        <f t="shared" si="52"/>
        <v>6676.359583091933</v>
      </c>
      <c r="AC122" s="84">
        <f t="shared" si="36"/>
        <v>-175.13834711556058</v>
      </c>
      <c r="AD122" s="84">
        <f t="shared" si="37"/>
        <v>-236.86414505117293</v>
      </c>
      <c r="AE122" s="84">
        <f t="shared" si="38"/>
        <v>6676.3729358378032</v>
      </c>
      <c r="AG122" s="22">
        <f t="shared" si="39"/>
        <v>6.3481134814572599E-10</v>
      </c>
    </row>
    <row r="123" spans="1:33" x14ac:dyDescent="0.2">
      <c r="A123" s="32">
        <v>2610</v>
      </c>
      <c r="B123" s="32">
        <v>2.5</v>
      </c>
      <c r="C123" s="32">
        <v>313.2</v>
      </c>
      <c r="D123" s="28">
        <v>-214.51572255879105</v>
      </c>
      <c r="E123" s="28">
        <v>-264.40213746804397</v>
      </c>
      <c r="F123" s="28">
        <v>6759.4555675220763</v>
      </c>
      <c r="H123" s="84">
        <f t="shared" si="33"/>
        <v>-214.51529352734596</v>
      </c>
      <c r="I123" s="84">
        <f t="shared" si="34"/>
        <v>-264.40160866376903</v>
      </c>
      <c r="J123" s="84">
        <f t="shared" si="35"/>
        <v>6759.442048610942</v>
      </c>
      <c r="L123" s="5">
        <f t="shared" si="40"/>
        <v>10228813.844706472</v>
      </c>
      <c r="M123" s="5">
        <f t="shared" si="41"/>
        <v>924084.16839133622</v>
      </c>
      <c r="N123" s="5">
        <f t="shared" si="42"/>
        <v>6567.442048610942</v>
      </c>
      <c r="P123" s="5">
        <f t="shared" si="43"/>
        <v>10228813.804377597</v>
      </c>
      <c r="Q123" s="5">
        <f t="shared" si="44"/>
        <v>924084.11868383375</v>
      </c>
      <c r="R123" s="5">
        <f t="shared" si="45"/>
        <v>6567.442048610942</v>
      </c>
      <c r="T123" s="39">
        <f t="shared" si="46"/>
        <v>6.400979593786385E-2</v>
      </c>
      <c r="V123" s="5">
        <f t="shared" si="47"/>
        <v>-214.51529352739453</v>
      </c>
      <c r="W123" s="5">
        <f t="shared" si="48"/>
        <v>-264.40160866372753</v>
      </c>
      <c r="X123" s="5">
        <f t="shared" si="49"/>
        <v>6759.442048610942</v>
      </c>
      <c r="Z123" s="5">
        <f t="shared" si="50"/>
        <v>-214.51529352739541</v>
      </c>
      <c r="AA123" s="5">
        <f t="shared" si="51"/>
        <v>-264.40160866377465</v>
      </c>
      <c r="AB123" s="5">
        <f t="shared" si="52"/>
        <v>6759.442048610942</v>
      </c>
      <c r="AC123" s="84">
        <f t="shared" si="36"/>
        <v>-214.51572255884048</v>
      </c>
      <c r="AD123" s="84">
        <f t="shared" si="37"/>
        <v>-264.40213746804955</v>
      </c>
      <c r="AE123" s="84">
        <f t="shared" si="38"/>
        <v>6759.4555675220763</v>
      </c>
      <c r="AG123" s="22">
        <f t="shared" si="39"/>
        <v>4.9738291960370634E-11</v>
      </c>
    </row>
    <row r="124" spans="1:33" x14ac:dyDescent="0.2">
      <c r="A124" s="32">
        <v>2640</v>
      </c>
      <c r="B124" s="32">
        <v>2.4</v>
      </c>
      <c r="C124" s="32">
        <v>315.7</v>
      </c>
      <c r="D124" s="28">
        <v>-258.85932626896749</v>
      </c>
      <c r="E124" s="28">
        <v>-293.00354297731093</v>
      </c>
      <c r="F124" s="28">
        <v>6839.6424635839212</v>
      </c>
      <c r="H124" s="84">
        <f t="shared" si="33"/>
        <v>-258.85880855031496</v>
      </c>
      <c r="I124" s="84">
        <f t="shared" si="34"/>
        <v>-293.002956970225</v>
      </c>
      <c r="J124" s="84">
        <f t="shared" si="35"/>
        <v>6839.628784298995</v>
      </c>
      <c r="L124" s="5">
        <f t="shared" si="40"/>
        <v>10228769.501191448</v>
      </c>
      <c r="M124" s="5">
        <f t="shared" si="41"/>
        <v>924055.5670430297</v>
      </c>
      <c r="N124" s="5">
        <f t="shared" si="42"/>
        <v>6647.628784298995</v>
      </c>
      <c r="P124" s="5">
        <f t="shared" si="43"/>
        <v>10228769.452525994</v>
      </c>
      <c r="Q124" s="5">
        <f t="shared" si="44"/>
        <v>924055.51195847383</v>
      </c>
      <c r="R124" s="5">
        <f t="shared" si="45"/>
        <v>6647.628784298995</v>
      </c>
      <c r="T124" s="39">
        <f t="shared" si="46"/>
        <v>7.3502617426287734E-2</v>
      </c>
      <c r="V124" s="5">
        <f t="shared" si="47"/>
        <v>-258.85880855098367</v>
      </c>
      <c r="W124" s="5">
        <f t="shared" si="48"/>
        <v>-293.00295697024558</v>
      </c>
      <c r="X124" s="5">
        <f t="shared" si="49"/>
        <v>6839.628784298995</v>
      </c>
      <c r="Z124" s="5">
        <f t="shared" si="50"/>
        <v>-258.85880854958748</v>
      </c>
      <c r="AA124" s="5">
        <f t="shared" si="51"/>
        <v>-293.00295697021068</v>
      </c>
      <c r="AB124" s="5">
        <f t="shared" si="52"/>
        <v>6839.628784298995</v>
      </c>
      <c r="AC124" s="84">
        <f t="shared" si="36"/>
        <v>-258.85932626824001</v>
      </c>
      <c r="AD124" s="84">
        <f t="shared" si="37"/>
        <v>-293.0035429772966</v>
      </c>
      <c r="AE124" s="84">
        <f t="shared" si="38"/>
        <v>6839.6424635839212</v>
      </c>
      <c r="AG124" s="22">
        <f t="shared" si="39"/>
        <v>7.2762309015507861E-10</v>
      </c>
    </row>
    <row r="125" spans="1:33" x14ac:dyDescent="0.2">
      <c r="A125" s="32">
        <v>2670</v>
      </c>
      <c r="B125" s="32">
        <v>2.1</v>
      </c>
      <c r="C125" s="32">
        <v>311.89999999999998</v>
      </c>
      <c r="D125" s="28">
        <v>-306.73627485270964</v>
      </c>
      <c r="E125" s="28">
        <v>-321.04267820737647</v>
      </c>
      <c r="F125" s="28">
        <v>6916.7436504849893</v>
      </c>
      <c r="H125" s="84">
        <f t="shared" si="33"/>
        <v>-306.73566138015997</v>
      </c>
      <c r="I125" s="84">
        <f t="shared" si="34"/>
        <v>-321.04203612202008</v>
      </c>
      <c r="J125" s="84">
        <f t="shared" si="35"/>
        <v>6916.7298169976893</v>
      </c>
      <c r="L125" s="5">
        <f t="shared" si="40"/>
        <v>10228721.624338619</v>
      </c>
      <c r="M125" s="5">
        <f t="shared" si="41"/>
        <v>924027.52796387789</v>
      </c>
      <c r="N125" s="5">
        <f t="shared" si="42"/>
        <v>6724.7298169976893</v>
      </c>
      <c r="P125" s="5">
        <f t="shared" si="43"/>
        <v>10228721.566672316</v>
      </c>
      <c r="Q125" s="5">
        <f t="shared" si="44"/>
        <v>924027.46760797512</v>
      </c>
      <c r="R125" s="5">
        <f t="shared" si="45"/>
        <v>6724.7298169976893</v>
      </c>
      <c r="T125" s="39">
        <f t="shared" si="46"/>
        <v>8.3475970005811861E-2</v>
      </c>
      <c r="V125" s="5">
        <f t="shared" si="47"/>
        <v>-306.73566137999296</v>
      </c>
      <c r="W125" s="5">
        <f t="shared" si="48"/>
        <v>-321.04203612206038</v>
      </c>
      <c r="X125" s="5">
        <f t="shared" si="49"/>
        <v>6916.7298169976893</v>
      </c>
      <c r="Z125" s="5">
        <f t="shared" si="50"/>
        <v>-306.7356613792436</v>
      </c>
      <c r="AA125" s="5">
        <f t="shared" si="51"/>
        <v>-321.04203612203531</v>
      </c>
      <c r="AB125" s="5">
        <f t="shared" si="52"/>
        <v>6916.7298169976893</v>
      </c>
      <c r="AC125" s="84">
        <f t="shared" si="36"/>
        <v>-306.73627485179327</v>
      </c>
      <c r="AD125" s="84">
        <f t="shared" si="37"/>
        <v>-321.0426782073917</v>
      </c>
      <c r="AE125" s="84">
        <f t="shared" si="38"/>
        <v>6916.7436504849893</v>
      </c>
      <c r="AG125" s="22">
        <f t="shared" si="39"/>
        <v>9.1649937414106082E-10</v>
      </c>
    </row>
    <row r="126" spans="1:33" x14ac:dyDescent="0.2">
      <c r="A126" s="32">
        <v>2700</v>
      </c>
      <c r="B126" s="32">
        <v>2.2999999999999998</v>
      </c>
      <c r="C126" s="32">
        <v>307.60000000000002</v>
      </c>
      <c r="D126" s="28">
        <v>-358.68519521999548</v>
      </c>
      <c r="E126" s="28">
        <v>-348.94143178259213</v>
      </c>
      <c r="F126" s="28">
        <v>6992.4927543305657</v>
      </c>
      <c r="H126" s="84">
        <f t="shared" si="33"/>
        <v>-358.68447784960506</v>
      </c>
      <c r="I126" s="84">
        <f t="shared" si="34"/>
        <v>-348.94073389972863</v>
      </c>
      <c r="J126" s="84">
        <f t="shared" si="35"/>
        <v>6992.4787693450571</v>
      </c>
      <c r="L126" s="5">
        <f t="shared" si="40"/>
        <v>10228669.67552215</v>
      </c>
      <c r="M126" s="5">
        <f t="shared" si="41"/>
        <v>923999.62926610024</v>
      </c>
      <c r="N126" s="5">
        <f t="shared" si="42"/>
        <v>6800.4787693450571</v>
      </c>
      <c r="P126" s="5">
        <f t="shared" si="43"/>
        <v>10228669.608089468</v>
      </c>
      <c r="Q126" s="5">
        <f t="shared" si="44"/>
        <v>923999.56366524228</v>
      </c>
      <c r="R126" s="5">
        <f t="shared" si="45"/>
        <v>6800.4787693450571</v>
      </c>
      <c r="T126" s="39">
        <f t="shared" si="46"/>
        <v>9.4077836367498446E-2</v>
      </c>
      <c r="V126" s="5">
        <f t="shared" si="47"/>
        <v>-358.68447784893215</v>
      </c>
      <c r="W126" s="5">
        <f t="shared" si="48"/>
        <v>-348.94073389971163</v>
      </c>
      <c r="X126" s="5">
        <f t="shared" si="49"/>
        <v>6992.4787693450571</v>
      </c>
      <c r="Z126" s="5">
        <f t="shared" si="50"/>
        <v>-358.68447785005753</v>
      </c>
      <c r="AA126" s="5">
        <f t="shared" si="51"/>
        <v>-348.94073389969202</v>
      </c>
      <c r="AB126" s="5">
        <f t="shared" si="52"/>
        <v>6992.4787693450571</v>
      </c>
      <c r="AC126" s="84">
        <f t="shared" si="36"/>
        <v>-358.68519522044795</v>
      </c>
      <c r="AD126" s="84">
        <f t="shared" si="37"/>
        <v>-348.94143178255553</v>
      </c>
      <c r="AE126" s="84">
        <f t="shared" si="38"/>
        <v>6992.4927543305648</v>
      </c>
      <c r="AG126" s="22">
        <f t="shared" si="39"/>
        <v>4.5395295236118859E-10</v>
      </c>
    </row>
    <row r="127" spans="1:33" x14ac:dyDescent="0.2">
      <c r="A127" s="32">
        <v>2730</v>
      </c>
      <c r="B127" s="32">
        <v>2</v>
      </c>
      <c r="C127" s="32">
        <v>309</v>
      </c>
      <c r="D127" s="28">
        <v>-428.53537099051618</v>
      </c>
      <c r="E127" s="28">
        <v>-387.95017980848331</v>
      </c>
      <c r="F127" s="28">
        <v>7098.7011764644949</v>
      </c>
      <c r="H127" s="84">
        <f t="shared" si="33"/>
        <v>-428.53451391977421</v>
      </c>
      <c r="I127" s="84">
        <f t="shared" si="34"/>
        <v>-387.94940390812371</v>
      </c>
      <c r="J127" s="84">
        <f t="shared" si="35"/>
        <v>7098.6869790621431</v>
      </c>
      <c r="L127" s="5">
        <f t="shared" si="40"/>
        <v>10228599.825486079</v>
      </c>
      <c r="M127" s="5">
        <f t="shared" si="41"/>
        <v>923960.62059609185</v>
      </c>
      <c r="N127" s="5">
        <f t="shared" si="42"/>
        <v>6906.6869790621431</v>
      </c>
      <c r="P127" s="5">
        <f t="shared" si="43"/>
        <v>10228599.744921591</v>
      </c>
      <c r="Q127" s="5">
        <f t="shared" si="44"/>
        <v>923960.54766160389</v>
      </c>
      <c r="R127" s="5">
        <f t="shared" si="45"/>
        <v>6906.6869790621431</v>
      </c>
      <c r="T127" s="39">
        <f t="shared" si="46"/>
        <v>0.10867417455469572</v>
      </c>
      <c r="V127" s="5">
        <f t="shared" si="47"/>
        <v>-428.53451392054558</v>
      </c>
      <c r="W127" s="5">
        <f t="shared" si="48"/>
        <v>-387.9494039081037</v>
      </c>
      <c r="X127" s="5">
        <f t="shared" si="49"/>
        <v>7098.6869790621431</v>
      </c>
      <c r="Z127" s="5">
        <f t="shared" si="50"/>
        <v>-428.53451391965416</v>
      </c>
      <c r="AA127" s="5">
        <f t="shared" si="51"/>
        <v>-387.94940390811996</v>
      </c>
      <c r="AB127" s="5">
        <f t="shared" si="52"/>
        <v>7098.6869790621431</v>
      </c>
      <c r="AC127" s="84">
        <f t="shared" si="36"/>
        <v>-428.53537099039607</v>
      </c>
      <c r="AD127" s="84">
        <f t="shared" si="37"/>
        <v>-387.9501798084795</v>
      </c>
      <c r="AE127" s="84">
        <f t="shared" si="38"/>
        <v>7098.7011764644949</v>
      </c>
      <c r="AG127" s="22">
        <f t="shared" si="39"/>
        <v>1.2017050988363756E-10</v>
      </c>
    </row>
    <row r="128" spans="1:33" x14ac:dyDescent="0.2">
      <c r="A128" s="32">
        <v>2760</v>
      </c>
      <c r="B128" s="32">
        <v>1.9</v>
      </c>
      <c r="C128" s="32">
        <v>301</v>
      </c>
      <c r="D128" s="28">
        <v>-470.30136790692757</v>
      </c>
      <c r="E128" s="28">
        <v>-412.77236343707602</v>
      </c>
      <c r="F128" s="28">
        <v>7165.9922352804406</v>
      </c>
      <c r="H128" s="84">
        <f t="shared" si="33"/>
        <v>-470.30042730419177</v>
      </c>
      <c r="I128" s="84">
        <f t="shared" si="34"/>
        <v>-412.77153789234916</v>
      </c>
      <c r="J128" s="84">
        <f t="shared" si="35"/>
        <v>7165.9779032959705</v>
      </c>
      <c r="L128" s="5">
        <f t="shared" si="40"/>
        <v>10228558.059572695</v>
      </c>
      <c r="M128" s="5">
        <f t="shared" si="41"/>
        <v>923935.79846210754</v>
      </c>
      <c r="N128" s="5">
        <f t="shared" si="42"/>
        <v>6973.9779032959705</v>
      </c>
      <c r="P128" s="5">
        <f t="shared" si="43"/>
        <v>10228557.971156215</v>
      </c>
      <c r="Q128" s="5">
        <f t="shared" si="44"/>
        <v>923935.72086105845</v>
      </c>
      <c r="R128" s="5">
        <f t="shared" si="45"/>
        <v>6973.9779032959705</v>
      </c>
      <c r="T128" s="39">
        <f t="shared" si="46"/>
        <v>0.11764096511344135</v>
      </c>
      <c r="V128" s="5">
        <f t="shared" si="47"/>
        <v>-470.30042730458081</v>
      </c>
      <c r="W128" s="5">
        <f t="shared" si="48"/>
        <v>-412.77153789240401</v>
      </c>
      <c r="X128" s="5">
        <f t="shared" si="49"/>
        <v>7165.9779032959705</v>
      </c>
      <c r="Z128" s="5">
        <f t="shared" si="50"/>
        <v>-470.30042730377562</v>
      </c>
      <c r="AA128" s="5">
        <f t="shared" si="51"/>
        <v>-412.77153789237559</v>
      </c>
      <c r="AB128" s="5">
        <f t="shared" si="52"/>
        <v>7165.9779032959705</v>
      </c>
      <c r="AC128" s="84">
        <f t="shared" si="36"/>
        <v>-470.30136790651142</v>
      </c>
      <c r="AD128" s="84">
        <f t="shared" si="37"/>
        <v>-412.7723634371024</v>
      </c>
      <c r="AE128" s="84">
        <f t="shared" si="38"/>
        <v>7165.9922352804406</v>
      </c>
      <c r="AG128" s="22">
        <f t="shared" si="39"/>
        <v>4.1698565755165838E-10</v>
      </c>
    </row>
    <row r="129" spans="1:33" x14ac:dyDescent="0.2">
      <c r="A129" s="32">
        <v>2790</v>
      </c>
      <c r="B129" s="32">
        <v>2.1</v>
      </c>
      <c r="C129" s="32">
        <v>305.60000000000002</v>
      </c>
      <c r="D129" s="28">
        <v>-520.28551380718341</v>
      </c>
      <c r="E129" s="28">
        <v>-441.98165117775812</v>
      </c>
      <c r="F129" s="28">
        <v>7242.5696425834367</v>
      </c>
      <c r="H129" s="84">
        <f t="shared" si="33"/>
        <v>-520.2844732361558</v>
      </c>
      <c r="I129" s="84">
        <f t="shared" si="34"/>
        <v>-441.9807672144558</v>
      </c>
      <c r="J129" s="84">
        <f t="shared" si="35"/>
        <v>7242.5551574441524</v>
      </c>
      <c r="L129" s="5">
        <f t="shared" si="40"/>
        <v>10228508.075526763</v>
      </c>
      <c r="M129" s="5">
        <f t="shared" si="41"/>
        <v>923906.58923278551</v>
      </c>
      <c r="N129" s="5">
        <f t="shared" si="42"/>
        <v>7050.5551574441524</v>
      </c>
      <c r="P129" s="5">
        <f t="shared" si="43"/>
        <v>10228507.977713283</v>
      </c>
      <c r="Q129" s="5">
        <f t="shared" si="44"/>
        <v>923906.50614040124</v>
      </c>
      <c r="R129" s="5">
        <f t="shared" si="45"/>
        <v>7050.5551574441524</v>
      </c>
      <c r="T129" s="39">
        <f t="shared" si="46"/>
        <v>0.12834259275906668</v>
      </c>
      <c r="V129" s="5">
        <f t="shared" si="47"/>
        <v>-520.28447323665023</v>
      </c>
      <c r="W129" s="5">
        <f t="shared" si="48"/>
        <v>-441.98076721443795</v>
      </c>
      <c r="X129" s="5">
        <f t="shared" si="49"/>
        <v>7242.5551574441524</v>
      </c>
      <c r="Z129" s="5">
        <f t="shared" si="50"/>
        <v>-520.28447323528428</v>
      </c>
      <c r="AA129" s="5">
        <f t="shared" si="51"/>
        <v>-441.98076721447478</v>
      </c>
      <c r="AB129" s="5">
        <f t="shared" si="52"/>
        <v>7242.5551574441524</v>
      </c>
      <c r="AC129" s="84">
        <f t="shared" si="36"/>
        <v>-520.28551380631188</v>
      </c>
      <c r="AD129" s="84">
        <f t="shared" si="37"/>
        <v>-441.98165117777711</v>
      </c>
      <c r="AE129" s="84">
        <f t="shared" si="38"/>
        <v>7242.5696425834367</v>
      </c>
      <c r="AG129" s="22">
        <f t="shared" si="39"/>
        <v>8.717300704850872E-10</v>
      </c>
    </row>
    <row r="130" spans="1:33" x14ac:dyDescent="0.2">
      <c r="A130" s="32">
        <v>2820</v>
      </c>
      <c r="B130" s="32">
        <v>1.7</v>
      </c>
      <c r="C130" s="32">
        <v>303</v>
      </c>
      <c r="D130" s="28">
        <v>-571.95560891241303</v>
      </c>
      <c r="E130" s="28">
        <v>-470.98092584801014</v>
      </c>
      <c r="F130" s="28">
        <v>7318.1001890621337</v>
      </c>
      <c r="H130" s="84">
        <f t="shared" si="33"/>
        <v>-571.95446500119522</v>
      </c>
      <c r="I130" s="84">
        <f t="shared" si="34"/>
        <v>-470.97998388615849</v>
      </c>
      <c r="J130" s="84">
        <f t="shared" si="35"/>
        <v>7318.0855528617558</v>
      </c>
      <c r="L130" s="5">
        <f t="shared" si="40"/>
        <v>10228456.405534998</v>
      </c>
      <c r="M130" s="5">
        <f t="shared" si="41"/>
        <v>923877.59001611383</v>
      </c>
      <c r="N130" s="5">
        <f t="shared" si="42"/>
        <v>7126.0855528617558</v>
      </c>
      <c r="P130" s="5">
        <f t="shared" si="43"/>
        <v>10228456.298007559</v>
      </c>
      <c r="Q130" s="5">
        <f t="shared" si="44"/>
        <v>923877.50147187687</v>
      </c>
      <c r="R130" s="5">
        <f t="shared" si="45"/>
        <v>7126.0855528617558</v>
      </c>
      <c r="T130" s="39">
        <f t="shared" si="46"/>
        <v>0.13929189474093001</v>
      </c>
      <c r="V130" s="5">
        <f t="shared" si="47"/>
        <v>-571.95446500182152</v>
      </c>
      <c r="W130" s="5">
        <f t="shared" si="48"/>
        <v>-470.97998388612177</v>
      </c>
      <c r="X130" s="5">
        <f t="shared" si="49"/>
        <v>7318.0855528617558</v>
      </c>
      <c r="Z130" s="5">
        <f t="shared" si="50"/>
        <v>-571.9544650009525</v>
      </c>
      <c r="AA130" s="5">
        <f t="shared" si="51"/>
        <v>-470.9799838861129</v>
      </c>
      <c r="AB130" s="5">
        <f t="shared" si="52"/>
        <v>7318.0855528617558</v>
      </c>
      <c r="AC130" s="84">
        <f t="shared" si="36"/>
        <v>-571.95560891217031</v>
      </c>
      <c r="AD130" s="84">
        <f t="shared" si="37"/>
        <v>-470.98092584796456</v>
      </c>
      <c r="AE130" s="84">
        <f t="shared" si="38"/>
        <v>7318.1001890621328</v>
      </c>
      <c r="AG130" s="22">
        <f t="shared" si="39"/>
        <v>2.4696722191710191E-10</v>
      </c>
    </row>
    <row r="131" spans="1:33" x14ac:dyDescent="0.2">
      <c r="A131" s="32">
        <v>2850</v>
      </c>
      <c r="B131" s="32">
        <v>1.5</v>
      </c>
      <c r="C131" s="32">
        <v>308.10000000000002</v>
      </c>
      <c r="D131" s="28">
        <v>-625.95535584366769</v>
      </c>
      <c r="E131" s="28">
        <v>-499.10546655997251</v>
      </c>
      <c r="F131" s="28">
        <v>7392.3162013221599</v>
      </c>
      <c r="H131" s="84">
        <f t="shared" si="33"/>
        <v>-625.95410393295606</v>
      </c>
      <c r="I131" s="84">
        <f t="shared" si="34"/>
        <v>-499.10446834903945</v>
      </c>
      <c r="J131" s="84">
        <f t="shared" si="35"/>
        <v>7392.3014166897574</v>
      </c>
      <c r="L131" s="5">
        <f t="shared" si="40"/>
        <v>10228402.405896066</v>
      </c>
      <c r="M131" s="5">
        <f t="shared" si="41"/>
        <v>923849.46553165093</v>
      </c>
      <c r="N131" s="5">
        <f t="shared" si="42"/>
        <v>7200.3014166897574</v>
      </c>
      <c r="P131" s="5">
        <f t="shared" si="43"/>
        <v>10228402.288216695</v>
      </c>
      <c r="Q131" s="5">
        <f t="shared" si="44"/>
        <v>923849.37170001084</v>
      </c>
      <c r="R131" s="5">
        <f t="shared" si="45"/>
        <v>7200.3014166897574</v>
      </c>
      <c r="T131" s="39">
        <f t="shared" si="46"/>
        <v>0.1505085078603442</v>
      </c>
      <c r="V131" s="5">
        <f t="shared" si="47"/>
        <v>-625.95410393364727</v>
      </c>
      <c r="W131" s="5">
        <f t="shared" si="48"/>
        <v>-499.10446834901813</v>
      </c>
      <c r="X131" s="5">
        <f t="shared" si="49"/>
        <v>7392.3014166897574</v>
      </c>
      <c r="Z131" s="5">
        <f t="shared" si="50"/>
        <v>-625.95410393267514</v>
      </c>
      <c r="AA131" s="5">
        <f t="shared" si="51"/>
        <v>-499.10446834905463</v>
      </c>
      <c r="AB131" s="5">
        <f t="shared" si="52"/>
        <v>7392.3014166897574</v>
      </c>
      <c r="AC131" s="84">
        <f t="shared" si="36"/>
        <v>-625.95535584338677</v>
      </c>
      <c r="AD131" s="84">
        <f t="shared" si="37"/>
        <v>-499.10546655998775</v>
      </c>
      <c r="AE131" s="84">
        <f t="shared" si="38"/>
        <v>7392.3162013221599</v>
      </c>
      <c r="AG131" s="22">
        <f t="shared" si="39"/>
        <v>2.8133293648302611E-10</v>
      </c>
    </row>
    <row r="132" spans="1:33" x14ac:dyDescent="0.2">
      <c r="A132" s="32">
        <v>2880</v>
      </c>
      <c r="B132" s="32">
        <v>1.7</v>
      </c>
      <c r="C132" s="32">
        <v>302.7</v>
      </c>
      <c r="D132" s="28">
        <v>-683.45659672665545</v>
      </c>
      <c r="E132" s="28">
        <v>-525.96125174161148</v>
      </c>
      <c r="F132" s="28">
        <v>7465.6653938099298</v>
      </c>
      <c r="H132" s="84">
        <f t="shared" si="33"/>
        <v>-683.45522981346198</v>
      </c>
      <c r="I132" s="84">
        <f t="shared" si="34"/>
        <v>-525.96019981910808</v>
      </c>
      <c r="J132" s="84">
        <f t="shared" si="35"/>
        <v>7465.6504624791432</v>
      </c>
      <c r="L132" s="5">
        <f t="shared" si="40"/>
        <v>10228344.904770186</v>
      </c>
      <c r="M132" s="5">
        <f t="shared" si="41"/>
        <v>923822.60980018089</v>
      </c>
      <c r="N132" s="5">
        <f t="shared" si="42"/>
        <v>7273.6504624791432</v>
      </c>
      <c r="P132" s="5">
        <f t="shared" si="43"/>
        <v>10228344.776280602</v>
      </c>
      <c r="Q132" s="5">
        <f t="shared" si="44"/>
        <v>923822.51091966324</v>
      </c>
      <c r="R132" s="5">
        <f t="shared" si="45"/>
        <v>7273.6504624791432</v>
      </c>
      <c r="T132" s="39">
        <f t="shared" si="46"/>
        <v>0.16213244554122183</v>
      </c>
      <c r="V132" s="5">
        <f t="shared" si="47"/>
        <v>-683.45522981323302</v>
      </c>
      <c r="W132" s="5">
        <f t="shared" si="48"/>
        <v>-525.96019981906284</v>
      </c>
      <c r="X132" s="5">
        <f t="shared" si="49"/>
        <v>7465.6504624791432</v>
      </c>
      <c r="Z132" s="5">
        <f t="shared" si="50"/>
        <v>-683.45522981375871</v>
      </c>
      <c r="AA132" s="5">
        <f t="shared" si="51"/>
        <v>-525.96019981914253</v>
      </c>
      <c r="AB132" s="5">
        <f t="shared" si="52"/>
        <v>7465.6504624791432</v>
      </c>
      <c r="AC132" s="84">
        <f t="shared" si="36"/>
        <v>-683.45659672695217</v>
      </c>
      <c r="AD132" s="84">
        <f t="shared" si="37"/>
        <v>-525.96125174164592</v>
      </c>
      <c r="AE132" s="84">
        <f t="shared" si="38"/>
        <v>7465.6653938099307</v>
      </c>
      <c r="AG132" s="22">
        <f t="shared" si="39"/>
        <v>2.9871685525315933E-10</v>
      </c>
    </row>
    <row r="133" spans="1:33" x14ac:dyDescent="0.2">
      <c r="A133" s="32">
        <v>2910</v>
      </c>
      <c r="B133" s="32">
        <v>1.3</v>
      </c>
      <c r="C133" s="32">
        <v>306</v>
      </c>
      <c r="D133" s="28">
        <v>-738.38706685807119</v>
      </c>
      <c r="E133" s="28">
        <v>-549.23623649914907</v>
      </c>
      <c r="F133" s="28">
        <v>7531.7073439572659</v>
      </c>
      <c r="H133" s="84">
        <f t="shared" si="33"/>
        <v>-738.38559008393759</v>
      </c>
      <c r="I133" s="84">
        <f t="shared" si="34"/>
        <v>-549.23513802667617</v>
      </c>
      <c r="J133" s="84">
        <f t="shared" si="35"/>
        <v>7531.6922805425793</v>
      </c>
      <c r="L133" s="5">
        <f t="shared" si="40"/>
        <v>10228289.974409916</v>
      </c>
      <c r="M133" s="5">
        <f t="shared" si="41"/>
        <v>923799.3348619733</v>
      </c>
      <c r="N133" s="5">
        <f t="shared" si="42"/>
        <v>7339.6922805425793</v>
      </c>
      <c r="P133" s="5">
        <f t="shared" si="43"/>
        <v>10228289.835593425</v>
      </c>
      <c r="Q133" s="5">
        <f t="shared" si="44"/>
        <v>923799.23160576727</v>
      </c>
      <c r="R133" s="5">
        <f t="shared" si="45"/>
        <v>7339.6922805425793</v>
      </c>
      <c r="T133" s="39">
        <f t="shared" si="46"/>
        <v>0.17300827203592795</v>
      </c>
      <c r="V133" s="5">
        <f t="shared" si="47"/>
        <v>-738.38559008389711</v>
      </c>
      <c r="W133" s="5">
        <f t="shared" si="48"/>
        <v>-549.2351380266482</v>
      </c>
      <c r="X133" s="5">
        <f t="shared" si="49"/>
        <v>7531.6922805425793</v>
      </c>
      <c r="Z133" s="5">
        <f t="shared" si="50"/>
        <v>-738.38559008373068</v>
      </c>
      <c r="AA133" s="5">
        <f t="shared" si="51"/>
        <v>-549.23513802672733</v>
      </c>
      <c r="AB133" s="5">
        <f t="shared" si="52"/>
        <v>7531.6922805425793</v>
      </c>
      <c r="AC133" s="84">
        <f t="shared" si="36"/>
        <v>-738.38706685786428</v>
      </c>
      <c r="AD133" s="84">
        <f t="shared" si="37"/>
        <v>-549.23623649920034</v>
      </c>
      <c r="AE133" s="84">
        <f t="shared" si="38"/>
        <v>7531.7073439572659</v>
      </c>
      <c r="AG133" s="22">
        <f t="shared" si="39"/>
        <v>2.1316815636350286E-10</v>
      </c>
    </row>
    <row r="134" spans="1:33" x14ac:dyDescent="0.2">
      <c r="A134" s="32">
        <v>2940</v>
      </c>
      <c r="B134" s="32">
        <v>1.5</v>
      </c>
      <c r="C134" s="32">
        <v>310</v>
      </c>
      <c r="D134" s="28">
        <v>-771.28540711095263</v>
      </c>
      <c r="E134" s="28">
        <v>-562.40595982709317</v>
      </c>
      <c r="F134" s="28">
        <v>7569.7624934440701</v>
      </c>
      <c r="H134" s="84">
        <f t="shared" si="33"/>
        <v>-771.28386454013844</v>
      </c>
      <c r="I134" s="84">
        <f t="shared" si="34"/>
        <v>-562.4048350151736</v>
      </c>
      <c r="J134" s="84">
        <f t="shared" si="35"/>
        <v>7569.7473539190842</v>
      </c>
      <c r="L134" s="5">
        <f t="shared" si="40"/>
        <v>10228257.076135458</v>
      </c>
      <c r="M134" s="5">
        <f t="shared" si="41"/>
        <v>923786.16516498476</v>
      </c>
      <c r="N134" s="5">
        <f t="shared" si="42"/>
        <v>7377.7473539190842</v>
      </c>
      <c r="P134" s="5">
        <f t="shared" si="43"/>
        <v>10228256.931134094</v>
      </c>
      <c r="Q134" s="5">
        <f t="shared" si="44"/>
        <v>923786.05943287583</v>
      </c>
      <c r="R134" s="5">
        <f t="shared" si="45"/>
        <v>7377.7473539190842</v>
      </c>
      <c r="T134" s="39">
        <f t="shared" si="46"/>
        <v>0.17945660944615002</v>
      </c>
      <c r="V134" s="5">
        <f t="shared" si="47"/>
        <v>-771.28386454097927</v>
      </c>
      <c r="W134" s="5">
        <f t="shared" si="48"/>
        <v>-562.40483501518611</v>
      </c>
      <c r="X134" s="5">
        <f t="shared" si="49"/>
        <v>7569.7473539190842</v>
      </c>
      <c r="Z134" s="5">
        <f t="shared" si="50"/>
        <v>-771.28386453931762</v>
      </c>
      <c r="AA134" s="5">
        <f t="shared" si="51"/>
        <v>-562.40483501513518</v>
      </c>
      <c r="AB134" s="5">
        <f t="shared" si="52"/>
        <v>7569.7473539190842</v>
      </c>
      <c r="AC134" s="84">
        <f t="shared" si="36"/>
        <v>-771.2854071101317</v>
      </c>
      <c r="AD134" s="84">
        <f t="shared" si="37"/>
        <v>-562.40595982705474</v>
      </c>
      <c r="AE134" s="84">
        <f t="shared" si="38"/>
        <v>7569.7624934440701</v>
      </c>
      <c r="AG134" s="22">
        <f t="shared" si="39"/>
        <v>8.2183148725628013E-10</v>
      </c>
    </row>
    <row r="135" spans="1:33" x14ac:dyDescent="0.2">
      <c r="A135" s="32">
        <v>2970</v>
      </c>
      <c r="B135" s="32">
        <v>1.8</v>
      </c>
      <c r="C135" s="32">
        <v>305.5</v>
      </c>
      <c r="D135" s="28">
        <v>-833.90878287014573</v>
      </c>
      <c r="E135" s="28">
        <v>-585.72212009687416</v>
      </c>
      <c r="F135" s="28">
        <v>7638.680442449242</v>
      </c>
      <c r="H135" s="84">
        <f t="shared" si="33"/>
        <v>-833.90711505258014</v>
      </c>
      <c r="I135" s="84">
        <f t="shared" si="34"/>
        <v>-585.72094865263409</v>
      </c>
      <c r="J135" s="84">
        <f t="shared" si="35"/>
        <v>7638.6651650883578</v>
      </c>
      <c r="L135" s="5">
        <f t="shared" si="40"/>
        <v>10228194.452884946</v>
      </c>
      <c r="M135" s="5">
        <f t="shared" si="41"/>
        <v>923762.84905134735</v>
      </c>
      <c r="N135" s="5">
        <f t="shared" si="42"/>
        <v>7446.6651650883578</v>
      </c>
      <c r="P135" s="5">
        <f t="shared" si="43"/>
        <v>10228194.296110408</v>
      </c>
      <c r="Q135" s="5">
        <f t="shared" si="44"/>
        <v>923762.738935809</v>
      </c>
      <c r="R135" s="5">
        <f t="shared" si="45"/>
        <v>7446.6651650883578</v>
      </c>
      <c r="T135" s="39">
        <f t="shared" si="46"/>
        <v>0.19158206449962437</v>
      </c>
      <c r="V135" s="5">
        <f t="shared" si="47"/>
        <v>-833.9071150533855</v>
      </c>
      <c r="W135" s="5">
        <f t="shared" si="48"/>
        <v>-585.72094865259714</v>
      </c>
      <c r="X135" s="5">
        <f t="shared" si="49"/>
        <v>7638.6651650883578</v>
      </c>
      <c r="Z135" s="5">
        <f t="shared" si="50"/>
        <v>-833.90711505339323</v>
      </c>
      <c r="AA135" s="5">
        <f t="shared" si="51"/>
        <v>-585.72094865260169</v>
      </c>
      <c r="AB135" s="5">
        <f t="shared" si="52"/>
        <v>7638.6651650883578</v>
      </c>
      <c r="AC135" s="84">
        <f t="shared" si="36"/>
        <v>-833.90878287095882</v>
      </c>
      <c r="AD135" s="84">
        <f t="shared" si="37"/>
        <v>-585.72212009684188</v>
      </c>
      <c r="AE135" s="84">
        <f t="shared" si="38"/>
        <v>7638.680442449242</v>
      </c>
      <c r="AG135" s="22">
        <f t="shared" si="39"/>
        <v>8.1372905713228744E-10</v>
      </c>
    </row>
    <row r="136" spans="1:33" x14ac:dyDescent="0.2">
      <c r="A136" s="32">
        <v>3000</v>
      </c>
      <c r="B136" s="32">
        <v>1.6</v>
      </c>
      <c r="C136" s="32">
        <v>299.7</v>
      </c>
      <c r="D136" s="28">
        <v>-899.08207349447162</v>
      </c>
      <c r="E136" s="28">
        <v>-607.46066898661115</v>
      </c>
      <c r="F136" s="28">
        <v>7705.7235398206849</v>
      </c>
      <c r="H136" s="84">
        <f t="shared" si="33"/>
        <v>-899.08027533032475</v>
      </c>
      <c r="I136" s="84">
        <f t="shared" si="34"/>
        <v>-607.45945406527323</v>
      </c>
      <c r="J136" s="84">
        <f t="shared" si="35"/>
        <v>7705.7081283736061</v>
      </c>
      <c r="L136" s="5">
        <f t="shared" si="40"/>
        <v>10228129.279724669</v>
      </c>
      <c r="M136" s="5">
        <f t="shared" si="41"/>
        <v>923741.11054593464</v>
      </c>
      <c r="N136" s="5">
        <f t="shared" si="42"/>
        <v>7513.7081283736061</v>
      </c>
      <c r="P136" s="5">
        <f t="shared" si="43"/>
        <v>10228129.110697577</v>
      </c>
      <c r="Q136" s="5">
        <f t="shared" si="44"/>
        <v>923740.99634355726</v>
      </c>
      <c r="R136" s="5">
        <f t="shared" si="45"/>
        <v>7513.7081283736061</v>
      </c>
      <c r="T136" s="39">
        <f t="shared" si="46"/>
        <v>0.20399103119696288</v>
      </c>
      <c r="V136" s="5">
        <f t="shared" si="47"/>
        <v>-899.08027533069253</v>
      </c>
      <c r="W136" s="5">
        <f t="shared" si="48"/>
        <v>-607.45945406530518</v>
      </c>
      <c r="X136" s="5">
        <f t="shared" si="49"/>
        <v>7705.7081283736061</v>
      </c>
      <c r="Z136" s="5">
        <f t="shared" si="50"/>
        <v>-899.08027533086556</v>
      </c>
      <c r="AA136" s="5">
        <f t="shared" si="51"/>
        <v>-607.45945406532724</v>
      </c>
      <c r="AB136" s="5">
        <f t="shared" si="52"/>
        <v>7705.7081283736061</v>
      </c>
      <c r="AC136" s="84">
        <f t="shared" si="36"/>
        <v>-899.08207349501242</v>
      </c>
      <c r="AD136" s="84">
        <f t="shared" si="37"/>
        <v>-607.46066898666515</v>
      </c>
      <c r="AE136" s="84">
        <f t="shared" si="38"/>
        <v>7705.7235398206849</v>
      </c>
      <c r="AG136" s="22">
        <f t="shared" si="39"/>
        <v>5.4349768914843026E-10</v>
      </c>
    </row>
    <row r="137" spans="1:33" x14ac:dyDescent="0.2">
      <c r="A137" s="32">
        <v>3030</v>
      </c>
      <c r="B137" s="32">
        <v>1.2</v>
      </c>
      <c r="C137" s="32">
        <v>302</v>
      </c>
      <c r="D137" s="28">
        <v>-966.54895296030259</v>
      </c>
      <c r="E137" s="28">
        <v>-627.47801672950311</v>
      </c>
      <c r="F137" s="28">
        <v>7771.0130818731932</v>
      </c>
      <c r="H137" s="84">
        <f t="shared" si="33"/>
        <v>-966.54701986239684</v>
      </c>
      <c r="I137" s="84">
        <f t="shared" si="34"/>
        <v>-627.47676177346966</v>
      </c>
      <c r="J137" s="84">
        <f t="shared" si="35"/>
        <v>7770.9975398470306</v>
      </c>
      <c r="L137" s="5">
        <f t="shared" si="40"/>
        <v>10228061.812980138</v>
      </c>
      <c r="M137" s="5">
        <f t="shared" si="41"/>
        <v>923721.09323822649</v>
      </c>
      <c r="N137" s="5">
        <f t="shared" si="42"/>
        <v>7578.9975398470306</v>
      </c>
      <c r="P137" s="5">
        <f t="shared" si="43"/>
        <v>10228061.631269297</v>
      </c>
      <c r="Q137" s="5">
        <f t="shared" si="44"/>
        <v>923720.9752725953</v>
      </c>
      <c r="R137" s="5">
        <f t="shared" si="45"/>
        <v>7578.9975398470306</v>
      </c>
      <c r="T137" s="39">
        <f t="shared" si="46"/>
        <v>0.21664422431035038</v>
      </c>
      <c r="V137" s="5">
        <f t="shared" si="47"/>
        <v>-966.54701986163855</v>
      </c>
      <c r="W137" s="5">
        <f t="shared" si="48"/>
        <v>-627.47676177346148</v>
      </c>
      <c r="X137" s="5">
        <f t="shared" si="49"/>
        <v>7770.9975398470306</v>
      </c>
      <c r="Z137" s="5">
        <f t="shared" si="50"/>
        <v>-966.54701986303837</v>
      </c>
      <c r="AA137" s="5">
        <f t="shared" si="51"/>
        <v>-627.47676177343499</v>
      </c>
      <c r="AB137" s="5">
        <f t="shared" si="52"/>
        <v>7770.9975398470306</v>
      </c>
      <c r="AC137" s="84">
        <f t="shared" si="36"/>
        <v>-966.54895296094412</v>
      </c>
      <c r="AD137" s="84">
        <f t="shared" si="37"/>
        <v>-627.47801672946844</v>
      </c>
      <c r="AE137" s="84">
        <f t="shared" si="38"/>
        <v>7771.0130818731941</v>
      </c>
      <c r="AG137" s="22">
        <f t="shared" si="39"/>
        <v>6.4247185086273245E-10</v>
      </c>
    </row>
    <row r="138" spans="1:33" x14ac:dyDescent="0.2">
      <c r="A138" s="32">
        <v>3060</v>
      </c>
      <c r="B138" s="32">
        <v>1.4</v>
      </c>
      <c r="C138" s="32">
        <v>295.8</v>
      </c>
      <c r="D138" s="28">
        <v>-1036.5352096177403</v>
      </c>
      <c r="E138" s="28">
        <v>-646.09241009972322</v>
      </c>
      <c r="F138" s="28">
        <v>7835.5413815936772</v>
      </c>
      <c r="H138" s="84">
        <f t="shared" si="33"/>
        <v>-1036.5331365473212</v>
      </c>
      <c r="I138" s="84">
        <f t="shared" si="34"/>
        <v>-646.09111791490307</v>
      </c>
      <c r="J138" s="84">
        <f t="shared" si="35"/>
        <v>7835.525710510914</v>
      </c>
      <c r="L138" s="5">
        <f t="shared" si="40"/>
        <v>10227991.826863453</v>
      </c>
      <c r="M138" s="5">
        <f t="shared" si="41"/>
        <v>923702.47888208507</v>
      </c>
      <c r="N138" s="5">
        <f t="shared" si="42"/>
        <v>7643.525710510914</v>
      </c>
      <c r="P138" s="5">
        <f t="shared" si="43"/>
        <v>10227991.631995222</v>
      </c>
      <c r="Q138" s="5">
        <f t="shared" si="44"/>
        <v>923702.35741695482</v>
      </c>
      <c r="R138" s="5">
        <f t="shared" si="45"/>
        <v>7643.525710510914</v>
      </c>
      <c r="T138" s="39">
        <f t="shared" si="46"/>
        <v>0.22962448779049507</v>
      </c>
      <c r="V138" s="5">
        <f t="shared" si="47"/>
        <v>-1036.5331365466118</v>
      </c>
      <c r="W138" s="5">
        <f t="shared" si="48"/>
        <v>-646.09111791488249</v>
      </c>
      <c r="X138" s="5">
        <f t="shared" si="49"/>
        <v>7835.525710510914</v>
      </c>
      <c r="Z138" s="5">
        <f t="shared" si="50"/>
        <v>-1036.5331365481329</v>
      </c>
      <c r="AA138" s="5">
        <f t="shared" si="51"/>
        <v>-646.09111791495786</v>
      </c>
      <c r="AB138" s="5">
        <f t="shared" si="52"/>
        <v>7835.525710510914</v>
      </c>
      <c r="AC138" s="84">
        <f t="shared" si="36"/>
        <v>-1036.535209618552</v>
      </c>
      <c r="AD138" s="84">
        <f t="shared" si="37"/>
        <v>-646.09241009977791</v>
      </c>
      <c r="AE138" s="84">
        <f t="shared" si="38"/>
        <v>7835.5413815936772</v>
      </c>
      <c r="AG138" s="22">
        <f t="shared" si="39"/>
        <v>8.1356386205817856E-10</v>
      </c>
    </row>
    <row r="139" spans="1:33" x14ac:dyDescent="0.2">
      <c r="A139" s="32">
        <v>3090</v>
      </c>
      <c r="B139" s="32">
        <v>1.3</v>
      </c>
      <c r="C139" s="32">
        <v>300</v>
      </c>
      <c r="D139" s="28">
        <v>-1106.854286625849</v>
      </c>
      <c r="E139" s="28">
        <v>-662.98409855326736</v>
      </c>
      <c r="F139" s="28">
        <v>7897.1378672056899</v>
      </c>
      <c r="H139" s="84">
        <f t="shared" si="33"/>
        <v>-1106.8520729172758</v>
      </c>
      <c r="I139" s="84">
        <f t="shared" si="34"/>
        <v>-662.98277258507028</v>
      </c>
      <c r="J139" s="84">
        <f t="shared" si="35"/>
        <v>7897.1220729299566</v>
      </c>
      <c r="L139" s="5">
        <f t="shared" si="40"/>
        <v>10227921.507927082</v>
      </c>
      <c r="M139" s="5">
        <f t="shared" si="41"/>
        <v>923685.58722741483</v>
      </c>
      <c r="N139" s="5">
        <f t="shared" si="42"/>
        <v>7705.1220729299566</v>
      </c>
      <c r="P139" s="5">
        <f t="shared" si="43"/>
        <v>10227921.299838893</v>
      </c>
      <c r="Q139" s="5">
        <f t="shared" si="44"/>
        <v>923685.46258665365</v>
      </c>
      <c r="R139" s="5">
        <f t="shared" si="45"/>
        <v>7705.1220729299566</v>
      </c>
      <c r="T139" s="39">
        <f t="shared" si="46"/>
        <v>0.24256136110092841</v>
      </c>
      <c r="V139" s="5">
        <f t="shared" si="47"/>
        <v>-1106.852072916925</v>
      </c>
      <c r="W139" s="5">
        <f t="shared" si="48"/>
        <v>-662.98277258512098</v>
      </c>
      <c r="X139" s="5">
        <f t="shared" si="49"/>
        <v>7897.1220729299566</v>
      </c>
      <c r="Z139" s="5">
        <f t="shared" si="50"/>
        <v>-1106.85207291658</v>
      </c>
      <c r="AA139" s="5">
        <f t="shared" si="51"/>
        <v>-662.98277258505107</v>
      </c>
      <c r="AB139" s="5">
        <f t="shared" si="52"/>
        <v>7897.1220729299566</v>
      </c>
      <c r="AC139" s="84">
        <f t="shared" si="36"/>
        <v>-1106.8542866251532</v>
      </c>
      <c r="AD139" s="84">
        <f t="shared" si="37"/>
        <v>-662.98409855324815</v>
      </c>
      <c r="AE139" s="84">
        <f t="shared" si="38"/>
        <v>7897.1378672056908</v>
      </c>
      <c r="AG139" s="22">
        <f t="shared" si="39"/>
        <v>6.9602926909362582E-10</v>
      </c>
    </row>
    <row r="140" spans="1:33" x14ac:dyDescent="0.2">
      <c r="A140" s="32">
        <v>3120</v>
      </c>
      <c r="B140" s="32">
        <v>1.6</v>
      </c>
      <c r="C140" s="32">
        <v>304.3</v>
      </c>
      <c r="D140" s="28">
        <v>-1179.4309344676913</v>
      </c>
      <c r="E140" s="28">
        <v>-678.34137028556074</v>
      </c>
      <c r="F140" s="28">
        <v>7956.4709690634054</v>
      </c>
      <c r="H140" s="84">
        <f t="shared" si="33"/>
        <v>-1179.4285756058225</v>
      </c>
      <c r="I140" s="84">
        <f t="shared" si="34"/>
        <v>-678.34001360282025</v>
      </c>
      <c r="J140" s="84">
        <f t="shared" si="35"/>
        <v>7956.4550561214683</v>
      </c>
      <c r="L140" s="5">
        <f t="shared" si="40"/>
        <v>10227848.931424394</v>
      </c>
      <c r="M140" s="5">
        <f t="shared" si="41"/>
        <v>923670.22998639708</v>
      </c>
      <c r="N140" s="5">
        <f t="shared" si="42"/>
        <v>7764.4550561214683</v>
      </c>
      <c r="P140" s="5">
        <f t="shared" si="43"/>
        <v>10227848.709691821</v>
      </c>
      <c r="Q140" s="5">
        <f t="shared" si="44"/>
        <v>923670.10245847458</v>
      </c>
      <c r="R140" s="5">
        <f t="shared" si="45"/>
        <v>7764.4550561214683</v>
      </c>
      <c r="T140" s="39">
        <f t="shared" si="46"/>
        <v>0.25579035401544259</v>
      </c>
      <c r="V140" s="5">
        <f t="shared" si="47"/>
        <v>-1179.428575605154</v>
      </c>
      <c r="W140" s="5">
        <f t="shared" si="48"/>
        <v>-678.34001360286493</v>
      </c>
      <c r="X140" s="5">
        <f t="shared" si="49"/>
        <v>7956.4550561214683</v>
      </c>
      <c r="Z140" s="5">
        <f t="shared" si="50"/>
        <v>-1179.4285756065237</v>
      </c>
      <c r="AA140" s="5">
        <f t="shared" si="51"/>
        <v>-678.34001360281582</v>
      </c>
      <c r="AB140" s="5">
        <f t="shared" si="52"/>
        <v>7956.4550561214683</v>
      </c>
      <c r="AC140" s="84">
        <f t="shared" si="36"/>
        <v>-1179.4309344683925</v>
      </c>
      <c r="AD140" s="84">
        <f t="shared" si="37"/>
        <v>-678.34137028555631</v>
      </c>
      <c r="AE140" s="84">
        <f t="shared" si="38"/>
        <v>7956.4709690634054</v>
      </c>
      <c r="AG140" s="22">
        <f t="shared" si="39"/>
        <v>7.0123443224850247E-10</v>
      </c>
    </row>
    <row r="141" spans="1:33" x14ac:dyDescent="0.2">
      <c r="A141" s="32">
        <v>3150</v>
      </c>
      <c r="B141" s="32">
        <v>2</v>
      </c>
      <c r="C141" s="32">
        <v>305.60000000000002</v>
      </c>
      <c r="D141" s="28">
        <v>-1255.9339582907585</v>
      </c>
      <c r="E141" s="28">
        <v>-692.14778125147927</v>
      </c>
      <c r="F141" s="28">
        <v>8014.4747413213736</v>
      </c>
      <c r="H141" s="84">
        <f t="shared" si="33"/>
        <v>-1255.9314464228421</v>
      </c>
      <c r="I141" s="84">
        <f t="shared" si="34"/>
        <v>-692.14639695591688</v>
      </c>
      <c r="J141" s="84">
        <f t="shared" si="35"/>
        <v>8014.4587123718911</v>
      </c>
      <c r="L141" s="5">
        <f t="shared" si="40"/>
        <v>10227772.428553576</v>
      </c>
      <c r="M141" s="5">
        <f t="shared" si="41"/>
        <v>923656.42360304401</v>
      </c>
      <c r="N141" s="5">
        <f t="shared" si="42"/>
        <v>7822.4587123718911</v>
      </c>
      <c r="P141" s="5">
        <f t="shared" si="43"/>
        <v>10227772.192438465</v>
      </c>
      <c r="Q141" s="5">
        <f t="shared" si="44"/>
        <v>923656.29347952141</v>
      </c>
      <c r="R141" s="5">
        <f t="shared" si="45"/>
        <v>7822.4587123718911</v>
      </c>
      <c r="T141" s="39">
        <f t="shared" si="46"/>
        <v>0.26959687830892692</v>
      </c>
      <c r="V141" s="5">
        <f t="shared" si="47"/>
        <v>-1255.9314464237541</v>
      </c>
      <c r="W141" s="5">
        <f t="shared" si="48"/>
        <v>-692.14639695594087</v>
      </c>
      <c r="X141" s="5">
        <f t="shared" si="49"/>
        <v>8014.4587123718911</v>
      </c>
      <c r="Z141" s="5">
        <f t="shared" si="50"/>
        <v>-1255.9314464228646</v>
      </c>
      <c r="AA141" s="5">
        <f t="shared" si="51"/>
        <v>-692.14639695591143</v>
      </c>
      <c r="AB141" s="5">
        <f t="shared" si="52"/>
        <v>8014.4587123718911</v>
      </c>
      <c r="AC141" s="84">
        <f t="shared" si="36"/>
        <v>-1255.933958290781</v>
      </c>
      <c r="AD141" s="84">
        <f t="shared" si="37"/>
        <v>-692.14778125147382</v>
      </c>
      <c r="AE141" s="84">
        <f t="shared" si="38"/>
        <v>8014.4747413213727</v>
      </c>
      <c r="AG141" s="22">
        <f t="shared" si="39"/>
        <v>2.317985130757909E-11</v>
      </c>
    </row>
    <row r="142" spans="1:33" x14ac:dyDescent="0.2">
      <c r="A142" s="32">
        <v>3180</v>
      </c>
      <c r="B142" s="32">
        <v>1.9</v>
      </c>
      <c r="C142" s="32">
        <v>300.2</v>
      </c>
      <c r="D142" s="28">
        <v>-1333.6161110691469</v>
      </c>
      <c r="E142" s="28">
        <v>-703.85812419934223</v>
      </c>
      <c r="F142" s="28">
        <v>8069.6419792244287</v>
      </c>
      <c r="H142" s="84">
        <f t="shared" si="33"/>
        <v>-1333.6134438369249</v>
      </c>
      <c r="I142" s="84">
        <f t="shared" si="34"/>
        <v>-703.85671648309392</v>
      </c>
      <c r="J142" s="84">
        <f t="shared" si="35"/>
        <v>8069.6258399404715</v>
      </c>
      <c r="L142" s="5">
        <f t="shared" si="40"/>
        <v>10227694.746556163</v>
      </c>
      <c r="M142" s="5">
        <f t="shared" si="41"/>
        <v>923644.71328351682</v>
      </c>
      <c r="N142" s="5">
        <f t="shared" si="42"/>
        <v>7877.6258399404715</v>
      </c>
      <c r="P142" s="5">
        <f t="shared" si="43"/>
        <v>10227694.495836835</v>
      </c>
      <c r="Q142" s="5">
        <f t="shared" si="44"/>
        <v>923644.58095845417</v>
      </c>
      <c r="R142" s="5">
        <f t="shared" si="45"/>
        <v>7877.6258399404715</v>
      </c>
      <c r="T142" s="39">
        <f t="shared" si="46"/>
        <v>0.28349621404127895</v>
      </c>
      <c r="V142" s="5">
        <f t="shared" si="47"/>
        <v>-1333.6134438365698</v>
      </c>
      <c r="W142" s="5">
        <f t="shared" si="48"/>
        <v>-703.85671648313291</v>
      </c>
      <c r="X142" s="5">
        <f t="shared" si="49"/>
        <v>8069.6258399404715</v>
      </c>
      <c r="Z142" s="5">
        <f t="shared" si="50"/>
        <v>-1333.613443836608</v>
      </c>
      <c r="AA142" s="5">
        <f t="shared" si="51"/>
        <v>-703.85671648307869</v>
      </c>
      <c r="AB142" s="5">
        <f t="shared" si="52"/>
        <v>8069.6258399404715</v>
      </c>
      <c r="AC142" s="84">
        <f t="shared" si="36"/>
        <v>-1333.6161110688299</v>
      </c>
      <c r="AD142" s="84">
        <f t="shared" si="37"/>
        <v>-703.85812419932699</v>
      </c>
      <c r="AE142" s="84">
        <f t="shared" si="38"/>
        <v>8069.6419792244287</v>
      </c>
      <c r="AG142" s="22">
        <f t="shared" si="39"/>
        <v>3.173247900992812E-10</v>
      </c>
    </row>
    <row r="143" spans="1:33" x14ac:dyDescent="0.2">
      <c r="A143" s="32">
        <v>3210</v>
      </c>
      <c r="B143" s="32">
        <v>1.5</v>
      </c>
      <c r="C143" s="32">
        <v>302.5</v>
      </c>
      <c r="D143" s="28">
        <v>-1412.8541667413276</v>
      </c>
      <c r="E143" s="28">
        <v>-713.55860567568595</v>
      </c>
      <c r="F143" s="28">
        <v>8122.9570805338444</v>
      </c>
      <c r="H143" s="84">
        <f t="shared" si="33"/>
        <v>-1412.8513410329942</v>
      </c>
      <c r="I143" s="84">
        <f t="shared" si="34"/>
        <v>-713.55717855847467</v>
      </c>
      <c r="J143" s="84">
        <f t="shared" si="35"/>
        <v>8122.9408346196842</v>
      </c>
      <c r="L143" s="5">
        <f t="shared" si="40"/>
        <v>10227615.508658966</v>
      </c>
      <c r="M143" s="5">
        <f t="shared" si="41"/>
        <v>923635.01282144152</v>
      </c>
      <c r="N143" s="5">
        <f t="shared" si="42"/>
        <v>7930.9408346196842</v>
      </c>
      <c r="P143" s="5">
        <f t="shared" si="43"/>
        <v>10227615.243042914</v>
      </c>
      <c r="Q143" s="5">
        <f t="shared" si="44"/>
        <v>923634.87867269188</v>
      </c>
      <c r="R143" s="5">
        <f t="shared" si="45"/>
        <v>7930.9408346196842</v>
      </c>
      <c r="T143" s="39">
        <f t="shared" si="46"/>
        <v>0.29756978010476826</v>
      </c>
      <c r="V143" s="5">
        <f t="shared" si="47"/>
        <v>-1412.8513410333544</v>
      </c>
      <c r="W143" s="5">
        <f t="shared" si="48"/>
        <v>-713.5571785584325</v>
      </c>
      <c r="X143" s="5">
        <f t="shared" si="49"/>
        <v>8122.9408346196842</v>
      </c>
      <c r="Z143" s="5">
        <f t="shared" si="50"/>
        <v>-1412.8513410330927</v>
      </c>
      <c r="AA143" s="5">
        <f t="shared" si="51"/>
        <v>-713.55717855850276</v>
      </c>
      <c r="AB143" s="5">
        <f t="shared" si="52"/>
        <v>8122.9408346196842</v>
      </c>
      <c r="AC143" s="84">
        <f t="shared" si="36"/>
        <v>-1412.8541667414261</v>
      </c>
      <c r="AD143" s="84">
        <f t="shared" si="37"/>
        <v>-713.55860567571403</v>
      </c>
      <c r="AE143" s="84">
        <f t="shared" si="38"/>
        <v>8122.9570805338444</v>
      </c>
      <c r="AG143" s="22">
        <f t="shared" si="39"/>
        <v>1.0237908458419575E-10</v>
      </c>
    </row>
    <row r="144" spans="1:33" x14ac:dyDescent="0.2">
      <c r="A144" s="32">
        <v>3240</v>
      </c>
      <c r="B144" s="32">
        <v>1.3</v>
      </c>
      <c r="C144" s="32">
        <v>307.3</v>
      </c>
      <c r="D144" s="28">
        <v>-1493.4345051837076</v>
      </c>
      <c r="E144" s="28">
        <v>-721.30351307582089</v>
      </c>
      <c r="F144" s="28">
        <v>8174.5528710007557</v>
      </c>
      <c r="H144" s="84">
        <f t="shared" si="33"/>
        <v>-1493.4315183146973</v>
      </c>
      <c r="I144" s="84">
        <f t="shared" si="34"/>
        <v>-721.3020704687948</v>
      </c>
      <c r="J144" s="84">
        <f t="shared" si="35"/>
        <v>8174.5365218950137</v>
      </c>
      <c r="L144" s="5">
        <f t="shared" si="40"/>
        <v>10227534.928481685</v>
      </c>
      <c r="M144" s="5">
        <f t="shared" si="41"/>
        <v>923627.26792953117</v>
      </c>
      <c r="N144" s="5">
        <f t="shared" si="42"/>
        <v>7982.5365218950137</v>
      </c>
      <c r="P144" s="5">
        <f t="shared" si="43"/>
        <v>10227534.647716559</v>
      </c>
      <c r="Q144" s="5">
        <f t="shared" si="44"/>
        <v>923627.13232474192</v>
      </c>
      <c r="R144" s="5">
        <f t="shared" si="45"/>
        <v>7982.5365218950137</v>
      </c>
      <c r="T144" s="39">
        <f t="shared" si="46"/>
        <v>0.31179755383848701</v>
      </c>
      <c r="V144" s="5">
        <f t="shared" si="47"/>
        <v>-1493.4315183144063</v>
      </c>
      <c r="W144" s="5">
        <f t="shared" si="48"/>
        <v>-721.30207046878058</v>
      </c>
      <c r="X144" s="5">
        <f t="shared" si="49"/>
        <v>8174.5365218950137</v>
      </c>
      <c r="Z144" s="5">
        <f t="shared" si="50"/>
        <v>-1493.4315183144911</v>
      </c>
      <c r="AA144" s="5">
        <f t="shared" si="51"/>
        <v>-721.30207046878013</v>
      </c>
      <c r="AB144" s="5">
        <f t="shared" si="52"/>
        <v>8174.5365218950137</v>
      </c>
      <c r="AC144" s="84">
        <f t="shared" si="36"/>
        <v>-1493.4345051835012</v>
      </c>
      <c r="AD144" s="84">
        <f t="shared" si="37"/>
        <v>-721.30351307580622</v>
      </c>
      <c r="AE144" s="84">
        <f t="shared" si="38"/>
        <v>8174.5528710007547</v>
      </c>
      <c r="AG144" s="22">
        <f t="shared" si="39"/>
        <v>2.0697752740048466E-10</v>
      </c>
    </row>
    <row r="145" spans="1:33" x14ac:dyDescent="0.2">
      <c r="A145" s="32">
        <v>3270</v>
      </c>
      <c r="B145" s="32">
        <v>1</v>
      </c>
      <c r="C145" s="32">
        <v>298</v>
      </c>
      <c r="D145" s="28">
        <v>-1576.1267269641276</v>
      </c>
      <c r="E145" s="28">
        <v>-727.48722598486029</v>
      </c>
      <c r="F145" s="28">
        <v>8224.8737641903062</v>
      </c>
      <c r="H145" s="84">
        <f t="shared" si="33"/>
        <v>-1576.1235747106737</v>
      </c>
      <c r="I145" s="84">
        <f t="shared" si="34"/>
        <v>-727.48577101040837</v>
      </c>
      <c r="J145" s="84">
        <f t="shared" si="35"/>
        <v>8224.8573144427774</v>
      </c>
      <c r="L145" s="5">
        <f t="shared" si="40"/>
        <v>10227452.236425288</v>
      </c>
      <c r="M145" s="5">
        <f t="shared" si="41"/>
        <v>923621.08422898955</v>
      </c>
      <c r="N145" s="5">
        <f t="shared" si="42"/>
        <v>8032.8573144427774</v>
      </c>
      <c r="P145" s="5">
        <f t="shared" si="43"/>
        <v>10227451.940114057</v>
      </c>
      <c r="Q145" s="5">
        <f t="shared" si="44"/>
        <v>923620.94746166456</v>
      </c>
      <c r="R145" s="5">
        <f t="shared" si="45"/>
        <v>8032.8573144427774</v>
      </c>
      <c r="T145" s="39">
        <f t="shared" si="46"/>
        <v>0.32635202925316698</v>
      </c>
      <c r="V145" s="5">
        <f t="shared" si="47"/>
        <v>-1576.1235747113824</v>
      </c>
      <c r="W145" s="5">
        <f t="shared" si="48"/>
        <v>-727.485771010397</v>
      </c>
      <c r="X145" s="5">
        <f t="shared" si="49"/>
        <v>8224.8573144427774</v>
      </c>
      <c r="Z145" s="5">
        <f t="shared" si="50"/>
        <v>-1576.1235747106666</v>
      </c>
      <c r="AA145" s="5">
        <f t="shared" si="51"/>
        <v>-727.4857710104385</v>
      </c>
      <c r="AB145" s="5">
        <f t="shared" si="52"/>
        <v>8224.8573144427774</v>
      </c>
      <c r="AC145" s="84">
        <f t="shared" si="36"/>
        <v>-1576.1267269641205</v>
      </c>
      <c r="AD145" s="84">
        <f t="shared" si="37"/>
        <v>-727.48722598489042</v>
      </c>
      <c r="AE145" s="84">
        <f t="shared" si="38"/>
        <v>8224.8737641903062</v>
      </c>
      <c r="AG145" s="22">
        <f t="shared" si="39"/>
        <v>3.09405783294745E-11</v>
      </c>
    </row>
    <row r="146" spans="1:33" x14ac:dyDescent="0.2">
      <c r="A146" s="32">
        <v>3300</v>
      </c>
      <c r="B146" s="32">
        <v>1.4</v>
      </c>
      <c r="C146" s="32">
        <v>290.60000000000002</v>
      </c>
      <c r="D146" s="28">
        <v>-1659.3155333266548</v>
      </c>
      <c r="E146" s="28">
        <v>-732.41750786026273</v>
      </c>
      <c r="F146" s="28">
        <v>8272.5238871934143</v>
      </c>
      <c r="H146" s="84">
        <f t="shared" si="33"/>
        <v>-1659.3122146955884</v>
      </c>
      <c r="I146" s="84">
        <f t="shared" si="34"/>
        <v>-732.41604302524706</v>
      </c>
      <c r="J146" s="84">
        <f t="shared" si="35"/>
        <v>8272.5073421456418</v>
      </c>
      <c r="L146" s="5">
        <f t="shared" si="40"/>
        <v>10227369.047785304</v>
      </c>
      <c r="M146" s="5">
        <f t="shared" si="41"/>
        <v>923616.15395697474</v>
      </c>
      <c r="N146" s="5">
        <f t="shared" si="42"/>
        <v>8080.5073421456418</v>
      </c>
      <c r="P146" s="5">
        <f t="shared" si="43"/>
        <v>10227368.735834608</v>
      </c>
      <c r="Q146" s="5">
        <f t="shared" si="44"/>
        <v>923616.01626275864</v>
      </c>
      <c r="R146" s="5">
        <f t="shared" si="45"/>
        <v>8080.5073421456418</v>
      </c>
      <c r="T146" s="39">
        <f t="shared" si="46"/>
        <v>0.3409881732214286</v>
      </c>
      <c r="V146" s="5">
        <f t="shared" si="47"/>
        <v>-1659.3122146949172</v>
      </c>
      <c r="W146" s="5">
        <f t="shared" si="48"/>
        <v>-732.41604302520864</v>
      </c>
      <c r="X146" s="5">
        <f t="shared" si="49"/>
        <v>8272.5073421456418</v>
      </c>
      <c r="Z146" s="5">
        <f t="shared" si="50"/>
        <v>-1659.3122146951866</v>
      </c>
      <c r="AA146" s="5">
        <f t="shared" si="51"/>
        <v>-732.41604302522035</v>
      </c>
      <c r="AB146" s="5">
        <f t="shared" si="52"/>
        <v>8272.5073421456418</v>
      </c>
      <c r="AC146" s="84">
        <f t="shared" si="36"/>
        <v>-1659.315533326253</v>
      </c>
      <c r="AD146" s="84">
        <f t="shared" si="37"/>
        <v>-732.41750786023601</v>
      </c>
      <c r="AE146" s="84">
        <f t="shared" si="38"/>
        <v>8272.5238871934162</v>
      </c>
      <c r="AG146" s="22">
        <f t="shared" si="39"/>
        <v>4.0266069226139734E-10</v>
      </c>
    </row>
    <row r="147" spans="1:33" x14ac:dyDescent="0.2">
      <c r="A147" s="32">
        <v>3330</v>
      </c>
      <c r="B147" s="32">
        <v>1.7</v>
      </c>
      <c r="C147" s="32">
        <v>297</v>
      </c>
      <c r="D147" s="28">
        <v>-1743.1170471239766</v>
      </c>
      <c r="E147" s="28">
        <v>-736.20297500299125</v>
      </c>
      <c r="F147" s="28">
        <v>8317.1004105720167</v>
      </c>
      <c r="H147" s="84">
        <f t="shared" si="33"/>
        <v>-1743.1135608898826</v>
      </c>
      <c r="I147" s="84">
        <f t="shared" si="34"/>
        <v>-736.20150259704133</v>
      </c>
      <c r="J147" s="84">
        <f t="shared" si="35"/>
        <v>8317.083776371197</v>
      </c>
      <c r="L147" s="5">
        <f t="shared" si="40"/>
        <v>10227285.246439109</v>
      </c>
      <c r="M147" s="5">
        <f t="shared" si="41"/>
        <v>923612.36849740287</v>
      </c>
      <c r="N147" s="5">
        <f t="shared" si="42"/>
        <v>8125.083776371197</v>
      </c>
      <c r="P147" s="5">
        <f t="shared" si="43"/>
        <v>10227284.918733761</v>
      </c>
      <c r="Q147" s="5">
        <f t="shared" si="44"/>
        <v>923612.23009152047</v>
      </c>
      <c r="R147" s="5">
        <f t="shared" si="45"/>
        <v>8125.083776371197</v>
      </c>
      <c r="T147" s="39">
        <f t="shared" si="46"/>
        <v>0.35573442809663292</v>
      </c>
      <c r="V147" s="5">
        <f t="shared" si="47"/>
        <v>-1743.1135608907789</v>
      </c>
      <c r="W147" s="5">
        <f t="shared" si="48"/>
        <v>-736.20150259707589</v>
      </c>
      <c r="X147" s="5">
        <f t="shared" si="49"/>
        <v>8317.083776371197</v>
      </c>
      <c r="Z147" s="5">
        <f t="shared" si="50"/>
        <v>-1743.1135608892421</v>
      </c>
      <c r="AA147" s="5">
        <f t="shared" si="51"/>
        <v>-736.20150259699176</v>
      </c>
      <c r="AB147" s="5">
        <f t="shared" si="52"/>
        <v>8317.083776371197</v>
      </c>
      <c r="AC147" s="84">
        <f t="shared" si="36"/>
        <v>-1743.1170471233363</v>
      </c>
      <c r="AD147" s="84">
        <f t="shared" si="37"/>
        <v>-736.20297500294168</v>
      </c>
      <c r="AE147" s="84">
        <f t="shared" si="38"/>
        <v>8317.1004105720167</v>
      </c>
      <c r="AG147" s="22">
        <f t="shared" si="39"/>
        <v>6.4220003089809723E-10</v>
      </c>
    </row>
    <row r="148" spans="1:33" x14ac:dyDescent="0.2">
      <c r="A148" s="32">
        <v>3342</v>
      </c>
      <c r="B148" s="32">
        <v>1.6</v>
      </c>
      <c r="C148" s="32">
        <v>301.8</v>
      </c>
      <c r="D148" s="28">
        <v>-1830.1850451736793</v>
      </c>
      <c r="E148" s="28">
        <v>-739.29498109343422</v>
      </c>
      <c r="F148" s="28">
        <v>8359.7344611755907</v>
      </c>
      <c r="H148" s="84">
        <f t="shared" si="33"/>
        <v>-1830.181384803589</v>
      </c>
      <c r="I148" s="84">
        <f t="shared" si="34"/>
        <v>-739.29350250347204</v>
      </c>
      <c r="J148" s="84">
        <f t="shared" si="35"/>
        <v>8359.7177417066687</v>
      </c>
      <c r="L148" s="5">
        <f t="shared" si="40"/>
        <v>10227198.178615196</v>
      </c>
      <c r="M148" s="5">
        <f t="shared" si="41"/>
        <v>923609.27649749652</v>
      </c>
      <c r="N148" s="5">
        <f t="shared" si="42"/>
        <v>8167.7177417066687</v>
      </c>
      <c r="P148" s="5">
        <f t="shared" si="43"/>
        <v>10227197.834541095</v>
      </c>
      <c r="Q148" s="5">
        <f t="shared" si="44"/>
        <v>923609.13751031796</v>
      </c>
      <c r="R148" s="5">
        <f t="shared" si="45"/>
        <v>8167.7177417066687</v>
      </c>
      <c r="T148" s="39">
        <f t="shared" si="46"/>
        <v>0.37108546491665867</v>
      </c>
      <c r="V148" s="5">
        <f t="shared" si="47"/>
        <v>-1830.1813848037273</v>
      </c>
      <c r="W148" s="5">
        <f t="shared" si="48"/>
        <v>-739.29350250342395</v>
      </c>
      <c r="X148" s="5">
        <f t="shared" si="49"/>
        <v>8359.7177417066687</v>
      </c>
      <c r="Z148" s="5">
        <f t="shared" si="50"/>
        <v>-1830.18138480364</v>
      </c>
      <c r="AA148" s="5">
        <f t="shared" si="51"/>
        <v>-739.2935025035182</v>
      </c>
      <c r="AB148" s="5">
        <f t="shared" si="52"/>
        <v>8359.7177417066687</v>
      </c>
      <c r="AC148" s="84">
        <f t="shared" si="36"/>
        <v>-1830.18504517373</v>
      </c>
      <c r="AD148" s="84">
        <f t="shared" si="37"/>
        <v>-739.29498109348037</v>
      </c>
      <c r="AE148" s="84">
        <f t="shared" si="38"/>
        <v>8359.7344611755907</v>
      </c>
      <c r="AG148" s="22">
        <f t="shared" si="39"/>
        <v>6.8566642101109933E-11</v>
      </c>
    </row>
    <row r="149" spans="1:33" x14ac:dyDescent="0.2">
      <c r="A149" s="32">
        <v>3346.9</v>
      </c>
      <c r="B149" s="32">
        <v>1.6</v>
      </c>
      <c r="C149" s="32">
        <v>301.8</v>
      </c>
      <c r="D149" s="28">
        <v>-1917.1744059832456</v>
      </c>
      <c r="E149" s="28">
        <v>-742.07421279602113</v>
      </c>
      <c r="F149" s="28">
        <v>8400.2450448979653</v>
      </c>
      <c r="H149" s="84">
        <f t="shared" si="33"/>
        <v>-1917.1705716344336</v>
      </c>
      <c r="I149" s="84">
        <f t="shared" si="34"/>
        <v>-742.07272864759568</v>
      </c>
      <c r="J149" s="84">
        <f t="shared" si="35"/>
        <v>8400.2282444078755</v>
      </c>
      <c r="L149" s="5">
        <f t="shared" si="40"/>
        <v>10227111.189428365</v>
      </c>
      <c r="M149" s="5">
        <f t="shared" si="41"/>
        <v>923606.49727135233</v>
      </c>
      <c r="N149" s="5">
        <f t="shared" si="42"/>
        <v>8208.2282444078755</v>
      </c>
      <c r="P149" s="5">
        <f t="shared" si="43"/>
        <v>10227110.829000298</v>
      </c>
      <c r="Q149" s="5">
        <f t="shared" si="44"/>
        <v>923606.35776167933</v>
      </c>
      <c r="R149" s="5">
        <f t="shared" si="45"/>
        <v>8208.2282444078755</v>
      </c>
      <c r="T149" s="39">
        <f t="shared" si="46"/>
        <v>0.38648588627089703</v>
      </c>
      <c r="V149" s="5">
        <f t="shared" si="47"/>
        <v>-1917.1705716345459</v>
      </c>
      <c r="W149" s="5">
        <f t="shared" si="48"/>
        <v>-742.07272864761762</v>
      </c>
      <c r="X149" s="5">
        <f t="shared" si="49"/>
        <v>8400.2282444078755</v>
      </c>
      <c r="Z149" s="5">
        <f t="shared" si="50"/>
        <v>-1917.1705716340027</v>
      </c>
      <c r="AA149" s="5">
        <f t="shared" si="51"/>
        <v>-742.07272864762933</v>
      </c>
      <c r="AB149" s="5">
        <f t="shared" si="52"/>
        <v>8400.2282444078755</v>
      </c>
      <c r="AC149" s="84">
        <f t="shared" si="36"/>
        <v>-1917.1744059828147</v>
      </c>
      <c r="AD149" s="84">
        <f t="shared" si="37"/>
        <v>-742.07421279605478</v>
      </c>
      <c r="AE149" s="84">
        <f t="shared" si="38"/>
        <v>8400.2450448979653</v>
      </c>
      <c r="AG149" s="22">
        <f t="shared" si="39"/>
        <v>4.3218520504311847E-10</v>
      </c>
    </row>
    <row r="150" spans="1:33" x14ac:dyDescent="0.2">
      <c r="A150" s="32">
        <v>3347</v>
      </c>
      <c r="B150" s="32">
        <v>1.6</v>
      </c>
      <c r="C150" s="32">
        <v>301.8</v>
      </c>
      <c r="D150" s="28">
        <v>-2005.1403919680122</v>
      </c>
      <c r="E150" s="28">
        <v>-744.55445397804135</v>
      </c>
      <c r="F150" s="28">
        <v>8441.047192464237</v>
      </c>
      <c r="H150" s="84">
        <f t="shared" si="33"/>
        <v>-2005.1363816872285</v>
      </c>
      <c r="I150" s="84">
        <f t="shared" si="34"/>
        <v>-744.55296486913346</v>
      </c>
      <c r="J150" s="84">
        <f t="shared" si="35"/>
        <v>8441.0303103698534</v>
      </c>
      <c r="L150" s="5">
        <f t="shared" si="40"/>
        <v>10227023.223618312</v>
      </c>
      <c r="M150" s="5">
        <f t="shared" si="41"/>
        <v>923604.01703513076</v>
      </c>
      <c r="N150" s="5">
        <f t="shared" si="42"/>
        <v>8249.0303103698534</v>
      </c>
      <c r="P150" s="5">
        <f t="shared" si="43"/>
        <v>10227022.846652672</v>
      </c>
      <c r="Q150" s="5">
        <f t="shared" si="44"/>
        <v>923603.87705917342</v>
      </c>
      <c r="R150" s="5">
        <f t="shared" si="45"/>
        <v>8249.0303103698534</v>
      </c>
      <c r="T150" s="39">
        <f t="shared" si="46"/>
        <v>0.40211486227043003</v>
      </c>
      <c r="V150" s="5">
        <f t="shared" si="47"/>
        <v>-2005.1363816875964</v>
      </c>
      <c r="W150" s="5">
        <f t="shared" si="48"/>
        <v>-744.55296486918814</v>
      </c>
      <c r="X150" s="5">
        <f t="shared" si="49"/>
        <v>8441.0303103698534</v>
      </c>
      <c r="Y150" s="5"/>
      <c r="Z150" s="5">
        <f t="shared" si="50"/>
        <v>-2005.1363816879516</v>
      </c>
      <c r="AA150" s="5">
        <f t="shared" si="51"/>
        <v>-744.55296486913232</v>
      </c>
      <c r="AB150" s="5">
        <f t="shared" si="52"/>
        <v>8441.0303103698534</v>
      </c>
      <c r="AC150" s="84">
        <f t="shared" si="36"/>
        <v>-2005.1403919687355</v>
      </c>
      <c r="AD150" s="84">
        <f t="shared" si="37"/>
        <v>-744.55445397804021</v>
      </c>
      <c r="AE150" s="84">
        <f t="shared" si="38"/>
        <v>8441.047192464237</v>
      </c>
      <c r="AF150" s="4"/>
      <c r="AG150" s="22">
        <f t="shared" si="39"/>
        <v>7.2327655506784718E-10</v>
      </c>
    </row>
    <row r="151" spans="1:33" x14ac:dyDescent="0.2">
      <c r="A151" s="89">
        <v>3347.1</v>
      </c>
      <c r="B151" s="89">
        <v>1.6</v>
      </c>
      <c r="C151" s="89">
        <v>301.8</v>
      </c>
      <c r="D151" s="88">
        <v>-2090.3890238194567</v>
      </c>
      <c r="E151" s="88">
        <v>-746.71231553000371</v>
      </c>
      <c r="F151" s="88">
        <v>8480.5947925191504</v>
      </c>
      <c r="G151" s="82"/>
      <c r="H151" s="84">
        <f t="shared" si="33"/>
        <v>-2090.3848430414091</v>
      </c>
      <c r="I151" s="84">
        <f t="shared" si="34"/>
        <v>-746.7108221053727</v>
      </c>
      <c r="J151" s="84">
        <f t="shared" si="35"/>
        <v>8480.5778313295668</v>
      </c>
      <c r="K151" s="82"/>
      <c r="L151" s="84">
        <f t="shared" ref="L151:L214" si="53">E$21 + H151</f>
        <v>10226937.975156957</v>
      </c>
      <c r="M151" s="84">
        <f t="shared" ref="M151:M214" si="54">E$22 + I151</f>
        <v>923601.85917789454</v>
      </c>
      <c r="N151" s="84">
        <f t="shared" ref="N151:N214" si="55">J151 - E$17</f>
        <v>8288.5778313295668</v>
      </c>
      <c r="O151" s="82"/>
      <c r="P151" s="84">
        <f t="shared" ref="P151:P214" si="56">E$21 + E$24*H151</f>
        <v>10226937.582164608</v>
      </c>
      <c r="Q151" s="84">
        <f t="shared" ref="Q151:Q214" si="57">E$22 + E$24*I151</f>
        <v>923601.71879626007</v>
      </c>
      <c r="R151" s="84">
        <f t="shared" ref="R151:R214" si="58">N151 - H$17</f>
        <v>8288.5778313295668</v>
      </c>
      <c r="S151" s="82"/>
      <c r="T151" s="90">
        <f t="shared" ref="T151:T214" si="59">SQRT(SUMSQ(P151-L151,Q151-M151))</f>
        <v>0.41731282024031768</v>
      </c>
      <c r="U151" s="82"/>
      <c r="V151" s="84">
        <f t="shared" ref="V151:V214" si="60">L151 - E$21</f>
        <v>-2090.3848430421203</v>
      </c>
      <c r="W151" s="84">
        <f t="shared" ref="W151:W214" si="61">M151 - E$22</f>
        <v>-746.71082210540771</v>
      </c>
      <c r="X151" s="84">
        <f t="shared" ref="X151:X214" si="62">N151 + E$17</f>
        <v>8480.5778313295668</v>
      </c>
      <c r="Y151" s="82"/>
      <c r="Z151" s="84">
        <f t="shared" ref="Z151:Z214" si="63">(P151 - E$21) / E$24</f>
        <v>-2090.3848430409698</v>
      </c>
      <c r="AA151" s="84">
        <f t="shared" ref="AA151:AA214" si="64">(Q151 - E$22) / E$24</f>
        <v>-746.71082210532006</v>
      </c>
      <c r="AB151" s="84">
        <f t="shared" ref="AB151:AB214" si="65">R151 + E$17</f>
        <v>8480.5778313295668</v>
      </c>
      <c r="AC151" s="84">
        <f t="shared" si="36"/>
        <v>-2090.3890238190174</v>
      </c>
      <c r="AD151" s="84">
        <f t="shared" si="37"/>
        <v>-746.71231552995107</v>
      </c>
      <c r="AE151" s="84">
        <f t="shared" si="38"/>
        <v>8480.5947925191504</v>
      </c>
      <c r="AF151" s="82"/>
      <c r="AG151" s="87">
        <f t="shared" ref="AG151:AG214" si="66">SQRT(SUMSQ(AC151-D151,AD151-E151,AE151-F151))</f>
        <v>4.4242829058314829E-10</v>
      </c>
    </row>
    <row r="152" spans="1:33" x14ac:dyDescent="0.2">
      <c r="A152" s="89">
        <v>3347.2</v>
      </c>
      <c r="B152" s="89">
        <v>1.6</v>
      </c>
      <c r="C152" s="89">
        <v>301.8</v>
      </c>
      <c r="D152" s="88">
        <v>-2177.4853314625725</v>
      </c>
      <c r="E152" s="88">
        <v>-748.67359830343571</v>
      </c>
      <c r="F152" s="88">
        <v>8520.9230885430788</v>
      </c>
      <c r="G152" s="82"/>
      <c r="H152" s="84">
        <f t="shared" si="33"/>
        <v>-2177.4809764919096</v>
      </c>
      <c r="I152" s="84">
        <f t="shared" si="34"/>
        <v>-748.67210095623921</v>
      </c>
      <c r="J152" s="84">
        <f t="shared" si="35"/>
        <v>8520.9060466969022</v>
      </c>
      <c r="K152" s="82"/>
      <c r="L152" s="84">
        <f t="shared" si="53"/>
        <v>10226850.879023507</v>
      </c>
      <c r="M152" s="84">
        <f t="shared" si="54"/>
        <v>923599.89789904375</v>
      </c>
      <c r="N152" s="84">
        <f t="shared" si="55"/>
        <v>8328.9060466969022</v>
      </c>
      <c r="O152" s="82"/>
      <c r="P152" s="84">
        <f t="shared" si="56"/>
        <v>10226850.469657084</v>
      </c>
      <c r="Q152" s="84">
        <f t="shared" si="57"/>
        <v>923599.75714868878</v>
      </c>
      <c r="R152" s="84">
        <f t="shared" si="58"/>
        <v>8328.9060466969022</v>
      </c>
      <c r="S152" s="82"/>
      <c r="T152" s="90">
        <f t="shared" si="59"/>
        <v>0.43288743446823164</v>
      </c>
      <c r="U152" s="82"/>
      <c r="V152" s="84">
        <f t="shared" si="60"/>
        <v>-2177.4809764921665</v>
      </c>
      <c r="W152" s="84">
        <f t="shared" si="61"/>
        <v>-748.67210095620248</v>
      </c>
      <c r="X152" s="84">
        <f t="shared" si="62"/>
        <v>8520.9060466969022</v>
      </c>
      <c r="Y152" s="84"/>
      <c r="Z152" s="84">
        <f t="shared" si="63"/>
        <v>-2177.48097649185</v>
      </c>
      <c r="AA152" s="84">
        <f t="shared" si="64"/>
        <v>-748.6721009561935</v>
      </c>
      <c r="AB152" s="84">
        <f t="shared" si="65"/>
        <v>8520.9060466969022</v>
      </c>
      <c r="AC152" s="84">
        <f t="shared" si="36"/>
        <v>-2177.4853314625129</v>
      </c>
      <c r="AD152" s="84">
        <f t="shared" si="37"/>
        <v>-748.67359830339001</v>
      </c>
      <c r="AE152" s="84">
        <f t="shared" si="38"/>
        <v>8520.9230885430788</v>
      </c>
      <c r="AF152" s="83"/>
      <c r="AG152" s="87">
        <f t="shared" si="66"/>
        <v>7.5083249586644202E-11</v>
      </c>
    </row>
    <row r="153" spans="1:33" x14ac:dyDescent="0.2">
      <c r="A153" s="89">
        <v>3347.3</v>
      </c>
      <c r="B153" s="89">
        <v>1.6</v>
      </c>
      <c r="C153" s="89">
        <v>301.8</v>
      </c>
      <c r="D153" s="88">
        <v>-2266.3824937464537</v>
      </c>
      <c r="E153" s="88">
        <v>-750.05470153918986</v>
      </c>
      <c r="F153" s="88">
        <v>8562.1460389372005</v>
      </c>
      <c r="G153" s="82"/>
      <c r="H153" s="84">
        <f t="shared" si="33"/>
        <v>-2266.3779609814665</v>
      </c>
      <c r="I153" s="84">
        <f t="shared" si="34"/>
        <v>-750.0532014297869</v>
      </c>
      <c r="J153" s="84">
        <f t="shared" si="35"/>
        <v>8562.1289146451236</v>
      </c>
      <c r="K153" s="82"/>
      <c r="L153" s="84">
        <f t="shared" si="53"/>
        <v>10226761.982039018</v>
      </c>
      <c r="M153" s="84">
        <f t="shared" si="54"/>
        <v>923598.51679857017</v>
      </c>
      <c r="N153" s="84">
        <f t="shared" si="55"/>
        <v>8370.1289146451236</v>
      </c>
      <c r="O153" s="82"/>
      <c r="P153" s="84">
        <f t="shared" si="56"/>
        <v>10226761.55595996</v>
      </c>
      <c r="Q153" s="84">
        <f t="shared" si="57"/>
        <v>923598.37578856829</v>
      </c>
      <c r="R153" s="84">
        <f t="shared" si="58"/>
        <v>8370.1289146451236</v>
      </c>
      <c r="S153" s="82"/>
      <c r="T153" s="90">
        <f t="shared" si="59"/>
        <v>0.44880639877246958</v>
      </c>
      <c r="U153" s="82"/>
      <c r="V153" s="84">
        <f t="shared" si="60"/>
        <v>-2266.3779609818012</v>
      </c>
      <c r="W153" s="84">
        <f t="shared" si="61"/>
        <v>-750.05320142977871</v>
      </c>
      <c r="X153" s="84">
        <f t="shared" si="62"/>
        <v>8562.1289146451236</v>
      </c>
      <c r="Y153" s="82"/>
      <c r="Z153" s="84">
        <f t="shared" si="63"/>
        <v>-2266.3779609822932</v>
      </c>
      <c r="AA153" s="84">
        <f t="shared" si="64"/>
        <v>-750.05320142979372</v>
      </c>
      <c r="AB153" s="84">
        <f t="shared" si="65"/>
        <v>8562.1289146451236</v>
      </c>
      <c r="AC153" s="84">
        <f t="shared" si="36"/>
        <v>-2266.3824937472805</v>
      </c>
      <c r="AD153" s="84">
        <f t="shared" si="37"/>
        <v>-750.05470153919669</v>
      </c>
      <c r="AE153" s="84">
        <f t="shared" si="38"/>
        <v>8562.1460389372005</v>
      </c>
      <c r="AF153" s="82"/>
      <c r="AG153" s="87">
        <f t="shared" si="66"/>
        <v>8.2675882373905413E-10</v>
      </c>
    </row>
    <row r="154" spans="1:33" x14ac:dyDescent="0.2">
      <c r="A154" s="89">
        <v>3347.4</v>
      </c>
      <c r="B154" s="89">
        <v>1.6</v>
      </c>
      <c r="C154" s="89">
        <v>301.8</v>
      </c>
      <c r="D154" s="88">
        <v>-2353.4628416567775</v>
      </c>
      <c r="E154" s="88">
        <v>-750.7461996445013</v>
      </c>
      <c r="F154" s="88">
        <v>8602.5503813027826</v>
      </c>
      <c r="G154" s="82"/>
      <c r="H154" s="84">
        <f t="shared" si="33"/>
        <v>-2353.4581347310946</v>
      </c>
      <c r="I154" s="84">
        <f t="shared" si="34"/>
        <v>-750.74469815210216</v>
      </c>
      <c r="J154" s="84">
        <f t="shared" si="35"/>
        <v>8602.5331762020214</v>
      </c>
      <c r="K154" s="82"/>
      <c r="L154" s="84">
        <f t="shared" si="53"/>
        <v>10226674.901865268</v>
      </c>
      <c r="M154" s="84">
        <f t="shared" si="54"/>
        <v>923597.82530184789</v>
      </c>
      <c r="N154" s="84">
        <f t="shared" si="55"/>
        <v>8410.5331762020214</v>
      </c>
      <c r="O154" s="82"/>
      <c r="P154" s="84">
        <f t="shared" si="56"/>
        <v>10226674.45941514</v>
      </c>
      <c r="Q154" s="84">
        <f t="shared" si="57"/>
        <v>923597.68416184455</v>
      </c>
      <c r="R154" s="84">
        <f t="shared" si="58"/>
        <v>8410.5331762020214</v>
      </c>
      <c r="S154" s="82"/>
      <c r="T154" s="90">
        <f t="shared" si="59"/>
        <v>0.46441642601064159</v>
      </c>
      <c r="U154" s="82"/>
      <c r="V154" s="84">
        <f t="shared" si="60"/>
        <v>-2353.4581347312778</v>
      </c>
      <c r="W154" s="84">
        <f t="shared" si="61"/>
        <v>-750.74469815206248</v>
      </c>
      <c r="X154" s="84">
        <f t="shared" si="62"/>
        <v>8602.5331762020214</v>
      </c>
      <c r="Y154" s="84"/>
      <c r="Z154" s="84">
        <f t="shared" si="63"/>
        <v>-2353.4581347304438</v>
      </c>
      <c r="AA154" s="84">
        <f t="shared" si="64"/>
        <v>-750.74469815214923</v>
      </c>
      <c r="AB154" s="84">
        <f t="shared" si="65"/>
        <v>8602.5331762020214</v>
      </c>
      <c r="AC154" s="84">
        <f t="shared" si="36"/>
        <v>-2353.4628416561268</v>
      </c>
      <c r="AD154" s="84">
        <f t="shared" si="37"/>
        <v>-750.74619964454848</v>
      </c>
      <c r="AE154" s="84">
        <f t="shared" si="38"/>
        <v>8602.5503813027826</v>
      </c>
      <c r="AF154" s="83"/>
      <c r="AG154" s="87">
        <f t="shared" si="66"/>
        <v>6.5245153501131973E-10</v>
      </c>
    </row>
    <row r="155" spans="1:33" x14ac:dyDescent="0.2">
      <c r="A155" s="89">
        <v>3347.5</v>
      </c>
      <c r="B155" s="89">
        <v>1.6</v>
      </c>
      <c r="C155" s="89">
        <v>301.8</v>
      </c>
      <c r="D155" s="88">
        <v>-2440.5804093039333</v>
      </c>
      <c r="E155" s="88">
        <v>-751.14912641330238</v>
      </c>
      <c r="F155" s="88">
        <v>8642.878610146372</v>
      </c>
      <c r="G155" s="82"/>
      <c r="H155" s="84">
        <f t="shared" si="33"/>
        <v>-2440.5755281431148</v>
      </c>
      <c r="I155" s="84">
        <f t="shared" si="34"/>
        <v>-751.14762411504967</v>
      </c>
      <c r="J155" s="84">
        <f t="shared" si="35"/>
        <v>8642.8613243891523</v>
      </c>
      <c r="K155" s="82"/>
      <c r="L155" s="84">
        <f t="shared" si="53"/>
        <v>10226587.784471856</v>
      </c>
      <c r="M155" s="84">
        <f t="shared" si="54"/>
        <v>923597.42237588495</v>
      </c>
      <c r="N155" s="84">
        <f t="shared" si="55"/>
        <v>8450.8613243891523</v>
      </c>
      <c r="O155" s="82"/>
      <c r="P155" s="84">
        <f t="shared" si="56"/>
        <v>10226587.325643657</v>
      </c>
      <c r="Q155" s="84">
        <f t="shared" si="57"/>
        <v>923597.28116013156</v>
      </c>
      <c r="R155" s="84">
        <f t="shared" si="58"/>
        <v>8450.8613243891523</v>
      </c>
      <c r="S155" s="82"/>
      <c r="T155" s="90">
        <f t="shared" si="59"/>
        <v>0.48006791790812331</v>
      </c>
      <c r="U155" s="82"/>
      <c r="V155" s="84">
        <f t="shared" si="60"/>
        <v>-2440.5755281429738</v>
      </c>
      <c r="W155" s="84">
        <f t="shared" si="61"/>
        <v>-751.14762411499396</v>
      </c>
      <c r="X155" s="84">
        <f t="shared" si="62"/>
        <v>8642.8613243891523</v>
      </c>
      <c r="Y155" s="82"/>
      <c r="Z155" s="84">
        <f t="shared" si="63"/>
        <v>-2440.5755281433376</v>
      </c>
      <c r="AA155" s="84">
        <f t="shared" si="64"/>
        <v>-751.14762411505262</v>
      </c>
      <c r="AB155" s="84">
        <f t="shared" si="65"/>
        <v>8642.8613243891523</v>
      </c>
      <c r="AC155" s="84">
        <f t="shared" si="36"/>
        <v>-2440.5804093041561</v>
      </c>
      <c r="AD155" s="84">
        <f t="shared" si="37"/>
        <v>-751.14912641330545</v>
      </c>
      <c r="AE155" s="84">
        <f t="shared" si="38"/>
        <v>8642.878610146372</v>
      </c>
      <c r="AF155" s="82"/>
      <c r="AG155" s="87">
        <f t="shared" si="66"/>
        <v>2.2284734320305538E-10</v>
      </c>
    </row>
    <row r="156" spans="1:33" x14ac:dyDescent="0.2">
      <c r="A156" s="89">
        <v>3347.6</v>
      </c>
      <c r="B156" s="89">
        <v>1.6</v>
      </c>
      <c r="C156" s="89">
        <v>301.8</v>
      </c>
      <c r="D156" s="88">
        <v>-2525.8792674228011</v>
      </c>
      <c r="E156" s="88">
        <v>-751.60317504860666</v>
      </c>
      <c r="F156" s="88">
        <v>8682.3741201378452</v>
      </c>
      <c r="G156" s="82"/>
      <c r="H156" s="84">
        <f t="shared" si="33"/>
        <v>-2525.8742156642666</v>
      </c>
      <c r="I156" s="84">
        <f t="shared" si="34"/>
        <v>-751.60167184225668</v>
      </c>
      <c r="J156" s="84">
        <f t="shared" si="35"/>
        <v>8682.3567553896064</v>
      </c>
      <c r="K156" s="82"/>
      <c r="L156" s="84">
        <f t="shared" si="53"/>
        <v>10226502.485784335</v>
      </c>
      <c r="M156" s="84">
        <f t="shared" si="54"/>
        <v>923596.96832815767</v>
      </c>
      <c r="N156" s="84">
        <f t="shared" si="55"/>
        <v>8490.3567553896064</v>
      </c>
      <c r="O156" s="82"/>
      <c r="P156" s="84">
        <f t="shared" si="56"/>
        <v>10226502.010919983</v>
      </c>
      <c r="Q156" s="84">
        <f t="shared" si="57"/>
        <v>923596.82702704333</v>
      </c>
      <c r="R156" s="84">
        <f t="shared" si="58"/>
        <v>8490.3567553896064</v>
      </c>
      <c r="S156" s="82"/>
      <c r="T156" s="90">
        <f t="shared" si="59"/>
        <v>0.49544137714277575</v>
      </c>
      <c r="U156" s="82"/>
      <c r="V156" s="84">
        <f t="shared" si="60"/>
        <v>-2525.874215664342</v>
      </c>
      <c r="W156" s="84">
        <f t="shared" si="61"/>
        <v>-751.60167184227612</v>
      </c>
      <c r="X156" s="84">
        <f t="shared" si="62"/>
        <v>8682.3567553896064</v>
      </c>
      <c r="Y156" s="84"/>
      <c r="Z156" s="84">
        <f t="shared" si="63"/>
        <v>-2525.8742156642916</v>
      </c>
      <c r="AA156" s="84">
        <f t="shared" si="64"/>
        <v>-751.60167184231466</v>
      </c>
      <c r="AB156" s="84">
        <f t="shared" si="65"/>
        <v>8682.3567553896064</v>
      </c>
      <c r="AC156" s="84">
        <f t="shared" si="36"/>
        <v>-2525.8792674228262</v>
      </c>
      <c r="AD156" s="84">
        <f t="shared" si="37"/>
        <v>-751.60317504866464</v>
      </c>
      <c r="AE156" s="84">
        <f t="shared" si="38"/>
        <v>8682.3741201378452</v>
      </c>
      <c r="AF156" s="83"/>
      <c r="AG156" s="87">
        <f t="shared" si="66"/>
        <v>6.3144825967350776E-11</v>
      </c>
    </row>
    <row r="157" spans="1:33" x14ac:dyDescent="0.2">
      <c r="A157" s="89">
        <v>3347.7</v>
      </c>
      <c r="B157" s="89">
        <v>1.6</v>
      </c>
      <c r="C157" s="89">
        <v>301.8</v>
      </c>
      <c r="D157" s="88">
        <v>-2614.8566744419259</v>
      </c>
      <c r="E157" s="88">
        <v>-752.28659100070604</v>
      </c>
      <c r="F157" s="88">
        <v>8723.4416022406349</v>
      </c>
      <c r="G157" s="82"/>
      <c r="H157" s="84">
        <f t="shared" si="33"/>
        <v>-2614.8514447285775</v>
      </c>
      <c r="I157" s="84">
        <f t="shared" si="34"/>
        <v>-752.28508642752411</v>
      </c>
      <c r="J157" s="84">
        <f t="shared" si="35"/>
        <v>8723.4241553574302</v>
      </c>
      <c r="K157" s="82"/>
      <c r="L157" s="84">
        <f t="shared" si="53"/>
        <v>10226413.508555271</v>
      </c>
      <c r="M157" s="84">
        <f t="shared" si="54"/>
        <v>923596.28491357248</v>
      </c>
      <c r="N157" s="84">
        <f t="shared" si="55"/>
        <v>8531.4241553574302</v>
      </c>
      <c r="O157" s="82"/>
      <c r="P157" s="84">
        <f t="shared" si="56"/>
        <v>10226413.016963199</v>
      </c>
      <c r="Q157" s="84">
        <f t="shared" si="57"/>
        <v>923596.14348397614</v>
      </c>
      <c r="R157" s="84">
        <f t="shared" si="58"/>
        <v>8531.4241553574302</v>
      </c>
      <c r="S157" s="82"/>
      <c r="T157" s="90">
        <f t="shared" si="59"/>
        <v>0.51153210644846658</v>
      </c>
      <c r="U157" s="82"/>
      <c r="V157" s="84">
        <f t="shared" si="60"/>
        <v>-2614.8514447286725</v>
      </c>
      <c r="W157" s="84">
        <f t="shared" si="61"/>
        <v>-752.28508642746601</v>
      </c>
      <c r="X157" s="84">
        <f t="shared" si="62"/>
        <v>8723.4241553574302</v>
      </c>
      <c r="Y157" s="82"/>
      <c r="Z157" s="84">
        <f t="shared" si="63"/>
        <v>-2614.8514447290136</v>
      </c>
      <c r="AA157" s="84">
        <f t="shared" si="64"/>
        <v>-752.28508642756526</v>
      </c>
      <c r="AB157" s="84">
        <f t="shared" si="65"/>
        <v>8723.4241553574302</v>
      </c>
      <c r="AC157" s="84">
        <f t="shared" si="36"/>
        <v>-2614.8566744423624</v>
      </c>
      <c r="AD157" s="84">
        <f t="shared" si="37"/>
        <v>-752.28659100074719</v>
      </c>
      <c r="AE157" s="84">
        <f t="shared" si="38"/>
        <v>8723.4416022406349</v>
      </c>
      <c r="AF157" s="82"/>
      <c r="AG157" s="87">
        <f t="shared" si="66"/>
        <v>4.3849300693991483E-10</v>
      </c>
    </row>
    <row r="158" spans="1:33" x14ac:dyDescent="0.2">
      <c r="A158" s="89">
        <v>3347.8</v>
      </c>
      <c r="B158" s="89">
        <v>1.6</v>
      </c>
      <c r="C158" s="89">
        <v>301.8</v>
      </c>
      <c r="D158" s="88">
        <v>-2701.1767020715397</v>
      </c>
      <c r="E158" s="88">
        <v>-753.25836130725361</v>
      </c>
      <c r="F158" s="88">
        <v>8763.1013632895829</v>
      </c>
      <c r="G158" s="82"/>
      <c r="H158" s="84">
        <f t="shared" si="33"/>
        <v>-2701.1712997181357</v>
      </c>
      <c r="I158" s="84">
        <f t="shared" si="34"/>
        <v>-753.25685479053107</v>
      </c>
      <c r="J158" s="84">
        <f t="shared" si="35"/>
        <v>8763.0838370868569</v>
      </c>
      <c r="K158" s="82"/>
      <c r="L158" s="84">
        <f t="shared" si="53"/>
        <v>10226327.188700281</v>
      </c>
      <c r="M158" s="84">
        <f t="shared" si="54"/>
        <v>923595.31314520945</v>
      </c>
      <c r="N158" s="84">
        <f t="shared" si="55"/>
        <v>8571.0838370868569</v>
      </c>
      <c r="O158" s="82"/>
      <c r="P158" s="84">
        <f t="shared" si="56"/>
        <v>10226326.680880077</v>
      </c>
      <c r="Q158" s="84">
        <f t="shared" si="57"/>
        <v>923595.17153292068</v>
      </c>
      <c r="R158" s="84">
        <f t="shared" si="58"/>
        <v>8571.0838370868569</v>
      </c>
      <c r="S158" s="82"/>
      <c r="T158" s="90">
        <f t="shared" si="59"/>
        <v>0.52719578888820051</v>
      </c>
      <c r="U158" s="82"/>
      <c r="V158" s="84">
        <f t="shared" si="60"/>
        <v>-2701.1712997183204</v>
      </c>
      <c r="W158" s="84">
        <f t="shared" si="61"/>
        <v>-753.25685479049571</v>
      </c>
      <c r="X158" s="84">
        <f t="shared" si="62"/>
        <v>8763.0838370868569</v>
      </c>
      <c r="Y158" s="84"/>
      <c r="Z158" s="84">
        <f t="shared" si="63"/>
        <v>-2701.1712997178734</v>
      </c>
      <c r="AA158" s="84">
        <f t="shared" si="64"/>
        <v>-753.25685479056995</v>
      </c>
      <c r="AB158" s="84">
        <f t="shared" si="65"/>
        <v>8763.0838370868569</v>
      </c>
      <c r="AC158" s="84">
        <f t="shared" si="36"/>
        <v>-2701.1767020712773</v>
      </c>
      <c r="AD158" s="84">
        <f t="shared" si="37"/>
        <v>-753.25836130729249</v>
      </c>
      <c r="AE158" s="84">
        <f t="shared" si="38"/>
        <v>8763.1013632895829</v>
      </c>
      <c r="AF158" s="83"/>
      <c r="AG158" s="87">
        <f t="shared" si="66"/>
        <v>2.6525427010209594E-10</v>
      </c>
    </row>
    <row r="159" spans="1:33" x14ac:dyDescent="0.2">
      <c r="A159" s="89">
        <v>3347.9</v>
      </c>
      <c r="B159" s="89">
        <v>1.6</v>
      </c>
      <c r="C159" s="89">
        <v>301.8</v>
      </c>
      <c r="D159" s="88">
        <v>-2789.2869600181807</v>
      </c>
      <c r="E159" s="88">
        <v>-754.67322557171383</v>
      </c>
      <c r="F159" s="88">
        <v>8803.6422348321157</v>
      </c>
      <c r="G159" s="82"/>
      <c r="H159" s="84">
        <f t="shared" si="33"/>
        <v>-2789.2813814442611</v>
      </c>
      <c r="I159" s="84">
        <f t="shared" si="34"/>
        <v>-754.6717162252628</v>
      </c>
      <c r="J159" s="84">
        <f t="shared" si="35"/>
        <v>8803.624627547646</v>
      </c>
      <c r="K159" s="82"/>
      <c r="L159" s="84">
        <f t="shared" si="53"/>
        <v>10226239.078618554</v>
      </c>
      <c r="M159" s="84">
        <f t="shared" si="54"/>
        <v>923593.89828377473</v>
      </c>
      <c r="N159" s="84">
        <f t="shared" si="55"/>
        <v>8611.624627547646</v>
      </c>
      <c r="O159" s="82"/>
      <c r="P159" s="84">
        <f t="shared" si="56"/>
        <v>10226238.554233655</v>
      </c>
      <c r="Q159" s="84">
        <f t="shared" si="57"/>
        <v>923593.75640549208</v>
      </c>
      <c r="R159" s="84">
        <f t="shared" si="58"/>
        <v>8611.624627547646</v>
      </c>
      <c r="S159" s="82"/>
      <c r="T159" s="90">
        <f t="shared" si="59"/>
        <v>0.54323932981273315</v>
      </c>
      <c r="U159" s="82"/>
      <c r="V159" s="84">
        <f t="shared" si="60"/>
        <v>-2789.2813814450055</v>
      </c>
      <c r="W159" s="84">
        <f t="shared" si="61"/>
        <v>-754.6717162252171</v>
      </c>
      <c r="X159" s="84">
        <f t="shared" si="62"/>
        <v>8803.624627547646</v>
      </c>
      <c r="Y159" s="82"/>
      <c r="Z159" s="84">
        <f t="shared" si="63"/>
        <v>-2789.2813814443589</v>
      </c>
      <c r="AA159" s="84">
        <f t="shared" si="64"/>
        <v>-754.67171622521801</v>
      </c>
      <c r="AB159" s="84">
        <f t="shared" si="65"/>
        <v>8803.624627547646</v>
      </c>
      <c r="AC159" s="84">
        <f t="shared" si="36"/>
        <v>-2789.2869600182785</v>
      </c>
      <c r="AD159" s="84">
        <f t="shared" si="37"/>
        <v>-754.67322557166904</v>
      </c>
      <c r="AE159" s="84">
        <f t="shared" si="38"/>
        <v>8803.6422348321157</v>
      </c>
      <c r="AF159" s="82"/>
      <c r="AG159" s="87">
        <f t="shared" si="66"/>
        <v>1.0754294132276455E-10</v>
      </c>
    </row>
    <row r="160" spans="1:33" x14ac:dyDescent="0.2">
      <c r="A160" s="89">
        <v>3348</v>
      </c>
      <c r="B160" s="89">
        <v>1.6</v>
      </c>
      <c r="C160" s="89">
        <v>301.8</v>
      </c>
      <c r="D160" s="88">
        <v>-2876.4969399883448</v>
      </c>
      <c r="E160" s="88">
        <v>-756.40868853475104</v>
      </c>
      <c r="F160" s="88">
        <v>8843.7346515882855</v>
      </c>
      <c r="G160" s="82"/>
      <c r="H160" s="84">
        <f t="shared" si="33"/>
        <v>-2876.4911869944649</v>
      </c>
      <c r="I160" s="84">
        <f t="shared" si="34"/>
        <v>-756.407175717374</v>
      </c>
      <c r="J160" s="84">
        <f t="shared" si="35"/>
        <v>8843.716964118983</v>
      </c>
      <c r="K160" s="82"/>
      <c r="L160" s="84">
        <f t="shared" si="53"/>
        <v>10226151.868813004</v>
      </c>
      <c r="M160" s="84">
        <f t="shared" si="54"/>
        <v>923592.16282428254</v>
      </c>
      <c r="N160" s="84">
        <f t="shared" si="55"/>
        <v>8651.716964118983</v>
      </c>
      <c r="O160" s="82"/>
      <c r="P160" s="84">
        <f t="shared" si="56"/>
        <v>10226151.328032661</v>
      </c>
      <c r="Q160" s="84">
        <f t="shared" si="57"/>
        <v>923592.02061973349</v>
      </c>
      <c r="R160" s="84">
        <f t="shared" si="58"/>
        <v>8651.716964118983</v>
      </c>
      <c r="S160" s="82"/>
      <c r="T160" s="90">
        <f t="shared" si="59"/>
        <v>0.55916501434696464</v>
      </c>
      <c r="U160" s="82"/>
      <c r="V160" s="84">
        <f t="shared" si="60"/>
        <v>-2876.4911869950593</v>
      </c>
      <c r="W160" s="84">
        <f t="shared" si="61"/>
        <v>-756.4071757174097</v>
      </c>
      <c r="X160" s="84">
        <f t="shared" si="62"/>
        <v>8843.716964118983</v>
      </c>
      <c r="Y160" s="84"/>
      <c r="Z160" s="84">
        <f t="shared" si="63"/>
        <v>-2876.4911869950192</v>
      </c>
      <c r="AA160" s="84">
        <f t="shared" si="64"/>
        <v>-756.40717571742198</v>
      </c>
      <c r="AB160" s="84">
        <f t="shared" si="65"/>
        <v>8843.716964118983</v>
      </c>
      <c r="AC160" s="84">
        <f t="shared" si="36"/>
        <v>-2876.4969399888987</v>
      </c>
      <c r="AD160" s="84">
        <f t="shared" si="37"/>
        <v>-756.4086885347989</v>
      </c>
      <c r="AE160" s="84">
        <f t="shared" si="38"/>
        <v>8843.7346515882855</v>
      </c>
      <c r="AF160" s="83"/>
      <c r="AG160" s="87">
        <f t="shared" si="66"/>
        <v>5.5594636341814991E-10</v>
      </c>
    </row>
    <row r="161" spans="1:33" x14ac:dyDescent="0.2">
      <c r="A161" s="89">
        <v>3348.1</v>
      </c>
      <c r="B161" s="89">
        <v>1.6</v>
      </c>
      <c r="C161" s="89">
        <v>301.8</v>
      </c>
      <c r="D161" s="88">
        <v>-2963.7262263000562</v>
      </c>
      <c r="E161" s="88">
        <v>-758.22826883640141</v>
      </c>
      <c r="F161" s="88">
        <v>8883.7813787031428</v>
      </c>
      <c r="G161" s="82"/>
      <c r="H161" s="84">
        <f t="shared" si="33"/>
        <v>-2963.7202988476038</v>
      </c>
      <c r="I161" s="84">
        <f t="shared" si="34"/>
        <v>-758.2267523798638</v>
      </c>
      <c r="J161" s="84">
        <f t="shared" si="35"/>
        <v>8883.7636111403863</v>
      </c>
      <c r="K161" s="82"/>
      <c r="L161" s="84">
        <f t="shared" si="53"/>
        <v>10226064.639701152</v>
      </c>
      <c r="M161" s="84">
        <f t="shared" si="54"/>
        <v>923590.34324762004</v>
      </c>
      <c r="N161" s="84">
        <f t="shared" si="55"/>
        <v>8691.7636111403863</v>
      </c>
      <c r="O161" s="82"/>
      <c r="P161" s="84">
        <f t="shared" si="56"/>
        <v>10226064.082521735</v>
      </c>
      <c r="Q161" s="84">
        <f t="shared" si="57"/>
        <v>923590.20070099062</v>
      </c>
      <c r="R161" s="84">
        <f t="shared" si="58"/>
        <v>8691.7636111403863</v>
      </c>
      <c r="S161" s="82"/>
      <c r="T161" s="90">
        <f t="shared" si="59"/>
        <v>0.57512472108268142</v>
      </c>
      <c r="U161" s="82"/>
      <c r="V161" s="84">
        <f t="shared" si="60"/>
        <v>-2963.7202988471836</v>
      </c>
      <c r="W161" s="84">
        <f t="shared" si="61"/>
        <v>-758.22675237990916</v>
      </c>
      <c r="X161" s="84">
        <f t="shared" si="62"/>
        <v>8883.7636111403863</v>
      </c>
      <c r="Y161" s="82"/>
      <c r="Z161" s="84">
        <f t="shared" si="63"/>
        <v>-2963.720298848461</v>
      </c>
      <c r="AA161" s="84">
        <f t="shared" si="64"/>
        <v>-758.22675237987846</v>
      </c>
      <c r="AB161" s="84">
        <f t="shared" si="65"/>
        <v>8883.7636111403863</v>
      </c>
      <c r="AC161" s="84">
        <f t="shared" si="36"/>
        <v>-2963.7262263009134</v>
      </c>
      <c r="AD161" s="84">
        <f t="shared" si="37"/>
        <v>-758.22826883641608</v>
      </c>
      <c r="AE161" s="84">
        <f t="shared" si="38"/>
        <v>8883.7813787031428</v>
      </c>
      <c r="AF161" s="82"/>
      <c r="AG161" s="87">
        <f t="shared" si="66"/>
        <v>8.5732420232584348E-10</v>
      </c>
    </row>
    <row r="162" spans="1:33" x14ac:dyDescent="0.2">
      <c r="A162" s="89">
        <v>3348.2</v>
      </c>
      <c r="B162" s="89">
        <v>1.6</v>
      </c>
      <c r="C162" s="89">
        <v>301.8</v>
      </c>
      <c r="D162" s="88">
        <v>-3050.032561330132</v>
      </c>
      <c r="E162" s="88">
        <v>-760.0511969860064</v>
      </c>
      <c r="F162" s="88">
        <v>8923.4410907887777</v>
      </c>
      <c r="G162" s="82"/>
      <c r="H162" s="84">
        <f t="shared" ref="H162:H225" si="67">D162*F$10/F$20</f>
        <v>-3050.0264612650099</v>
      </c>
      <c r="I162" s="84">
        <f t="shared" ref="I162:I225" si="68">E162*F$10/F$20</f>
        <v>-760.04967688361251</v>
      </c>
      <c r="J162" s="84">
        <f t="shared" ref="J162:J225" si="69">F162*F$10/F$14</f>
        <v>8923.4232439065963</v>
      </c>
      <c r="K162" s="82"/>
      <c r="L162" s="84">
        <f t="shared" si="53"/>
        <v>10225978.333538735</v>
      </c>
      <c r="M162" s="84">
        <f t="shared" si="54"/>
        <v>923588.52032311633</v>
      </c>
      <c r="N162" s="84">
        <f t="shared" si="55"/>
        <v>8731.4232439065963</v>
      </c>
      <c r="O162" s="82"/>
      <c r="P162" s="84">
        <f t="shared" si="56"/>
        <v>10225977.76013376</v>
      </c>
      <c r="Q162" s="84">
        <f t="shared" si="57"/>
        <v>923588.37743377709</v>
      </c>
      <c r="R162" s="84">
        <f t="shared" si="58"/>
        <v>8731.4232439065963</v>
      </c>
      <c r="S162" s="82"/>
      <c r="T162" s="90">
        <f t="shared" si="59"/>
        <v>0.59094046137861134</v>
      </c>
      <c r="U162" s="82"/>
      <c r="V162" s="84">
        <f t="shared" si="60"/>
        <v>-3050.0264612641186</v>
      </c>
      <c r="W162" s="84">
        <f t="shared" si="61"/>
        <v>-760.04967688361648</v>
      </c>
      <c r="X162" s="84">
        <f t="shared" si="62"/>
        <v>8923.4232439065963</v>
      </c>
      <c r="Y162" s="84"/>
      <c r="Z162" s="84">
        <f t="shared" si="63"/>
        <v>-3050.0264612646361</v>
      </c>
      <c r="AA162" s="84">
        <f t="shared" si="64"/>
        <v>-760.04967688360625</v>
      </c>
      <c r="AB162" s="84">
        <f t="shared" si="65"/>
        <v>8923.4232439065963</v>
      </c>
      <c r="AC162" s="84">
        <f t="shared" si="36"/>
        <v>-3050.0325613297582</v>
      </c>
      <c r="AD162" s="84">
        <f t="shared" si="37"/>
        <v>-760.05119698600015</v>
      </c>
      <c r="AE162" s="84">
        <f t="shared" si="38"/>
        <v>8923.4410907887777</v>
      </c>
      <c r="AF162" s="83"/>
      <c r="AG162" s="87">
        <f t="shared" si="66"/>
        <v>3.7385461540779486E-10</v>
      </c>
    </row>
    <row r="163" spans="1:33" x14ac:dyDescent="0.2">
      <c r="A163" s="89">
        <v>3348.3</v>
      </c>
      <c r="B163" s="89">
        <v>1.6</v>
      </c>
      <c r="C163" s="89">
        <v>301.8</v>
      </c>
      <c r="D163" s="88">
        <v>-3138.1427510231738</v>
      </c>
      <c r="E163" s="88">
        <v>-762.02761241160999</v>
      </c>
      <c r="F163" s="88">
        <v>8963.9588222367965</v>
      </c>
      <c r="G163" s="82"/>
      <c r="H163" s="84">
        <f t="shared" si="67"/>
        <v>-3138.136474737672</v>
      </c>
      <c r="I163" s="84">
        <f t="shared" si="68"/>
        <v>-762.02608835638523</v>
      </c>
      <c r="J163" s="84">
        <f t="shared" si="69"/>
        <v>8963.940894319152</v>
      </c>
      <c r="K163" s="82"/>
      <c r="L163" s="84">
        <f t="shared" si="53"/>
        <v>10225890.223525262</v>
      </c>
      <c r="M163" s="84">
        <f t="shared" si="54"/>
        <v>923586.54391164356</v>
      </c>
      <c r="N163" s="84">
        <f t="shared" si="55"/>
        <v>8771.940894319152</v>
      </c>
      <c r="O163" s="82"/>
      <c r="P163" s="84">
        <f t="shared" si="56"/>
        <v>10225889.633555604</v>
      </c>
      <c r="Q163" s="84">
        <f t="shared" si="57"/>
        <v>923586.40065073897</v>
      </c>
      <c r="R163" s="84">
        <f t="shared" si="58"/>
        <v>8771.940894319152</v>
      </c>
      <c r="S163" s="82"/>
      <c r="T163" s="90">
        <f t="shared" si="59"/>
        <v>0.60711439069632556</v>
      </c>
      <c r="U163" s="82"/>
      <c r="V163" s="84">
        <f t="shared" si="60"/>
        <v>-3138.1364747378975</v>
      </c>
      <c r="W163" s="84">
        <f t="shared" si="61"/>
        <v>-762.02608835638966</v>
      </c>
      <c r="X163" s="84">
        <f t="shared" si="62"/>
        <v>8963.940894319152</v>
      </c>
      <c r="Y163" s="82"/>
      <c r="Z163" s="84">
        <f t="shared" si="63"/>
        <v>-3138.136474738008</v>
      </c>
      <c r="AA163" s="84">
        <f t="shared" si="64"/>
        <v>-762.02608835636636</v>
      </c>
      <c r="AB163" s="84">
        <f t="shared" si="65"/>
        <v>8963.940894319152</v>
      </c>
      <c r="AC163" s="84">
        <f t="shared" ref="AC163:AC226" si="70">Z163*F$20/F$10</f>
        <v>-3138.1427510235098</v>
      </c>
      <c r="AD163" s="84">
        <f t="shared" ref="AD163:AD226" si="71">AA163*F$20/F$10</f>
        <v>-762.02761241159112</v>
      </c>
      <c r="AE163" s="84">
        <f t="shared" ref="AE163:AE226" si="72">AB163*F$14/F$10</f>
        <v>8963.9588222367965</v>
      </c>
      <c r="AF163" s="82"/>
      <c r="AG163" s="87">
        <f t="shared" si="66"/>
        <v>3.3658777277184384E-10</v>
      </c>
    </row>
    <row r="164" spans="1:33" x14ac:dyDescent="0.2">
      <c r="A164" s="89">
        <v>3348.4</v>
      </c>
      <c r="B164" s="89">
        <v>1.6</v>
      </c>
      <c r="C164" s="89">
        <v>301.8</v>
      </c>
      <c r="D164" s="88">
        <v>-3225.3328904238319</v>
      </c>
      <c r="E164" s="88">
        <v>-764.03668509441309</v>
      </c>
      <c r="F164" s="88">
        <v>9004.0816725545665</v>
      </c>
      <c r="G164" s="82"/>
      <c r="H164" s="84">
        <f t="shared" si="67"/>
        <v>-3225.3264397580515</v>
      </c>
      <c r="I164" s="84">
        <f t="shared" si="68"/>
        <v>-764.03515702104301</v>
      </c>
      <c r="J164" s="84">
        <f t="shared" si="69"/>
        <v>9004.0636643912221</v>
      </c>
      <c r="K164" s="82"/>
      <c r="L164" s="84">
        <f t="shared" si="53"/>
        <v>10225803.033560241</v>
      </c>
      <c r="M164" s="84">
        <f t="shared" si="54"/>
        <v>923584.53484297893</v>
      </c>
      <c r="N164" s="84">
        <f t="shared" si="55"/>
        <v>8812.0636643912221</v>
      </c>
      <c r="O164" s="82"/>
      <c r="P164" s="84">
        <f t="shared" si="56"/>
        <v>10225802.42719887</v>
      </c>
      <c r="Q164" s="84">
        <f t="shared" si="57"/>
        <v>923584.39120436937</v>
      </c>
      <c r="R164" s="84">
        <f t="shared" si="58"/>
        <v>8812.0636643912221</v>
      </c>
      <c r="S164" s="82"/>
      <c r="T164" s="90">
        <f t="shared" si="59"/>
        <v>0.62314216823421176</v>
      </c>
      <c r="U164" s="82"/>
      <c r="V164" s="84">
        <f t="shared" si="60"/>
        <v>-3225.3264397587627</v>
      </c>
      <c r="W164" s="84">
        <f t="shared" si="61"/>
        <v>-764.03515702101868</v>
      </c>
      <c r="X164" s="84">
        <f t="shared" si="62"/>
        <v>9004.0636643912221</v>
      </c>
      <c r="Y164" s="84"/>
      <c r="Z164" s="84">
        <f t="shared" si="63"/>
        <v>-3225.3264397586217</v>
      </c>
      <c r="AA164" s="84">
        <f t="shared" si="64"/>
        <v>-764.0351570210579</v>
      </c>
      <c r="AB164" s="84">
        <f t="shared" si="65"/>
        <v>9004.0636643912221</v>
      </c>
      <c r="AC164" s="84">
        <f t="shared" si="70"/>
        <v>-3225.3328904244022</v>
      </c>
      <c r="AD164" s="84">
        <f t="shared" si="71"/>
        <v>-764.03668509442798</v>
      </c>
      <c r="AE164" s="84">
        <f t="shared" si="72"/>
        <v>9004.0816725545665</v>
      </c>
      <c r="AF164" s="83"/>
      <c r="AG164" s="87">
        <f t="shared" si="66"/>
        <v>5.7044762052163651E-10</v>
      </c>
    </row>
    <row r="165" spans="1:33" x14ac:dyDescent="0.2">
      <c r="A165" s="89">
        <v>3348.5</v>
      </c>
      <c r="B165" s="89">
        <v>1.6</v>
      </c>
      <c r="C165" s="89">
        <v>301.8</v>
      </c>
      <c r="D165" s="88">
        <v>-3313.4785540286744</v>
      </c>
      <c r="E165" s="88">
        <v>-766.0061799074856</v>
      </c>
      <c r="F165" s="88">
        <v>9044.5224649069369</v>
      </c>
      <c r="G165" s="82"/>
      <c r="H165" s="84">
        <f t="shared" si="67"/>
        <v>-3313.4719270715664</v>
      </c>
      <c r="I165" s="84">
        <f t="shared" si="68"/>
        <v>-766.0046478951258</v>
      </c>
      <c r="J165" s="84">
        <f t="shared" si="69"/>
        <v>9044.5043758620086</v>
      </c>
      <c r="K165" s="82"/>
      <c r="L165" s="84">
        <f t="shared" si="53"/>
        <v>10225714.888072928</v>
      </c>
      <c r="M165" s="84">
        <f t="shared" si="54"/>
        <v>923582.56535210484</v>
      </c>
      <c r="N165" s="84">
        <f t="shared" si="55"/>
        <v>8852.5043758620086</v>
      </c>
      <c r="O165" s="82"/>
      <c r="P165" s="84">
        <f t="shared" si="56"/>
        <v>10225714.265140206</v>
      </c>
      <c r="Q165" s="84">
        <f t="shared" si="57"/>
        <v>923582.42134323099</v>
      </c>
      <c r="R165" s="84">
        <f t="shared" si="58"/>
        <v>8852.5043758620086</v>
      </c>
      <c r="S165" s="82"/>
      <c r="T165" s="90">
        <f t="shared" si="59"/>
        <v>0.63936197327595756</v>
      </c>
      <c r="U165" s="82"/>
      <c r="V165" s="84">
        <f t="shared" si="60"/>
        <v>-3313.4719270709902</v>
      </c>
      <c r="W165" s="84">
        <f t="shared" si="61"/>
        <v>-766.0046478951117</v>
      </c>
      <c r="X165" s="84">
        <f t="shared" si="62"/>
        <v>9044.5043758620086</v>
      </c>
      <c r="Y165" s="82"/>
      <c r="Z165" s="84">
        <f t="shared" si="63"/>
        <v>-3313.4719270714927</v>
      </c>
      <c r="AA165" s="84">
        <f t="shared" si="64"/>
        <v>-766.00464789515286</v>
      </c>
      <c r="AB165" s="84">
        <f t="shared" si="65"/>
        <v>9044.5043758620086</v>
      </c>
      <c r="AC165" s="84">
        <f t="shared" si="70"/>
        <v>-3313.4785540286002</v>
      </c>
      <c r="AD165" s="84">
        <f t="shared" si="71"/>
        <v>-766.00617990751266</v>
      </c>
      <c r="AE165" s="84">
        <f t="shared" si="72"/>
        <v>9044.5224649069369</v>
      </c>
      <c r="AF165" s="82"/>
      <c r="AG165" s="87">
        <f t="shared" si="66"/>
        <v>7.890783842323944E-11</v>
      </c>
    </row>
    <row r="166" spans="1:33" x14ac:dyDescent="0.2">
      <c r="A166" s="89">
        <v>3348.6</v>
      </c>
      <c r="B166" s="89">
        <v>1.6</v>
      </c>
      <c r="C166" s="89">
        <v>301.8</v>
      </c>
      <c r="D166" s="88">
        <v>-3401.6622989602192</v>
      </c>
      <c r="E166" s="88">
        <v>-767.84568072116974</v>
      </c>
      <c r="F166" s="88">
        <v>9084.8863174838825</v>
      </c>
      <c r="G166" s="82"/>
      <c r="H166" s="84">
        <f t="shared" si="67"/>
        <v>-3401.6554956356213</v>
      </c>
      <c r="I166" s="84">
        <f t="shared" si="68"/>
        <v>-767.84414502980837</v>
      </c>
      <c r="J166" s="84">
        <f t="shared" si="69"/>
        <v>9084.8681477112477</v>
      </c>
      <c r="K166" s="82"/>
      <c r="L166" s="84">
        <f t="shared" si="53"/>
        <v>10225626.704504363</v>
      </c>
      <c r="M166" s="84">
        <f t="shared" si="54"/>
        <v>923580.72585497017</v>
      </c>
      <c r="N166" s="84">
        <f t="shared" si="55"/>
        <v>8892.8681477112477</v>
      </c>
      <c r="O166" s="82"/>
      <c r="P166" s="84">
        <f t="shared" si="56"/>
        <v>10225626.06499313</v>
      </c>
      <c r="Q166" s="84">
        <f t="shared" si="57"/>
        <v>923580.58150027087</v>
      </c>
      <c r="R166" s="84">
        <f t="shared" si="58"/>
        <v>8892.8681477112477</v>
      </c>
      <c r="S166" s="82"/>
      <c r="T166" s="90">
        <f t="shared" si="59"/>
        <v>0.65560117189664935</v>
      </c>
      <c r="U166" s="82"/>
      <c r="V166" s="84">
        <f t="shared" si="60"/>
        <v>-3401.6554956361651</v>
      </c>
      <c r="W166" s="84">
        <f t="shared" si="61"/>
        <v>-767.84414502978325</v>
      </c>
      <c r="X166" s="84">
        <f t="shared" si="62"/>
        <v>9084.8681477112477</v>
      </c>
      <c r="Y166" s="84"/>
      <c r="Z166" s="84">
        <f t="shared" si="63"/>
        <v>-3401.6554956361811</v>
      </c>
      <c r="AA166" s="84">
        <f t="shared" si="64"/>
        <v>-767.84414502981349</v>
      </c>
      <c r="AB166" s="84">
        <f t="shared" si="65"/>
        <v>9084.8681477112477</v>
      </c>
      <c r="AC166" s="84">
        <f t="shared" si="70"/>
        <v>-3401.6622989607786</v>
      </c>
      <c r="AD166" s="84">
        <f t="shared" si="71"/>
        <v>-767.84568072117486</v>
      </c>
      <c r="AE166" s="84">
        <f t="shared" si="72"/>
        <v>9084.8863174838825</v>
      </c>
      <c r="AF166" s="83"/>
      <c r="AG166" s="87">
        <f t="shared" si="66"/>
        <v>5.5936263702041984E-10</v>
      </c>
    </row>
    <row r="167" spans="1:33" x14ac:dyDescent="0.2">
      <c r="A167" s="89">
        <v>3348.7</v>
      </c>
      <c r="B167" s="89">
        <v>1.6</v>
      </c>
      <c r="C167" s="89">
        <v>301.8</v>
      </c>
      <c r="D167" s="88">
        <v>-3518.9952480697375</v>
      </c>
      <c r="E167" s="88">
        <v>-766.76441964217247</v>
      </c>
      <c r="F167" s="88">
        <v>9140.8022769882737</v>
      </c>
      <c r="G167" s="82"/>
      <c r="H167" s="84">
        <f t="shared" si="67"/>
        <v>-3518.988210079242</v>
      </c>
      <c r="I167" s="84">
        <f t="shared" si="68"/>
        <v>-766.76288611333337</v>
      </c>
      <c r="J167" s="84">
        <f t="shared" si="69"/>
        <v>9140.783995383721</v>
      </c>
      <c r="K167" s="82"/>
      <c r="L167" s="84">
        <f t="shared" si="53"/>
        <v>10225509.371789921</v>
      </c>
      <c r="M167" s="84">
        <f t="shared" si="54"/>
        <v>923581.80711388658</v>
      </c>
      <c r="N167" s="84">
        <f t="shared" si="55"/>
        <v>8948.783995383721</v>
      </c>
      <c r="O167" s="82"/>
      <c r="P167" s="84">
        <f t="shared" si="56"/>
        <v>10225508.710220136</v>
      </c>
      <c r="Q167" s="84">
        <f t="shared" si="57"/>
        <v>923581.66296246403</v>
      </c>
      <c r="R167" s="84">
        <f t="shared" si="58"/>
        <v>8948.783995383721</v>
      </c>
      <c r="S167" s="82"/>
      <c r="T167" s="90">
        <f t="shared" si="59"/>
        <v>0.6770924704047524</v>
      </c>
      <c r="U167" s="82"/>
      <c r="V167" s="84">
        <f t="shared" si="60"/>
        <v>-3518.9882100783288</v>
      </c>
      <c r="W167" s="84">
        <f t="shared" si="61"/>
        <v>-766.76288611337077</v>
      </c>
      <c r="X167" s="84">
        <f t="shared" si="62"/>
        <v>9140.783995383721</v>
      </c>
      <c r="Y167" s="82"/>
      <c r="Z167" s="84">
        <f t="shared" si="63"/>
        <v>-3518.9882100801601</v>
      </c>
      <c r="AA167" s="84">
        <f t="shared" si="64"/>
        <v>-766.76288611332575</v>
      </c>
      <c r="AB167" s="84">
        <f t="shared" si="65"/>
        <v>9140.783995383721</v>
      </c>
      <c r="AC167" s="84">
        <f t="shared" si="70"/>
        <v>-3518.9952480706561</v>
      </c>
      <c r="AD167" s="84">
        <f t="shared" si="71"/>
        <v>-766.76441964216497</v>
      </c>
      <c r="AE167" s="84">
        <f t="shared" si="72"/>
        <v>9140.8022769882737</v>
      </c>
      <c r="AF167" s="82"/>
      <c r="AG167" s="87">
        <f t="shared" si="66"/>
        <v>9.1862029307314206E-10</v>
      </c>
    </row>
    <row r="168" spans="1:33" x14ac:dyDescent="0.2">
      <c r="A168" s="89">
        <v>3348.8</v>
      </c>
      <c r="B168" s="89">
        <v>1.6</v>
      </c>
      <c r="C168" s="89">
        <v>301.8</v>
      </c>
      <c r="D168" s="88">
        <v>-3606.4419198691876</v>
      </c>
      <c r="E168" s="88">
        <v>-763.03172436171303</v>
      </c>
      <c r="F168" s="88">
        <v>9184.8811967785332</v>
      </c>
      <c r="G168" s="82"/>
      <c r="H168" s="84">
        <f t="shared" si="67"/>
        <v>-3606.4347069853479</v>
      </c>
      <c r="I168" s="84">
        <f t="shared" si="68"/>
        <v>-763.03019829826439</v>
      </c>
      <c r="J168" s="84">
        <f t="shared" si="69"/>
        <v>9184.8628270161407</v>
      </c>
      <c r="K168" s="82"/>
      <c r="L168" s="84">
        <f t="shared" si="53"/>
        <v>10225421.925293013</v>
      </c>
      <c r="M168" s="84">
        <f t="shared" si="54"/>
        <v>923585.53980170167</v>
      </c>
      <c r="N168" s="84">
        <f t="shared" si="55"/>
        <v>8992.8628270161407</v>
      </c>
      <c r="O168" s="82"/>
      <c r="P168" s="84">
        <f t="shared" si="56"/>
        <v>10225421.247283289</v>
      </c>
      <c r="Q168" s="84">
        <f t="shared" si="57"/>
        <v>923585.3963520244</v>
      </c>
      <c r="R168" s="84">
        <f t="shared" si="58"/>
        <v>8992.8628270161407</v>
      </c>
      <c r="S168" s="82"/>
      <c r="T168" s="90">
        <f t="shared" si="59"/>
        <v>0.6930187559360691</v>
      </c>
      <c r="U168" s="82"/>
      <c r="V168" s="84">
        <f t="shared" si="60"/>
        <v>-3606.4347069859505</v>
      </c>
      <c r="W168" s="84">
        <f t="shared" si="61"/>
        <v>-763.03019829827826</v>
      </c>
      <c r="X168" s="84">
        <f t="shared" si="62"/>
        <v>9184.8628270161407</v>
      </c>
      <c r="Y168" s="84"/>
      <c r="Z168" s="84">
        <f t="shared" si="63"/>
        <v>-3606.4347069852815</v>
      </c>
      <c r="AA168" s="84">
        <f t="shared" si="64"/>
        <v>-763.03019829826894</v>
      </c>
      <c r="AB168" s="84">
        <f t="shared" si="65"/>
        <v>9184.8628270161407</v>
      </c>
      <c r="AC168" s="84">
        <f t="shared" si="70"/>
        <v>-3606.4419198691207</v>
      </c>
      <c r="AD168" s="84">
        <f t="shared" si="71"/>
        <v>-763.03172436171758</v>
      </c>
      <c r="AE168" s="84">
        <f t="shared" si="72"/>
        <v>9184.8811967785332</v>
      </c>
      <c r="AF168" s="83"/>
      <c r="AG168" s="87">
        <f t="shared" si="66"/>
        <v>6.7002358014314831E-11</v>
      </c>
    </row>
    <row r="169" spans="1:33" x14ac:dyDescent="0.2">
      <c r="A169" s="89">
        <v>3348.9</v>
      </c>
      <c r="B169" s="89">
        <v>1.6</v>
      </c>
      <c r="C169" s="89">
        <v>301.8</v>
      </c>
      <c r="D169" s="88">
        <v>-3690.3287889879571</v>
      </c>
      <c r="E169" s="88">
        <v>-759.90710897139581</v>
      </c>
      <c r="F169" s="88">
        <v>9227.1764530607634</v>
      </c>
      <c r="G169" s="82"/>
      <c r="H169" s="84">
        <f t="shared" si="67"/>
        <v>-3690.3214083303792</v>
      </c>
      <c r="I169" s="84">
        <f t="shared" si="68"/>
        <v>-759.90558915717804</v>
      </c>
      <c r="J169" s="84">
        <f t="shared" si="69"/>
        <v>9227.1579987078585</v>
      </c>
      <c r="K169" s="82"/>
      <c r="L169" s="84">
        <f t="shared" si="53"/>
        <v>10225338.03859167</v>
      </c>
      <c r="M169" s="84">
        <f t="shared" si="54"/>
        <v>923588.66441084282</v>
      </c>
      <c r="N169" s="84">
        <f t="shared" si="55"/>
        <v>9035.1579987078585</v>
      </c>
      <c r="O169" s="82"/>
      <c r="P169" s="84">
        <f t="shared" si="56"/>
        <v>10225337.344811244</v>
      </c>
      <c r="Q169" s="84">
        <f t="shared" si="57"/>
        <v>923588.52154859202</v>
      </c>
      <c r="R169" s="84">
        <f t="shared" si="58"/>
        <v>9035.1579987078585</v>
      </c>
      <c r="S169" s="82"/>
      <c r="T169" s="90">
        <f t="shared" si="59"/>
        <v>0.70833671520986141</v>
      </c>
      <c r="U169" s="82"/>
      <c r="V169" s="84">
        <f t="shared" si="60"/>
        <v>-3690.3214083295316</v>
      </c>
      <c r="W169" s="84">
        <f t="shared" si="61"/>
        <v>-759.90558915713336</v>
      </c>
      <c r="X169" s="84">
        <f t="shared" si="62"/>
        <v>9227.1579987078585</v>
      </c>
      <c r="Y169" s="82"/>
      <c r="Z169" s="84">
        <f t="shared" si="63"/>
        <v>-3690.3214083307012</v>
      </c>
      <c r="AA169" s="84">
        <f t="shared" si="64"/>
        <v>-759.90558915716736</v>
      </c>
      <c r="AB169" s="84">
        <f t="shared" si="65"/>
        <v>9227.1579987078585</v>
      </c>
      <c r="AC169" s="84">
        <f t="shared" si="70"/>
        <v>-3690.3287889882786</v>
      </c>
      <c r="AD169" s="84">
        <f t="shared" si="71"/>
        <v>-759.90710897138524</v>
      </c>
      <c r="AE169" s="84">
        <f t="shared" si="72"/>
        <v>9227.1764530607634</v>
      </c>
      <c r="AF169" s="82"/>
      <c r="AG169" s="87">
        <f t="shared" si="66"/>
        <v>3.2168017689309498E-10</v>
      </c>
    </row>
    <row r="170" spans="1:33" x14ac:dyDescent="0.2">
      <c r="A170" s="89">
        <v>3349</v>
      </c>
      <c r="B170" s="89">
        <v>1.6</v>
      </c>
      <c r="C170" s="89">
        <v>301.8</v>
      </c>
      <c r="D170" s="88">
        <v>-3776.3126927202134</v>
      </c>
      <c r="E170" s="88">
        <v>-758.13586618652585</v>
      </c>
      <c r="F170" s="88">
        <v>9269.8320233136255</v>
      </c>
      <c r="G170" s="82"/>
      <c r="H170" s="84">
        <f t="shared" si="67"/>
        <v>-3776.3051400948279</v>
      </c>
      <c r="I170" s="84">
        <f t="shared" si="68"/>
        <v>-758.13434991479357</v>
      </c>
      <c r="J170" s="84">
        <f t="shared" si="69"/>
        <v>9269.8134836495792</v>
      </c>
      <c r="K170" s="82"/>
      <c r="L170" s="84">
        <f t="shared" si="53"/>
        <v>10225252.054859905</v>
      </c>
      <c r="M170" s="84">
        <f t="shared" si="54"/>
        <v>923590.4356500851</v>
      </c>
      <c r="N170" s="84">
        <f t="shared" si="55"/>
        <v>9077.8134836495792</v>
      </c>
      <c r="O170" s="82"/>
      <c r="P170" s="84">
        <f t="shared" si="56"/>
        <v>10225251.344914539</v>
      </c>
      <c r="Q170" s="84">
        <f t="shared" si="57"/>
        <v>923590.29312082741</v>
      </c>
      <c r="R170" s="84">
        <f t="shared" si="58"/>
        <v>9077.8134836495792</v>
      </c>
      <c r="S170" s="82"/>
      <c r="T170" s="90">
        <f t="shared" si="59"/>
        <v>0.72411118738723468</v>
      </c>
      <c r="U170" s="82"/>
      <c r="V170" s="84">
        <f t="shared" si="60"/>
        <v>-3776.3051400948316</v>
      </c>
      <c r="W170" s="84">
        <f t="shared" si="61"/>
        <v>-758.13434991484974</v>
      </c>
      <c r="X170" s="84">
        <f t="shared" si="62"/>
        <v>9269.8134836495792</v>
      </c>
      <c r="Y170" s="84"/>
      <c r="Z170" s="84">
        <f t="shared" si="63"/>
        <v>-3776.30514009428</v>
      </c>
      <c r="AA170" s="84">
        <f t="shared" si="64"/>
        <v>-758.13434991475526</v>
      </c>
      <c r="AB170" s="84">
        <f t="shared" si="65"/>
        <v>9269.8134836495792</v>
      </c>
      <c r="AC170" s="84">
        <f t="shared" si="70"/>
        <v>-3776.3126927196649</v>
      </c>
      <c r="AD170" s="84">
        <f t="shared" si="71"/>
        <v>-758.13586618648765</v>
      </c>
      <c r="AE170" s="84">
        <f t="shared" si="72"/>
        <v>9269.8320233136255</v>
      </c>
      <c r="AF170" s="83"/>
      <c r="AG170" s="87">
        <f t="shared" si="66"/>
        <v>5.4975400130452651E-10</v>
      </c>
    </row>
    <row r="171" spans="1:33" x14ac:dyDescent="0.2">
      <c r="A171" s="89">
        <v>3349.1</v>
      </c>
      <c r="B171" s="89">
        <v>1.6</v>
      </c>
      <c r="C171" s="89">
        <v>301.8</v>
      </c>
      <c r="D171" s="88">
        <v>-3863.1867742853769</v>
      </c>
      <c r="E171" s="88">
        <v>-757.74922275039796</v>
      </c>
      <c r="F171" s="88">
        <v>9312.9776953827604</v>
      </c>
      <c r="G171" s="82"/>
      <c r="H171" s="84">
        <f t="shared" si="67"/>
        <v>-3863.1790479118285</v>
      </c>
      <c r="I171" s="84">
        <f t="shared" si="68"/>
        <v>-757.74770725195253</v>
      </c>
      <c r="J171" s="84">
        <f t="shared" si="69"/>
        <v>9312.9590694273702</v>
      </c>
      <c r="K171" s="82"/>
      <c r="L171" s="84">
        <f t="shared" si="53"/>
        <v>10225165.180952087</v>
      </c>
      <c r="M171" s="84">
        <f t="shared" si="54"/>
        <v>923590.82229274802</v>
      </c>
      <c r="N171" s="84">
        <f t="shared" si="55"/>
        <v>9120.9590694273702</v>
      </c>
      <c r="O171" s="82"/>
      <c r="P171" s="84">
        <f t="shared" si="56"/>
        <v>10225164.454674426</v>
      </c>
      <c r="Q171" s="84">
        <f t="shared" si="57"/>
        <v>923590.67983617901</v>
      </c>
      <c r="R171" s="84">
        <f t="shared" si="58"/>
        <v>9120.9590694273702</v>
      </c>
      <c r="S171" s="82"/>
      <c r="T171" s="90">
        <f t="shared" si="59"/>
        <v>0.74011695988510884</v>
      </c>
      <c r="U171" s="82"/>
      <c r="V171" s="84">
        <f t="shared" si="60"/>
        <v>-3863.1790479123592</v>
      </c>
      <c r="W171" s="84">
        <f t="shared" si="61"/>
        <v>-757.74770725192502</v>
      </c>
      <c r="X171" s="84">
        <f t="shared" si="62"/>
        <v>9312.9590694273702</v>
      </c>
      <c r="Y171" s="82"/>
      <c r="Z171" s="84">
        <f t="shared" si="63"/>
        <v>-3863.17904791193</v>
      </c>
      <c r="AA171" s="84">
        <f t="shared" si="64"/>
        <v>-757.74770725197197</v>
      </c>
      <c r="AB171" s="84">
        <f t="shared" si="65"/>
        <v>9312.9590694273702</v>
      </c>
      <c r="AC171" s="84">
        <f t="shared" si="70"/>
        <v>-3863.1867742854779</v>
      </c>
      <c r="AD171" s="84">
        <f t="shared" si="71"/>
        <v>-757.7492227504174</v>
      </c>
      <c r="AE171" s="84">
        <f t="shared" si="72"/>
        <v>9312.9776953827604</v>
      </c>
      <c r="AF171" s="82"/>
      <c r="AG171" s="87">
        <f t="shared" si="66"/>
        <v>1.0280867373097997E-10</v>
      </c>
    </row>
    <row r="172" spans="1:33" x14ac:dyDescent="0.2">
      <c r="A172" s="89">
        <v>3349.2</v>
      </c>
      <c r="B172" s="89">
        <v>1.6</v>
      </c>
      <c r="C172" s="89">
        <v>301.8</v>
      </c>
      <c r="D172" s="88">
        <v>-3949.1585644481374</v>
      </c>
      <c r="E172" s="88">
        <v>-758.64202443003853</v>
      </c>
      <c r="F172" s="88">
        <v>9355.6855967620031</v>
      </c>
      <c r="G172" s="82"/>
      <c r="H172" s="84">
        <f t="shared" si="67"/>
        <v>-3949.1506661310086</v>
      </c>
      <c r="I172" s="84">
        <f t="shared" si="68"/>
        <v>-758.64050714598977</v>
      </c>
      <c r="J172" s="84">
        <f t="shared" si="69"/>
        <v>9355.6668853908104</v>
      </c>
      <c r="K172" s="82"/>
      <c r="L172" s="84">
        <f t="shared" si="53"/>
        <v>10225079.209333869</v>
      </c>
      <c r="M172" s="84">
        <f t="shared" si="54"/>
        <v>923589.92949285393</v>
      </c>
      <c r="N172" s="84">
        <f t="shared" si="55"/>
        <v>9163.6668853908104</v>
      </c>
      <c r="O172" s="82"/>
      <c r="P172" s="84">
        <f t="shared" si="56"/>
        <v>10225078.466893543</v>
      </c>
      <c r="Q172" s="84">
        <f t="shared" si="57"/>
        <v>923589.78686843859</v>
      </c>
      <c r="R172" s="84">
        <f t="shared" si="58"/>
        <v>9163.6668853908104</v>
      </c>
      <c r="S172" s="82"/>
      <c r="T172" s="90">
        <f t="shared" si="59"/>
        <v>0.75601545072120746</v>
      </c>
      <c r="U172" s="82"/>
      <c r="V172" s="84">
        <f t="shared" si="60"/>
        <v>-3949.1506661307067</v>
      </c>
      <c r="W172" s="84">
        <f t="shared" si="61"/>
        <v>-758.64050714601763</v>
      </c>
      <c r="X172" s="84">
        <f t="shared" si="62"/>
        <v>9355.6668853908104</v>
      </c>
      <c r="Y172" s="84"/>
      <c r="Z172" s="84">
        <f t="shared" si="63"/>
        <v>-3949.150666131613</v>
      </c>
      <c r="AA172" s="84">
        <f t="shared" si="64"/>
        <v>-758.6405071460149</v>
      </c>
      <c r="AB172" s="84">
        <f t="shared" si="65"/>
        <v>9355.6668853908104</v>
      </c>
      <c r="AC172" s="84">
        <f t="shared" si="70"/>
        <v>-3949.1585644487413</v>
      </c>
      <c r="AD172" s="84">
        <f t="shared" si="71"/>
        <v>-758.64202443006366</v>
      </c>
      <c r="AE172" s="84">
        <f t="shared" si="72"/>
        <v>9355.6855967620031</v>
      </c>
      <c r="AF172" s="83"/>
      <c r="AG172" s="87">
        <f t="shared" si="66"/>
        <v>6.0442690085884767E-10</v>
      </c>
    </row>
    <row r="173" spans="1:33" x14ac:dyDescent="0.2">
      <c r="A173" s="89">
        <v>3349.3</v>
      </c>
      <c r="B173" s="89">
        <v>1.6</v>
      </c>
      <c r="C173" s="89">
        <v>301.8</v>
      </c>
      <c r="D173" s="88">
        <v>-4035.1767612089175</v>
      </c>
      <c r="E173" s="88">
        <v>-760.56440614578753</v>
      </c>
      <c r="F173" s="88">
        <v>9398.2658715393663</v>
      </c>
      <c r="G173" s="82"/>
      <c r="H173" s="84">
        <f t="shared" si="67"/>
        <v>-4035.1686908553952</v>
      </c>
      <c r="I173" s="84">
        <f t="shared" si="68"/>
        <v>-760.56288501697532</v>
      </c>
      <c r="J173" s="84">
        <f t="shared" si="69"/>
        <v>9398.2470750076245</v>
      </c>
      <c r="K173" s="82"/>
      <c r="L173" s="84">
        <f t="shared" si="53"/>
        <v>10224993.191309145</v>
      </c>
      <c r="M173" s="84">
        <f t="shared" si="54"/>
        <v>923588.00711498293</v>
      </c>
      <c r="N173" s="84">
        <f t="shared" si="55"/>
        <v>9206.2470750076245</v>
      </c>
      <c r="O173" s="82"/>
      <c r="P173" s="84">
        <f t="shared" si="56"/>
        <v>10224992.43269743</v>
      </c>
      <c r="Q173" s="84">
        <f t="shared" si="57"/>
        <v>923587.86412916065</v>
      </c>
      <c r="R173" s="84">
        <f t="shared" si="58"/>
        <v>9206.2470750076245</v>
      </c>
      <c r="S173" s="82"/>
      <c r="T173" s="90">
        <f t="shared" si="59"/>
        <v>0.77196935088208829</v>
      </c>
      <c r="U173" s="82"/>
      <c r="V173" s="84">
        <f t="shared" si="60"/>
        <v>-4035.1686908546835</v>
      </c>
      <c r="W173" s="84">
        <f t="shared" si="61"/>
        <v>-760.56288501701783</v>
      </c>
      <c r="X173" s="84">
        <f t="shared" si="62"/>
        <v>9398.2470750076245</v>
      </c>
      <c r="Y173" s="82"/>
      <c r="Z173" s="84">
        <f t="shared" si="63"/>
        <v>-4035.1686908552697</v>
      </c>
      <c r="AA173" s="84">
        <f t="shared" si="64"/>
        <v>-760.56288501691824</v>
      </c>
      <c r="AB173" s="84">
        <f t="shared" si="65"/>
        <v>9398.2470750076245</v>
      </c>
      <c r="AC173" s="84">
        <f t="shared" si="70"/>
        <v>-4035.176761208792</v>
      </c>
      <c r="AD173" s="84">
        <f t="shared" si="71"/>
        <v>-760.56440614573046</v>
      </c>
      <c r="AE173" s="84">
        <f t="shared" si="72"/>
        <v>9398.2658715393663</v>
      </c>
      <c r="AF173" s="82"/>
      <c r="AG173" s="87">
        <f t="shared" si="66"/>
        <v>1.3787640460272995E-10</v>
      </c>
    </row>
    <row r="174" spans="1:33" x14ac:dyDescent="0.2">
      <c r="A174" s="89">
        <v>3349.4</v>
      </c>
      <c r="B174" s="89">
        <v>1.6</v>
      </c>
      <c r="C174" s="89">
        <v>301.8</v>
      </c>
      <c r="D174" s="88">
        <v>-4120.4040921400547</v>
      </c>
      <c r="E174" s="88">
        <v>-763.10141972057272</v>
      </c>
      <c r="F174" s="88">
        <v>9440.1568626503704</v>
      </c>
      <c r="G174" s="82"/>
      <c r="H174" s="84">
        <f t="shared" si="67"/>
        <v>-4120.3958513318712</v>
      </c>
      <c r="I174" s="84">
        <f t="shared" si="68"/>
        <v>-763.09989351773334</v>
      </c>
      <c r="J174" s="84">
        <f t="shared" si="69"/>
        <v>9440.137982336646</v>
      </c>
      <c r="K174" s="82"/>
      <c r="L174" s="84">
        <f t="shared" si="53"/>
        <v>10224907.964148667</v>
      </c>
      <c r="M174" s="84">
        <f t="shared" si="54"/>
        <v>923585.47010648227</v>
      </c>
      <c r="N174" s="84">
        <f t="shared" si="55"/>
        <v>9248.137982336646</v>
      </c>
      <c r="O174" s="82"/>
      <c r="P174" s="84">
        <f t="shared" si="56"/>
        <v>10224907.189514248</v>
      </c>
      <c r="Q174" s="84">
        <f t="shared" si="57"/>
        <v>923585.32664370222</v>
      </c>
      <c r="R174" s="84">
        <f t="shared" si="58"/>
        <v>9248.137982336646</v>
      </c>
      <c r="S174" s="82"/>
      <c r="T174" s="90">
        <f t="shared" si="59"/>
        <v>0.78780711622369237</v>
      </c>
      <c r="U174" s="82"/>
      <c r="V174" s="84">
        <f t="shared" si="60"/>
        <v>-4120.3958513326943</v>
      </c>
      <c r="W174" s="84">
        <f t="shared" si="61"/>
        <v>-763.09989351767581</v>
      </c>
      <c r="X174" s="84">
        <f t="shared" si="62"/>
        <v>9440.137982336646</v>
      </c>
      <c r="Y174" s="84"/>
      <c r="Z174" s="84">
        <f t="shared" si="63"/>
        <v>-4120.3958513316529</v>
      </c>
      <c r="AA174" s="84">
        <f t="shared" si="64"/>
        <v>-763.09989351774254</v>
      </c>
      <c r="AB174" s="84">
        <f t="shared" si="65"/>
        <v>9440.137982336646</v>
      </c>
      <c r="AC174" s="84">
        <f t="shared" si="70"/>
        <v>-4120.4040921398373</v>
      </c>
      <c r="AD174" s="84">
        <f t="shared" si="71"/>
        <v>-763.10141972058193</v>
      </c>
      <c r="AE174" s="84">
        <f t="shared" si="72"/>
        <v>9440.1568626503704</v>
      </c>
      <c r="AF174" s="83"/>
      <c r="AG174" s="87">
        <f t="shared" si="66"/>
        <v>2.1756420364371813E-10</v>
      </c>
    </row>
    <row r="175" spans="1:33" x14ac:dyDescent="0.2">
      <c r="A175" s="89">
        <v>3349.5</v>
      </c>
      <c r="B175" s="89">
        <v>1.6</v>
      </c>
      <c r="C175" s="89">
        <v>301.8</v>
      </c>
      <c r="D175" s="88">
        <v>-4206.756674678667</v>
      </c>
      <c r="E175" s="88">
        <v>-765.6489201494295</v>
      </c>
      <c r="F175" s="88">
        <v>9482.021913394532</v>
      </c>
      <c r="G175" s="82"/>
      <c r="H175" s="84">
        <f t="shared" si="67"/>
        <v>-4206.7482611653177</v>
      </c>
      <c r="I175" s="84">
        <f t="shared" si="68"/>
        <v>-765.64738885158931</v>
      </c>
      <c r="J175" s="84">
        <f t="shared" si="69"/>
        <v>9482.0029493507063</v>
      </c>
      <c r="K175" s="82"/>
      <c r="L175" s="84">
        <f t="shared" si="53"/>
        <v>10224821.611738835</v>
      </c>
      <c r="M175" s="84">
        <f t="shared" si="54"/>
        <v>923582.92261114833</v>
      </c>
      <c r="N175" s="84">
        <f t="shared" si="55"/>
        <v>9290.0029493507063</v>
      </c>
      <c r="O175" s="82"/>
      <c r="P175" s="84">
        <f t="shared" si="56"/>
        <v>10224820.820870161</v>
      </c>
      <c r="Q175" s="84">
        <f t="shared" si="57"/>
        <v>923582.77866943926</v>
      </c>
      <c r="R175" s="84">
        <f t="shared" si="58"/>
        <v>9290.0029493507063</v>
      </c>
      <c r="S175" s="82"/>
      <c r="T175" s="90">
        <f t="shared" si="59"/>
        <v>0.80386097945653356</v>
      </c>
      <c r="U175" s="82"/>
      <c r="V175" s="84">
        <f t="shared" si="60"/>
        <v>-4206.7482611648738</v>
      </c>
      <c r="W175" s="84">
        <f t="shared" si="61"/>
        <v>-765.64738885161933</v>
      </c>
      <c r="X175" s="84">
        <f t="shared" si="62"/>
        <v>9482.0029493507063</v>
      </c>
      <c r="Y175" s="82"/>
      <c r="Z175" s="84">
        <f t="shared" si="63"/>
        <v>-4206.7482611652476</v>
      </c>
      <c r="AA175" s="84">
        <f t="shared" si="64"/>
        <v>-765.6473888515884</v>
      </c>
      <c r="AB175" s="84">
        <f t="shared" si="65"/>
        <v>9482.0029493507063</v>
      </c>
      <c r="AC175" s="84">
        <f t="shared" si="70"/>
        <v>-4206.7566746785969</v>
      </c>
      <c r="AD175" s="84">
        <f t="shared" si="71"/>
        <v>-765.64892014942859</v>
      </c>
      <c r="AE175" s="84">
        <f t="shared" si="72"/>
        <v>9482.021913394532</v>
      </c>
      <c r="AF175" s="82"/>
      <c r="AG175" s="87">
        <f t="shared" si="66"/>
        <v>7.0036997597266074E-11</v>
      </c>
    </row>
    <row r="176" spans="1:33" x14ac:dyDescent="0.2">
      <c r="A176" s="89">
        <v>3349.6</v>
      </c>
      <c r="B176" s="89">
        <v>1.6</v>
      </c>
      <c r="C176" s="89">
        <v>301.8</v>
      </c>
      <c r="D176" s="88">
        <v>-4294.2631651804959</v>
      </c>
      <c r="E176" s="88">
        <v>-767.92494773667227</v>
      </c>
      <c r="F176" s="88">
        <v>9523.8120615656353</v>
      </c>
      <c r="G176" s="82"/>
      <c r="H176" s="84">
        <f t="shared" si="67"/>
        <v>-4294.2545766541662</v>
      </c>
      <c r="I176" s="84">
        <f t="shared" si="68"/>
        <v>-767.92341188677688</v>
      </c>
      <c r="J176" s="84">
        <f t="shared" si="69"/>
        <v>9523.793013941513</v>
      </c>
      <c r="K176" s="82"/>
      <c r="L176" s="84">
        <f t="shared" si="53"/>
        <v>10224734.105423346</v>
      </c>
      <c r="M176" s="84">
        <f t="shared" si="54"/>
        <v>923580.64658811316</v>
      </c>
      <c r="N176" s="84">
        <f t="shared" si="55"/>
        <v>9331.793013941513</v>
      </c>
      <c r="O176" s="82"/>
      <c r="P176" s="84">
        <f t="shared" si="56"/>
        <v>10224733.298103485</v>
      </c>
      <c r="Q176" s="84">
        <f t="shared" si="57"/>
        <v>923580.50221851177</v>
      </c>
      <c r="R176" s="84">
        <f t="shared" si="58"/>
        <v>9331.793013941513</v>
      </c>
      <c r="S176" s="82"/>
      <c r="T176" s="90">
        <f t="shared" si="59"/>
        <v>0.82012678264850736</v>
      </c>
      <c r="U176" s="82"/>
      <c r="V176" s="84">
        <f t="shared" si="60"/>
        <v>-4294.2545766532421</v>
      </c>
      <c r="W176" s="84">
        <f t="shared" si="61"/>
        <v>-767.92341188678984</v>
      </c>
      <c r="X176" s="84">
        <f t="shared" si="62"/>
        <v>9523.793013941513</v>
      </c>
      <c r="Y176" s="84"/>
      <c r="Z176" s="84">
        <f t="shared" si="63"/>
        <v>-4294.254576653736</v>
      </c>
      <c r="AA176" s="84">
        <f t="shared" si="64"/>
        <v>-767.92341188674357</v>
      </c>
      <c r="AB176" s="84">
        <f t="shared" si="65"/>
        <v>9523.793013941513</v>
      </c>
      <c r="AC176" s="84">
        <f t="shared" si="70"/>
        <v>-4294.2631651800657</v>
      </c>
      <c r="AD176" s="84">
        <f t="shared" si="71"/>
        <v>-767.92494773663896</v>
      </c>
      <c r="AE176" s="84">
        <f t="shared" si="72"/>
        <v>9523.8120615656353</v>
      </c>
      <c r="AF176" s="83"/>
      <c r="AG176" s="87">
        <f t="shared" si="66"/>
        <v>4.3147869424194829E-10</v>
      </c>
    </row>
    <row r="177" spans="1:33" x14ac:dyDescent="0.2">
      <c r="A177" s="89">
        <v>3349.7</v>
      </c>
      <c r="B177" s="89">
        <v>1.6</v>
      </c>
      <c r="C177" s="89">
        <v>301.8</v>
      </c>
      <c r="D177" s="88">
        <v>-4381.5552312313748</v>
      </c>
      <c r="E177" s="88">
        <v>-770.36979443281041</v>
      </c>
      <c r="F177" s="88">
        <v>9566.0369419806029</v>
      </c>
      <c r="G177" s="82"/>
      <c r="H177" s="84">
        <f t="shared" si="67"/>
        <v>-4381.5464681209132</v>
      </c>
      <c r="I177" s="84">
        <f t="shared" si="68"/>
        <v>-770.36825369322162</v>
      </c>
      <c r="J177" s="84">
        <f t="shared" si="69"/>
        <v>9566.0178099067198</v>
      </c>
      <c r="K177" s="82"/>
      <c r="L177" s="84">
        <f t="shared" si="53"/>
        <v>10224646.813531879</v>
      </c>
      <c r="M177" s="84">
        <f t="shared" si="54"/>
        <v>923578.20174630673</v>
      </c>
      <c r="N177" s="84">
        <f t="shared" si="55"/>
        <v>9374.0178099067198</v>
      </c>
      <c r="O177" s="82"/>
      <c r="P177" s="84">
        <f t="shared" si="56"/>
        <v>10224645.989801142</v>
      </c>
      <c r="Q177" s="84">
        <f t="shared" si="57"/>
        <v>923578.05691707507</v>
      </c>
      <c r="R177" s="84">
        <f t="shared" si="58"/>
        <v>9374.0178099067198</v>
      </c>
      <c r="S177" s="82"/>
      <c r="T177" s="90">
        <f t="shared" si="59"/>
        <v>0.83636584900083966</v>
      </c>
      <c r="U177" s="82"/>
      <c r="V177" s="84">
        <f t="shared" si="60"/>
        <v>-4381.5464681200683</v>
      </c>
      <c r="W177" s="84">
        <f t="shared" si="61"/>
        <v>-770.36825369321741</v>
      </c>
      <c r="X177" s="84">
        <f t="shared" si="62"/>
        <v>9566.0178099067198</v>
      </c>
      <c r="Y177" s="82"/>
      <c r="Z177" s="84">
        <f t="shared" si="63"/>
        <v>-4381.5464681210324</v>
      </c>
      <c r="AA177" s="84">
        <f t="shared" si="64"/>
        <v>-770.3682536931866</v>
      </c>
      <c r="AB177" s="84">
        <f t="shared" si="65"/>
        <v>9566.0178099067198</v>
      </c>
      <c r="AC177" s="84">
        <f t="shared" si="70"/>
        <v>-4381.5552312314949</v>
      </c>
      <c r="AD177" s="84">
        <f t="shared" si="71"/>
        <v>-770.36979443277539</v>
      </c>
      <c r="AE177" s="84">
        <f t="shared" si="72"/>
        <v>9566.0369419806029</v>
      </c>
      <c r="AF177" s="82"/>
      <c r="AG177" s="87">
        <f t="shared" si="66"/>
        <v>1.2505552149377763E-10</v>
      </c>
    </row>
    <row r="178" spans="1:33" x14ac:dyDescent="0.2">
      <c r="A178" s="89">
        <v>3349.8</v>
      </c>
      <c r="B178" s="89">
        <v>1.6</v>
      </c>
      <c r="C178" s="89">
        <v>301.8</v>
      </c>
      <c r="D178" s="88">
        <v>-4465.7956397547587</v>
      </c>
      <c r="E178" s="88">
        <v>-773.98856459179706</v>
      </c>
      <c r="F178" s="88">
        <v>9607.5840350105973</v>
      </c>
      <c r="G178" s="82"/>
      <c r="H178" s="84">
        <f t="shared" si="67"/>
        <v>-4465.7867081634795</v>
      </c>
      <c r="I178" s="84">
        <f t="shared" si="68"/>
        <v>-773.98701661466794</v>
      </c>
      <c r="J178" s="84">
        <f t="shared" si="69"/>
        <v>9607.5648198425279</v>
      </c>
      <c r="K178" s="82"/>
      <c r="L178" s="84">
        <f t="shared" si="53"/>
        <v>10224562.573291836</v>
      </c>
      <c r="M178" s="84">
        <f t="shared" si="54"/>
        <v>923574.58298338531</v>
      </c>
      <c r="N178" s="84">
        <f t="shared" si="55"/>
        <v>9415.5648198425279</v>
      </c>
      <c r="O178" s="82"/>
      <c r="P178" s="84">
        <f t="shared" si="56"/>
        <v>10224561.733723935</v>
      </c>
      <c r="Q178" s="84">
        <f t="shared" si="57"/>
        <v>923574.43747382611</v>
      </c>
      <c r="R178" s="84">
        <f t="shared" si="58"/>
        <v>9415.5648198425279</v>
      </c>
      <c r="S178" s="82"/>
      <c r="T178" s="90">
        <f t="shared" si="59"/>
        <v>0.85208408807948699</v>
      </c>
      <c r="U178" s="82"/>
      <c r="V178" s="84">
        <f t="shared" si="60"/>
        <v>-4465.7867081630975</v>
      </c>
      <c r="W178" s="84">
        <f t="shared" si="61"/>
        <v>-773.98701661464293</v>
      </c>
      <c r="X178" s="84">
        <f t="shared" si="62"/>
        <v>9607.5648198425279</v>
      </c>
      <c r="Y178" s="84"/>
      <c r="Z178" s="84">
        <f t="shared" si="63"/>
        <v>-4465.7867081635286</v>
      </c>
      <c r="AA178" s="84">
        <f t="shared" si="64"/>
        <v>-773.98701661471478</v>
      </c>
      <c r="AB178" s="84">
        <f t="shared" si="65"/>
        <v>9607.5648198425279</v>
      </c>
      <c r="AC178" s="84">
        <f t="shared" si="70"/>
        <v>-4465.7956397548078</v>
      </c>
      <c r="AD178" s="84">
        <f t="shared" si="71"/>
        <v>-773.9885645918439</v>
      </c>
      <c r="AE178" s="84">
        <f t="shared" si="72"/>
        <v>9607.5840350105973</v>
      </c>
      <c r="AF178" s="83"/>
      <c r="AG178" s="87">
        <f t="shared" si="66"/>
        <v>6.7867138188142253E-11</v>
      </c>
    </row>
    <row r="179" spans="1:33" x14ac:dyDescent="0.2">
      <c r="A179" s="89">
        <v>3349.9</v>
      </c>
      <c r="B179" s="89">
        <v>1.6</v>
      </c>
      <c r="C179" s="89">
        <v>301.8</v>
      </c>
      <c r="D179" s="88">
        <v>-4551.6917883319775</v>
      </c>
      <c r="E179" s="88">
        <v>-779.79934375494531</v>
      </c>
      <c r="F179" s="88">
        <v>9650.0533186749617</v>
      </c>
      <c r="G179" s="82"/>
      <c r="H179" s="84">
        <f t="shared" si="67"/>
        <v>-4551.6826849484014</v>
      </c>
      <c r="I179" s="84">
        <f t="shared" si="68"/>
        <v>-779.79778415625788</v>
      </c>
      <c r="J179" s="84">
        <f t="shared" si="69"/>
        <v>9650.0340185683253</v>
      </c>
      <c r="K179" s="82"/>
      <c r="L179" s="84">
        <f t="shared" si="53"/>
        <v>10224476.677315051</v>
      </c>
      <c r="M179" s="84">
        <f t="shared" si="54"/>
        <v>923568.77221584367</v>
      </c>
      <c r="N179" s="84">
        <f t="shared" si="55"/>
        <v>9458.0340185683253</v>
      </c>
      <c r="O179" s="82"/>
      <c r="P179" s="84">
        <f t="shared" si="56"/>
        <v>10224475.821598707</v>
      </c>
      <c r="Q179" s="84">
        <f t="shared" si="57"/>
        <v>923568.62561386032</v>
      </c>
      <c r="R179" s="84">
        <f t="shared" si="58"/>
        <v>9458.0340185683253</v>
      </c>
      <c r="S179" s="82"/>
      <c r="T179" s="90">
        <f t="shared" si="59"/>
        <v>0.86818350759320961</v>
      </c>
      <c r="U179" s="82"/>
      <c r="V179" s="84">
        <f t="shared" si="60"/>
        <v>-4551.6826849486679</v>
      </c>
      <c r="W179" s="84">
        <f t="shared" si="61"/>
        <v>-779.79778415628243</v>
      </c>
      <c r="X179" s="84">
        <f t="shared" si="62"/>
        <v>9650.0340185683253</v>
      </c>
      <c r="Y179" s="82"/>
      <c r="Z179" s="84">
        <f t="shared" si="63"/>
        <v>-4551.6826849478666</v>
      </c>
      <c r="AA179" s="84">
        <f t="shared" si="64"/>
        <v>-779.79778415620706</v>
      </c>
      <c r="AB179" s="84">
        <f t="shared" si="65"/>
        <v>9650.0340185683253</v>
      </c>
      <c r="AC179" s="84">
        <f t="shared" si="70"/>
        <v>-4551.6917883314427</v>
      </c>
      <c r="AD179" s="84">
        <f t="shared" si="71"/>
        <v>-779.79934375489449</v>
      </c>
      <c r="AE179" s="84">
        <f t="shared" si="72"/>
        <v>9650.0533186749617</v>
      </c>
      <c r="AF179" s="82"/>
      <c r="AG179" s="87">
        <f t="shared" si="66"/>
        <v>5.3719196243393442E-10</v>
      </c>
    </row>
    <row r="180" spans="1:33" x14ac:dyDescent="0.2">
      <c r="A180" s="89">
        <v>3350</v>
      </c>
      <c r="B180" s="89">
        <v>1.6</v>
      </c>
      <c r="C180" s="89">
        <v>301.8</v>
      </c>
      <c r="D180" s="88">
        <v>-4638.3671913059761</v>
      </c>
      <c r="E180" s="88">
        <v>-787.51216226063104</v>
      </c>
      <c r="F180" s="88">
        <v>9692.9104570595682</v>
      </c>
      <c r="G180" s="82"/>
      <c r="H180" s="84">
        <f t="shared" si="67"/>
        <v>-4638.3579145715939</v>
      </c>
      <c r="I180" s="84">
        <f t="shared" si="68"/>
        <v>-787.51058723630661</v>
      </c>
      <c r="J180" s="84">
        <f t="shared" si="69"/>
        <v>9692.8910712386551</v>
      </c>
      <c r="K180" s="82"/>
      <c r="L180" s="84">
        <f t="shared" si="53"/>
        <v>10224390.002085429</v>
      </c>
      <c r="M180" s="84">
        <f t="shared" si="54"/>
        <v>923561.05941276369</v>
      </c>
      <c r="N180" s="84">
        <f t="shared" si="55"/>
        <v>9500.8910712386551</v>
      </c>
      <c r="O180" s="82"/>
      <c r="P180" s="84">
        <f t="shared" si="56"/>
        <v>10224389.13007414</v>
      </c>
      <c r="Q180" s="84">
        <f t="shared" si="57"/>
        <v>923560.91136077326</v>
      </c>
      <c r="R180" s="84">
        <f t="shared" si="58"/>
        <v>9500.8910712386551</v>
      </c>
      <c r="S180" s="82"/>
      <c r="T180" s="90">
        <f t="shared" si="59"/>
        <v>0.8844902939062157</v>
      </c>
      <c r="U180" s="82"/>
      <c r="V180" s="84">
        <f t="shared" si="60"/>
        <v>-4638.357914570719</v>
      </c>
      <c r="W180" s="84">
        <f t="shared" si="61"/>
        <v>-787.51058723626193</v>
      </c>
      <c r="X180" s="84">
        <f t="shared" si="62"/>
        <v>9692.8910712386551</v>
      </c>
      <c r="Y180" s="84"/>
      <c r="Z180" s="84">
        <f t="shared" si="63"/>
        <v>-4638.3579145717795</v>
      </c>
      <c r="AA180" s="84">
        <f t="shared" si="64"/>
        <v>-787.51058723629035</v>
      </c>
      <c r="AB180" s="84">
        <f t="shared" si="65"/>
        <v>9692.8910712386551</v>
      </c>
      <c r="AC180" s="84">
        <f t="shared" si="70"/>
        <v>-4638.3671913061617</v>
      </c>
      <c r="AD180" s="84">
        <f t="shared" si="71"/>
        <v>-787.51216226061479</v>
      </c>
      <c r="AE180" s="84">
        <f t="shared" si="72"/>
        <v>9692.9104570595682</v>
      </c>
      <c r="AF180" s="83"/>
      <c r="AG180" s="87">
        <f t="shared" si="66"/>
        <v>1.8624780670497723E-10</v>
      </c>
    </row>
    <row r="181" spans="1:33" x14ac:dyDescent="0.2">
      <c r="A181" s="89">
        <v>3350.1</v>
      </c>
      <c r="B181" s="89">
        <v>1.6</v>
      </c>
      <c r="C181" s="89">
        <v>301.8</v>
      </c>
      <c r="D181" s="88">
        <v>-4724.1185939390389</v>
      </c>
      <c r="E181" s="88">
        <v>-795.84462207661909</v>
      </c>
      <c r="F181" s="88">
        <v>9735.257430664924</v>
      </c>
      <c r="G181" s="82"/>
      <c r="H181" s="84">
        <f t="shared" si="67"/>
        <v>-4724.109145701851</v>
      </c>
      <c r="I181" s="84">
        <f t="shared" si="68"/>
        <v>-795.84303038737505</v>
      </c>
      <c r="J181" s="84">
        <f t="shared" si="69"/>
        <v>9735.2379601500634</v>
      </c>
      <c r="K181" s="82"/>
      <c r="L181" s="84">
        <f t="shared" si="53"/>
        <v>10224304.250854298</v>
      </c>
      <c r="M181" s="84">
        <f t="shared" si="54"/>
        <v>923552.72696961253</v>
      </c>
      <c r="N181" s="84">
        <f t="shared" si="55"/>
        <v>9543.2379601500634</v>
      </c>
      <c r="O181" s="82"/>
      <c r="P181" s="84">
        <f t="shared" si="56"/>
        <v>10224303.362721778</v>
      </c>
      <c r="Q181" s="84">
        <f t="shared" si="57"/>
        <v>923552.57735112286</v>
      </c>
      <c r="R181" s="84">
        <f t="shared" si="58"/>
        <v>9543.2379601500634</v>
      </c>
      <c r="S181" s="82"/>
      <c r="T181" s="90">
        <f t="shared" si="59"/>
        <v>0.9006470260693451</v>
      </c>
      <c r="U181" s="82"/>
      <c r="V181" s="84">
        <f t="shared" si="60"/>
        <v>-4724.1091457009315</v>
      </c>
      <c r="W181" s="84">
        <f t="shared" si="61"/>
        <v>-795.84303038741928</v>
      </c>
      <c r="X181" s="84">
        <f t="shared" si="62"/>
        <v>9735.2379601500634</v>
      </c>
      <c r="Y181" s="82"/>
      <c r="Z181" s="84">
        <f t="shared" si="63"/>
        <v>-4724.1091457015591</v>
      </c>
      <c r="AA181" s="84">
        <f t="shared" si="64"/>
        <v>-795.84303038737414</v>
      </c>
      <c r="AB181" s="84">
        <f t="shared" si="65"/>
        <v>9735.2379601500634</v>
      </c>
      <c r="AC181" s="84">
        <f t="shared" si="70"/>
        <v>-4724.118593938746</v>
      </c>
      <c r="AD181" s="84">
        <f t="shared" si="71"/>
        <v>-795.84462207661829</v>
      </c>
      <c r="AE181" s="84">
        <f t="shared" si="72"/>
        <v>9735.257430664924</v>
      </c>
      <c r="AF181" s="82"/>
      <c r="AG181" s="87">
        <f t="shared" si="66"/>
        <v>2.9285837522957168E-10</v>
      </c>
    </row>
    <row r="182" spans="1:33" x14ac:dyDescent="0.2">
      <c r="A182" s="89">
        <v>3350.2</v>
      </c>
      <c r="B182" s="89">
        <v>1.6</v>
      </c>
      <c r="C182" s="89">
        <v>301.8</v>
      </c>
      <c r="D182" s="88">
        <v>-4810.7910052406223</v>
      </c>
      <c r="E182" s="88">
        <v>-804.09101615264103</v>
      </c>
      <c r="F182" s="88">
        <v>9778.0227902562219</v>
      </c>
      <c r="G182" s="82"/>
      <c r="H182" s="84">
        <f t="shared" si="67"/>
        <v>-4810.7813836586129</v>
      </c>
      <c r="I182" s="84">
        <f t="shared" si="68"/>
        <v>-804.08940797060882</v>
      </c>
      <c r="J182" s="84">
        <f t="shared" si="69"/>
        <v>9778.0032342106424</v>
      </c>
      <c r="K182" s="82"/>
      <c r="L182" s="84">
        <f t="shared" si="53"/>
        <v>10224217.578616342</v>
      </c>
      <c r="M182" s="84">
        <f t="shared" si="54"/>
        <v>923544.48059202929</v>
      </c>
      <c r="N182" s="84">
        <f t="shared" si="55"/>
        <v>9586.0032342106424</v>
      </c>
      <c r="O182" s="82"/>
      <c r="P182" s="84">
        <f t="shared" si="56"/>
        <v>10224216.674189441</v>
      </c>
      <c r="Q182" s="84">
        <f t="shared" si="57"/>
        <v>923544.3294232206</v>
      </c>
      <c r="R182" s="84">
        <f t="shared" si="58"/>
        <v>9586.0032342106424</v>
      </c>
      <c r="S182" s="82"/>
      <c r="T182" s="90">
        <f t="shared" si="59"/>
        <v>0.91697329698102759</v>
      </c>
      <c r="U182" s="82"/>
      <c r="V182" s="84">
        <f t="shared" si="60"/>
        <v>-4810.781383657828</v>
      </c>
      <c r="W182" s="84">
        <f t="shared" si="61"/>
        <v>-804.08940797066316</v>
      </c>
      <c r="X182" s="84">
        <f t="shared" si="62"/>
        <v>9778.0032342106424</v>
      </c>
      <c r="Y182" s="84"/>
      <c r="Z182" s="84">
        <f t="shared" si="63"/>
        <v>-4810.78138365837</v>
      </c>
      <c r="AA182" s="84">
        <f t="shared" si="64"/>
        <v>-804.08940797065486</v>
      </c>
      <c r="AB182" s="84">
        <f t="shared" si="65"/>
        <v>9778.0032342106424</v>
      </c>
      <c r="AC182" s="84">
        <f t="shared" si="70"/>
        <v>-4810.7910052403804</v>
      </c>
      <c r="AD182" s="84">
        <f t="shared" si="71"/>
        <v>-804.09101615268708</v>
      </c>
      <c r="AE182" s="84">
        <f t="shared" si="72"/>
        <v>9778.0227902562219</v>
      </c>
      <c r="AF182" s="83"/>
      <c r="AG182" s="87">
        <f t="shared" si="66"/>
        <v>2.462680751922505E-10</v>
      </c>
    </row>
    <row r="183" spans="1:33" x14ac:dyDescent="0.2">
      <c r="A183" s="89">
        <v>3350.3</v>
      </c>
      <c r="B183" s="89">
        <v>1.6</v>
      </c>
      <c r="C183" s="89">
        <v>301.8</v>
      </c>
      <c r="D183" s="88">
        <v>-4896.6196896848314</v>
      </c>
      <c r="E183" s="88">
        <v>-811.75098334491008</v>
      </c>
      <c r="F183" s="88">
        <v>9820.3398253655068</v>
      </c>
      <c r="G183" s="82"/>
      <c r="H183" s="84">
        <f t="shared" si="67"/>
        <v>-4896.6098964454523</v>
      </c>
      <c r="I183" s="84">
        <f t="shared" si="68"/>
        <v>-811.74935984294348</v>
      </c>
      <c r="J183" s="84">
        <f t="shared" si="69"/>
        <v>9820.3201846858574</v>
      </c>
      <c r="K183" s="82"/>
      <c r="L183" s="84">
        <f t="shared" si="53"/>
        <v>10224131.750103554</v>
      </c>
      <c r="M183" s="84">
        <f t="shared" si="54"/>
        <v>923536.82064015698</v>
      </c>
      <c r="N183" s="84">
        <f t="shared" si="55"/>
        <v>9628.3201846858574</v>
      </c>
      <c r="O183" s="82"/>
      <c r="P183" s="84">
        <f t="shared" si="56"/>
        <v>10224130.829540893</v>
      </c>
      <c r="Q183" s="84">
        <f t="shared" si="57"/>
        <v>923536.66803127737</v>
      </c>
      <c r="R183" s="84">
        <f t="shared" si="58"/>
        <v>9628.3201846858574</v>
      </c>
      <c r="S183" s="82"/>
      <c r="T183" s="90">
        <f t="shared" si="59"/>
        <v>0.93312650895465055</v>
      </c>
      <c r="U183" s="82"/>
      <c r="V183" s="84">
        <f t="shared" si="60"/>
        <v>-4896.6098964456469</v>
      </c>
      <c r="W183" s="84">
        <f t="shared" si="61"/>
        <v>-811.7493598429719</v>
      </c>
      <c r="X183" s="84">
        <f t="shared" si="62"/>
        <v>9820.3201846858574</v>
      </c>
      <c r="Y183" s="82"/>
      <c r="Z183" s="84">
        <f t="shared" si="63"/>
        <v>-4896.6098964454368</v>
      </c>
      <c r="AA183" s="84">
        <f t="shared" si="64"/>
        <v>-811.7493598429304</v>
      </c>
      <c r="AB183" s="84">
        <f t="shared" si="65"/>
        <v>9820.3201846858574</v>
      </c>
      <c r="AC183" s="84">
        <f t="shared" si="70"/>
        <v>-4896.619689684816</v>
      </c>
      <c r="AD183" s="84">
        <f t="shared" si="71"/>
        <v>-811.75098334489701</v>
      </c>
      <c r="AE183" s="84">
        <f t="shared" si="72"/>
        <v>9820.3398253655068</v>
      </c>
      <c r="AF183" s="82"/>
      <c r="AG183" s="87">
        <f t="shared" si="66"/>
        <v>2.0248069433742702E-11</v>
      </c>
    </row>
    <row r="184" spans="1:33" x14ac:dyDescent="0.2">
      <c r="A184" s="89">
        <v>3350.4</v>
      </c>
      <c r="B184" s="89">
        <v>1.6</v>
      </c>
      <c r="C184" s="89">
        <v>301.8</v>
      </c>
      <c r="D184" s="88">
        <v>-4983.4390877738688</v>
      </c>
      <c r="E184" s="88">
        <v>-818.49993792147279</v>
      </c>
      <c r="F184" s="88">
        <v>9863.0678523990937</v>
      </c>
      <c r="G184" s="82"/>
      <c r="H184" s="84">
        <f t="shared" si="67"/>
        <v>-4983.4291208956938</v>
      </c>
      <c r="I184" s="84">
        <f t="shared" si="68"/>
        <v>-818.49830092159698</v>
      </c>
      <c r="J184" s="84">
        <f t="shared" si="69"/>
        <v>9863.0481262633893</v>
      </c>
      <c r="K184" s="82"/>
      <c r="L184" s="84">
        <f t="shared" si="53"/>
        <v>10224044.930879103</v>
      </c>
      <c r="M184" s="84">
        <f t="shared" si="54"/>
        <v>923530.07169907831</v>
      </c>
      <c r="N184" s="84">
        <f t="shared" si="55"/>
        <v>9671.0481262633893</v>
      </c>
      <c r="O184" s="82"/>
      <c r="P184" s="84">
        <f t="shared" si="56"/>
        <v>10224043.99399443</v>
      </c>
      <c r="Q184" s="84">
        <f t="shared" si="57"/>
        <v>923529.91782139777</v>
      </c>
      <c r="R184" s="84">
        <f t="shared" si="58"/>
        <v>9671.0481262633893</v>
      </c>
      <c r="S184" s="82"/>
      <c r="T184" s="90">
        <f t="shared" si="59"/>
        <v>0.94943732371105827</v>
      </c>
      <c r="U184" s="82"/>
      <c r="V184" s="84">
        <f t="shared" si="60"/>
        <v>-4983.4291208963841</v>
      </c>
      <c r="W184" s="84">
        <f t="shared" si="61"/>
        <v>-818.49830092163756</v>
      </c>
      <c r="X184" s="84">
        <f t="shared" si="62"/>
        <v>9863.0481262633893</v>
      </c>
      <c r="Y184" s="84"/>
      <c r="Z184" s="84">
        <f t="shared" si="63"/>
        <v>-4983.429120894968</v>
      </c>
      <c r="AA184" s="84">
        <f t="shared" si="64"/>
        <v>-818.49830092160335</v>
      </c>
      <c r="AB184" s="84">
        <f t="shared" si="65"/>
        <v>9863.0481262633893</v>
      </c>
      <c r="AC184" s="84">
        <f t="shared" si="70"/>
        <v>-4983.439087773143</v>
      </c>
      <c r="AD184" s="84">
        <f t="shared" si="71"/>
        <v>-818.49993792147916</v>
      </c>
      <c r="AE184" s="84">
        <f t="shared" si="72"/>
        <v>9863.0678523990919</v>
      </c>
      <c r="AF184" s="83"/>
      <c r="AG184" s="87">
        <f t="shared" si="66"/>
        <v>7.258069739046901E-10</v>
      </c>
    </row>
    <row r="185" spans="1:33" x14ac:dyDescent="0.2">
      <c r="A185" s="89">
        <v>3350.5</v>
      </c>
      <c r="B185" s="89">
        <v>1.6</v>
      </c>
      <c r="C185" s="89">
        <v>301.8</v>
      </c>
      <c r="D185" s="88">
        <v>-5068.5677562004057</v>
      </c>
      <c r="E185" s="88">
        <v>-824.09439935421915</v>
      </c>
      <c r="F185" s="88">
        <v>9904.8622526707077</v>
      </c>
      <c r="G185" s="82"/>
      <c r="H185" s="84">
        <f t="shared" si="67"/>
        <v>-5068.5576190648935</v>
      </c>
      <c r="I185" s="84">
        <f t="shared" si="68"/>
        <v>-824.09275116542051</v>
      </c>
      <c r="J185" s="84">
        <f t="shared" si="69"/>
        <v>9904.8424429462029</v>
      </c>
      <c r="K185" s="82"/>
      <c r="L185" s="84">
        <f t="shared" si="53"/>
        <v>10223959.802380934</v>
      </c>
      <c r="M185" s="84">
        <f t="shared" si="54"/>
        <v>923524.47724883456</v>
      </c>
      <c r="N185" s="84">
        <f t="shared" si="55"/>
        <v>9712.8424429462029</v>
      </c>
      <c r="O185" s="82"/>
      <c r="P185" s="84">
        <f t="shared" si="56"/>
        <v>10223958.849492103</v>
      </c>
      <c r="Q185" s="84">
        <f t="shared" si="57"/>
        <v>923524.32231939735</v>
      </c>
      <c r="R185" s="84">
        <f t="shared" si="58"/>
        <v>9712.8424429462029</v>
      </c>
      <c r="S185" s="82"/>
      <c r="T185" s="90">
        <f t="shared" si="59"/>
        <v>0.96540160332585945</v>
      </c>
      <c r="U185" s="82"/>
      <c r="V185" s="84">
        <f t="shared" si="60"/>
        <v>-5068.5576190650463</v>
      </c>
      <c r="W185" s="84">
        <f t="shared" si="61"/>
        <v>-824.09275116538629</v>
      </c>
      <c r="X185" s="84">
        <f t="shared" si="62"/>
        <v>9904.8424429462029</v>
      </c>
      <c r="Y185" s="82"/>
      <c r="Z185" s="84">
        <f t="shared" si="63"/>
        <v>-5068.5576190641577</v>
      </c>
      <c r="AA185" s="84">
        <f t="shared" si="64"/>
        <v>-824.09275116537606</v>
      </c>
      <c r="AB185" s="84">
        <f t="shared" si="65"/>
        <v>9904.8424429462029</v>
      </c>
      <c r="AC185" s="84">
        <f t="shared" si="70"/>
        <v>-5068.5677561996699</v>
      </c>
      <c r="AD185" s="84">
        <f t="shared" si="71"/>
        <v>-824.0943993541747</v>
      </c>
      <c r="AE185" s="84">
        <f t="shared" si="72"/>
        <v>9904.8622526707077</v>
      </c>
      <c r="AF185" s="82"/>
      <c r="AG185" s="87">
        <f t="shared" si="66"/>
        <v>7.3712274086291165E-10</v>
      </c>
    </row>
    <row r="186" spans="1:33" x14ac:dyDescent="0.2">
      <c r="A186" s="89">
        <v>3350.6</v>
      </c>
      <c r="B186" s="89">
        <v>1.6</v>
      </c>
      <c r="C186" s="89">
        <v>301.8</v>
      </c>
      <c r="D186" s="88">
        <v>-5155.5161973185795</v>
      </c>
      <c r="E186" s="88">
        <v>-828.76575476075652</v>
      </c>
      <c r="F186" s="88">
        <v>9947.6054658136782</v>
      </c>
      <c r="G186" s="82"/>
      <c r="H186" s="84">
        <f t="shared" si="67"/>
        <v>-5155.5058862861861</v>
      </c>
      <c r="I186" s="84">
        <f t="shared" si="68"/>
        <v>-828.76409722924711</v>
      </c>
      <c r="J186" s="84">
        <f t="shared" si="69"/>
        <v>9947.5855706027487</v>
      </c>
      <c r="K186" s="82"/>
      <c r="L186" s="84">
        <f t="shared" si="53"/>
        <v>10223872.854113713</v>
      </c>
      <c r="M186" s="84">
        <f t="shared" si="54"/>
        <v>923519.80590277072</v>
      </c>
      <c r="N186" s="84">
        <f t="shared" si="55"/>
        <v>9755.5855706027487</v>
      </c>
      <c r="O186" s="82"/>
      <c r="P186" s="84">
        <f t="shared" si="56"/>
        <v>10223871.884878607</v>
      </c>
      <c r="Q186" s="84">
        <f t="shared" si="57"/>
        <v>923519.65009512042</v>
      </c>
      <c r="R186" s="84">
        <f t="shared" si="58"/>
        <v>9755.5855706027487</v>
      </c>
      <c r="S186" s="82"/>
      <c r="T186" s="90">
        <f t="shared" si="59"/>
        <v>0.98167851841066822</v>
      </c>
      <c r="U186" s="82"/>
      <c r="V186" s="84">
        <f t="shared" si="60"/>
        <v>-5155.5058862864971</v>
      </c>
      <c r="W186" s="84">
        <f t="shared" si="61"/>
        <v>-828.76409722922835</v>
      </c>
      <c r="X186" s="84">
        <f t="shared" si="62"/>
        <v>9947.5855706027487</v>
      </c>
      <c r="Y186" s="84"/>
      <c r="Z186" s="84">
        <f t="shared" si="63"/>
        <v>-5155.5058862853148</v>
      </c>
      <c r="AA186" s="84">
        <f t="shared" si="64"/>
        <v>-828.76409722924802</v>
      </c>
      <c r="AB186" s="84">
        <f t="shared" si="65"/>
        <v>9947.5855706027487</v>
      </c>
      <c r="AC186" s="84">
        <f t="shared" si="70"/>
        <v>-5155.5161973177082</v>
      </c>
      <c r="AD186" s="84">
        <f t="shared" si="71"/>
        <v>-828.76575476075743</v>
      </c>
      <c r="AE186" s="84">
        <f t="shared" si="72"/>
        <v>9947.60546581368</v>
      </c>
      <c r="AF186" s="83"/>
      <c r="AG186" s="87">
        <f t="shared" si="66"/>
        <v>8.7129829771564433E-10</v>
      </c>
    </row>
    <row r="187" spans="1:33" x14ac:dyDescent="0.2">
      <c r="A187" s="89">
        <v>3350.7</v>
      </c>
      <c r="B187" s="89">
        <v>1.6</v>
      </c>
      <c r="C187" s="89">
        <v>301.8</v>
      </c>
      <c r="D187" s="88">
        <v>-5241.5124802810969</v>
      </c>
      <c r="E187" s="88">
        <v>-832.12240899980088</v>
      </c>
      <c r="F187" s="88">
        <v>9990.1408008198978</v>
      </c>
      <c r="G187" s="82"/>
      <c r="H187" s="84">
        <f t="shared" si="67"/>
        <v>-5241.5019972561367</v>
      </c>
      <c r="I187" s="84">
        <f t="shared" si="68"/>
        <v>-832.12074475498298</v>
      </c>
      <c r="J187" s="84">
        <f t="shared" si="69"/>
        <v>9990.1208205382973</v>
      </c>
      <c r="K187" s="82"/>
      <c r="L187" s="84">
        <f t="shared" si="53"/>
        <v>10223786.858002743</v>
      </c>
      <c r="M187" s="84">
        <f t="shared" si="54"/>
        <v>923516.44925524492</v>
      </c>
      <c r="N187" s="84">
        <f t="shared" si="55"/>
        <v>9798.1208205382973</v>
      </c>
      <c r="O187" s="82"/>
      <c r="P187" s="84">
        <f t="shared" si="56"/>
        <v>10223785.872600367</v>
      </c>
      <c r="Q187" s="84">
        <f t="shared" si="57"/>
        <v>923516.292816545</v>
      </c>
      <c r="R187" s="84">
        <f t="shared" si="58"/>
        <v>9798.1208205382973</v>
      </c>
      <c r="S187" s="82"/>
      <c r="T187" s="90">
        <f t="shared" si="59"/>
        <v>0.99774290696316326</v>
      </c>
      <c r="U187" s="82"/>
      <c r="V187" s="84">
        <f t="shared" si="60"/>
        <v>-5241.5019972566515</v>
      </c>
      <c r="W187" s="84">
        <f t="shared" si="61"/>
        <v>-832.12074475502595</v>
      </c>
      <c r="X187" s="84">
        <f t="shared" si="62"/>
        <v>9990.1208205382973</v>
      </c>
      <c r="Y187" s="82"/>
      <c r="Z187" s="84">
        <f t="shared" si="63"/>
        <v>-5241.501997256627</v>
      </c>
      <c r="AA187" s="84">
        <f t="shared" si="64"/>
        <v>-832.12074475493546</v>
      </c>
      <c r="AB187" s="84">
        <f t="shared" si="65"/>
        <v>9990.1208205382973</v>
      </c>
      <c r="AC187" s="84">
        <f t="shared" si="70"/>
        <v>-5241.5124802815872</v>
      </c>
      <c r="AD187" s="84">
        <f t="shared" si="71"/>
        <v>-832.12240899975336</v>
      </c>
      <c r="AE187" s="84">
        <f t="shared" si="72"/>
        <v>9990.1408008198978</v>
      </c>
      <c r="AF187" s="82"/>
      <c r="AG187" s="87">
        <f t="shared" si="66"/>
        <v>4.9251557692176215E-10</v>
      </c>
    </row>
    <row r="188" spans="1:33" x14ac:dyDescent="0.2">
      <c r="A188" s="89">
        <v>3350.8</v>
      </c>
      <c r="B188" s="89">
        <v>1.6</v>
      </c>
      <c r="C188" s="89">
        <v>301.8</v>
      </c>
      <c r="D188" s="88">
        <v>-5328.3175767373532</v>
      </c>
      <c r="E188" s="88">
        <v>-834.91861892746624</v>
      </c>
      <c r="F188" s="88">
        <v>10033.338629279504</v>
      </c>
      <c r="G188" s="82"/>
      <c r="H188" s="84">
        <f t="shared" si="67"/>
        <v>-5328.3069201022008</v>
      </c>
      <c r="I188" s="84">
        <f t="shared" si="68"/>
        <v>-834.91694909022851</v>
      </c>
      <c r="J188" s="84">
        <f t="shared" si="69"/>
        <v>10033.318562602248</v>
      </c>
      <c r="K188" s="82"/>
      <c r="L188" s="84">
        <f t="shared" si="53"/>
        <v>10223700.053079898</v>
      </c>
      <c r="M188" s="84">
        <f t="shared" si="54"/>
        <v>923513.65305090975</v>
      </c>
      <c r="N188" s="84">
        <f t="shared" si="55"/>
        <v>9841.3185626022478</v>
      </c>
      <c r="O188" s="82"/>
      <c r="P188" s="84">
        <f t="shared" si="56"/>
        <v>10223699.051358197</v>
      </c>
      <c r="Q188" s="84">
        <f t="shared" si="57"/>
        <v>923513.49608652329</v>
      </c>
      <c r="R188" s="84">
        <f t="shared" si="58"/>
        <v>9841.3185626022478</v>
      </c>
      <c r="S188" s="82"/>
      <c r="T188" s="90">
        <f t="shared" si="59"/>
        <v>1.0139448624940401</v>
      </c>
      <c r="U188" s="82"/>
      <c r="V188" s="84">
        <f t="shared" si="60"/>
        <v>-5328.3069201018661</v>
      </c>
      <c r="W188" s="84">
        <f t="shared" si="61"/>
        <v>-834.91694909019861</v>
      </c>
      <c r="X188" s="84">
        <f t="shared" si="62"/>
        <v>10033.318562602248</v>
      </c>
      <c r="Y188" s="84"/>
      <c r="Z188" s="84">
        <f t="shared" si="63"/>
        <v>-5328.3069201015396</v>
      </c>
      <c r="AA188" s="84">
        <f t="shared" si="64"/>
        <v>-834.91694909023363</v>
      </c>
      <c r="AB188" s="84">
        <f t="shared" si="65"/>
        <v>10033.318562602248</v>
      </c>
      <c r="AC188" s="84">
        <f t="shared" si="70"/>
        <v>-5328.3175767366929</v>
      </c>
      <c r="AD188" s="84">
        <f t="shared" si="71"/>
        <v>-834.91861892747136</v>
      </c>
      <c r="AE188" s="84">
        <f t="shared" si="72"/>
        <v>10033.338629279506</v>
      </c>
      <c r="AF188" s="83"/>
      <c r="AG188" s="87">
        <f t="shared" si="66"/>
        <v>6.6031547746211349E-10</v>
      </c>
    </row>
    <row r="189" spans="1:33" x14ac:dyDescent="0.2">
      <c r="A189" s="89">
        <v>3350.9</v>
      </c>
      <c r="B189" s="89">
        <v>1.6</v>
      </c>
      <c r="C189" s="89">
        <v>301.8</v>
      </c>
      <c r="D189" s="88">
        <v>-5415.0506112964995</v>
      </c>
      <c r="E189" s="88">
        <v>-838.14441188964133</v>
      </c>
      <c r="F189" s="88">
        <v>10076.650412342307</v>
      </c>
      <c r="G189" s="82"/>
      <c r="H189" s="84">
        <f t="shared" si="67"/>
        <v>-5415.0397811952771</v>
      </c>
      <c r="I189" s="84">
        <f t="shared" si="68"/>
        <v>-838.14273560081767</v>
      </c>
      <c r="J189" s="84">
        <f t="shared" si="69"/>
        <v>10076.630259041483</v>
      </c>
      <c r="K189" s="82"/>
      <c r="L189" s="84">
        <f t="shared" si="53"/>
        <v>10223613.320218803</v>
      </c>
      <c r="M189" s="84">
        <f t="shared" si="54"/>
        <v>923510.42726439913</v>
      </c>
      <c r="N189" s="84">
        <f t="shared" si="55"/>
        <v>9884.6302590414834</v>
      </c>
      <c r="O189" s="82"/>
      <c r="P189" s="84">
        <f t="shared" si="56"/>
        <v>10223612.302191325</v>
      </c>
      <c r="Q189" s="84">
        <f t="shared" si="57"/>
        <v>923510.26969356486</v>
      </c>
      <c r="R189" s="84">
        <f t="shared" si="58"/>
        <v>9884.6302590414834</v>
      </c>
      <c r="S189" s="82"/>
      <c r="T189" s="90">
        <f t="shared" si="59"/>
        <v>1.0301497539018463</v>
      </c>
      <c r="U189" s="82"/>
      <c r="V189" s="84">
        <f t="shared" si="60"/>
        <v>-5415.0397811960429</v>
      </c>
      <c r="W189" s="84">
        <f t="shared" si="61"/>
        <v>-838.14273560082074</v>
      </c>
      <c r="X189" s="84">
        <f t="shared" si="62"/>
        <v>10076.630259041483</v>
      </c>
      <c r="Y189" s="82"/>
      <c r="Z189" s="84">
        <f t="shared" si="63"/>
        <v>-5415.0397811960065</v>
      </c>
      <c r="AA189" s="84">
        <f t="shared" si="64"/>
        <v>-838.14273560079937</v>
      </c>
      <c r="AB189" s="84">
        <f t="shared" si="65"/>
        <v>10076.630259041483</v>
      </c>
      <c r="AC189" s="84">
        <f t="shared" si="70"/>
        <v>-5415.050611297228</v>
      </c>
      <c r="AD189" s="84">
        <f t="shared" si="71"/>
        <v>-838.14441188962303</v>
      </c>
      <c r="AE189" s="84">
        <f t="shared" si="72"/>
        <v>10076.650412342307</v>
      </c>
      <c r="AF189" s="82"/>
      <c r="AG189" s="87">
        <f t="shared" si="66"/>
        <v>7.2873515715067304E-10</v>
      </c>
    </row>
    <row r="190" spans="1:33" x14ac:dyDescent="0.2">
      <c r="A190" s="89">
        <v>3351</v>
      </c>
      <c r="B190" s="89">
        <v>1.6</v>
      </c>
      <c r="C190" s="89">
        <v>301.8</v>
      </c>
      <c r="D190" s="88">
        <v>-5500.8643167449882</v>
      </c>
      <c r="E190" s="88">
        <v>-842.27397700174367</v>
      </c>
      <c r="F190" s="88">
        <v>10119.48579138159</v>
      </c>
      <c r="G190" s="82"/>
      <c r="H190" s="84">
        <f t="shared" si="67"/>
        <v>-5500.8533150163548</v>
      </c>
      <c r="I190" s="84">
        <f t="shared" si="68"/>
        <v>-842.27229245378976</v>
      </c>
      <c r="J190" s="84">
        <f t="shared" si="69"/>
        <v>10119.465552410007</v>
      </c>
      <c r="K190" s="82"/>
      <c r="L190" s="84">
        <f t="shared" si="53"/>
        <v>10223527.506684983</v>
      </c>
      <c r="M190" s="84">
        <f t="shared" si="54"/>
        <v>923506.29770754615</v>
      </c>
      <c r="N190" s="84">
        <f t="shared" si="55"/>
        <v>9927.4655524100071</v>
      </c>
      <c r="O190" s="82"/>
      <c r="P190" s="84">
        <f t="shared" si="56"/>
        <v>10223526.472524559</v>
      </c>
      <c r="Q190" s="84">
        <f t="shared" si="57"/>
        <v>923506.13936035521</v>
      </c>
      <c r="R190" s="84">
        <f t="shared" si="58"/>
        <v>9927.4655524100071</v>
      </c>
      <c r="S190" s="82"/>
      <c r="T190" s="90">
        <f t="shared" si="59"/>
        <v>1.0462129876348105</v>
      </c>
      <c r="U190" s="82"/>
      <c r="V190" s="84">
        <f t="shared" si="60"/>
        <v>-5500.8533150162548</v>
      </c>
      <c r="W190" s="84">
        <f t="shared" si="61"/>
        <v>-842.27229245379567</v>
      </c>
      <c r="X190" s="84">
        <f t="shared" si="62"/>
        <v>10119.465552410007</v>
      </c>
      <c r="Y190" s="84"/>
      <c r="Z190" s="84">
        <f t="shared" si="63"/>
        <v>-5500.8533150170551</v>
      </c>
      <c r="AA190" s="84">
        <f t="shared" si="64"/>
        <v>-842.27229245375418</v>
      </c>
      <c r="AB190" s="84">
        <f t="shared" si="65"/>
        <v>10119.465552410007</v>
      </c>
      <c r="AC190" s="84">
        <f t="shared" si="70"/>
        <v>-5500.8643167456876</v>
      </c>
      <c r="AD190" s="84">
        <f t="shared" si="71"/>
        <v>-842.27397700170809</v>
      </c>
      <c r="AE190" s="84">
        <f t="shared" si="72"/>
        <v>10119.485791381589</v>
      </c>
      <c r="AF190" s="83"/>
      <c r="AG190" s="87">
        <f t="shared" si="66"/>
        <v>7.0030841961937297E-10</v>
      </c>
    </row>
    <row r="191" spans="1:33" x14ac:dyDescent="0.2">
      <c r="A191" s="89">
        <v>3351.1</v>
      </c>
      <c r="B191" s="89">
        <v>1.6</v>
      </c>
      <c r="C191" s="89">
        <v>301.8</v>
      </c>
      <c r="D191" s="88">
        <v>-5587.6200250343727</v>
      </c>
      <c r="E191" s="88">
        <v>-847.32215704332862</v>
      </c>
      <c r="F191" s="88">
        <v>10162.577671889852</v>
      </c>
      <c r="G191" s="82"/>
      <c r="H191" s="84">
        <f t="shared" si="67"/>
        <v>-5587.6088497943238</v>
      </c>
      <c r="I191" s="84">
        <f t="shared" si="68"/>
        <v>-847.32046239901467</v>
      </c>
      <c r="J191" s="84">
        <f t="shared" si="69"/>
        <v>10162.557346734509</v>
      </c>
      <c r="K191" s="82"/>
      <c r="L191" s="84">
        <f t="shared" si="53"/>
        <v>10223440.751150206</v>
      </c>
      <c r="M191" s="84">
        <f t="shared" si="54"/>
        <v>923501.2495376009</v>
      </c>
      <c r="N191" s="84">
        <f t="shared" si="55"/>
        <v>9970.5573467345093</v>
      </c>
      <c r="O191" s="82"/>
      <c r="P191" s="84">
        <f t="shared" si="56"/>
        <v>10223439.700679742</v>
      </c>
      <c r="Q191" s="84">
        <f t="shared" si="57"/>
        <v>923501.09024135396</v>
      </c>
      <c r="R191" s="84">
        <f t="shared" si="58"/>
        <v>9970.5573467345093</v>
      </c>
      <c r="S191" s="82"/>
      <c r="T191" s="90">
        <f t="shared" si="59"/>
        <v>1.0624798774014641</v>
      </c>
      <c r="U191" s="82"/>
      <c r="V191" s="84">
        <f t="shared" si="60"/>
        <v>-5587.6088497936726</v>
      </c>
      <c r="W191" s="84">
        <f t="shared" si="61"/>
        <v>-847.32046239904594</v>
      </c>
      <c r="X191" s="84">
        <f t="shared" si="62"/>
        <v>10162.557346734509</v>
      </c>
      <c r="Y191" s="82"/>
      <c r="Z191" s="84">
        <f t="shared" si="63"/>
        <v>-5587.6088497938426</v>
      </c>
      <c r="AA191" s="84">
        <f t="shared" si="64"/>
        <v>-847.3204623990589</v>
      </c>
      <c r="AB191" s="84">
        <f t="shared" si="65"/>
        <v>10162.557346734509</v>
      </c>
      <c r="AC191" s="84">
        <f t="shared" si="70"/>
        <v>-5587.6200250338916</v>
      </c>
      <c r="AD191" s="84">
        <f t="shared" si="71"/>
        <v>-847.32215704337284</v>
      </c>
      <c r="AE191" s="84">
        <f t="shared" si="72"/>
        <v>10162.577671889852</v>
      </c>
      <c r="AF191" s="82"/>
      <c r="AG191" s="87">
        <f t="shared" si="66"/>
        <v>4.8315093695754532E-10</v>
      </c>
    </row>
    <row r="192" spans="1:33" x14ac:dyDescent="0.2">
      <c r="A192" s="89">
        <v>3351.2</v>
      </c>
      <c r="B192" s="89">
        <v>1.6</v>
      </c>
      <c r="C192" s="89">
        <v>301.8</v>
      </c>
      <c r="D192" s="88">
        <v>-5672.6907260405287</v>
      </c>
      <c r="E192" s="88">
        <v>-851.90696067705551</v>
      </c>
      <c r="F192" s="88">
        <v>10204.610774091687</v>
      </c>
      <c r="G192" s="82"/>
      <c r="H192" s="84">
        <f t="shared" si="67"/>
        <v>-5672.6793806590767</v>
      </c>
      <c r="I192" s="84">
        <f t="shared" si="68"/>
        <v>-851.90525686313424</v>
      </c>
      <c r="J192" s="84">
        <f t="shared" si="69"/>
        <v>10204.590364870141</v>
      </c>
      <c r="K192" s="82"/>
      <c r="L192" s="84">
        <f t="shared" si="53"/>
        <v>10223355.68061934</v>
      </c>
      <c r="M192" s="84">
        <f t="shared" si="54"/>
        <v>923496.66474313685</v>
      </c>
      <c r="N192" s="84">
        <f t="shared" si="55"/>
        <v>10012.590364870141</v>
      </c>
      <c r="O192" s="82"/>
      <c r="P192" s="84">
        <f t="shared" si="56"/>
        <v>10223354.614155617</v>
      </c>
      <c r="Q192" s="84">
        <f t="shared" si="57"/>
        <v>923496.50458494853</v>
      </c>
      <c r="R192" s="84">
        <f t="shared" si="58"/>
        <v>10012.590364870141</v>
      </c>
      <c r="S192" s="82"/>
      <c r="T192" s="90">
        <f t="shared" si="59"/>
        <v>1.0784226997890769</v>
      </c>
      <c r="U192" s="82"/>
      <c r="V192" s="84">
        <f t="shared" si="60"/>
        <v>-5672.679380659014</v>
      </c>
      <c r="W192" s="84">
        <f t="shared" si="61"/>
        <v>-851.90525686310139</v>
      </c>
      <c r="X192" s="84">
        <f t="shared" si="62"/>
        <v>10204.590364870141</v>
      </c>
      <c r="Y192" s="84"/>
      <c r="Z192" s="84">
        <f t="shared" si="63"/>
        <v>-5672.6793806592286</v>
      </c>
      <c r="AA192" s="84">
        <f t="shared" si="64"/>
        <v>-851.90525686312617</v>
      </c>
      <c r="AB192" s="84">
        <f t="shared" si="65"/>
        <v>10204.590364870141</v>
      </c>
      <c r="AC192" s="84">
        <f t="shared" si="70"/>
        <v>-5672.6907260406797</v>
      </c>
      <c r="AD192" s="84">
        <f t="shared" si="71"/>
        <v>-851.90696067704744</v>
      </c>
      <c r="AE192" s="84">
        <f t="shared" si="72"/>
        <v>10204.610774091687</v>
      </c>
      <c r="AF192" s="83"/>
      <c r="AG192" s="87">
        <f t="shared" si="66"/>
        <v>1.5119174037442275E-10</v>
      </c>
    </row>
    <row r="193" spans="1:33" x14ac:dyDescent="0.2">
      <c r="A193" s="89">
        <v>3351.3</v>
      </c>
      <c r="B193" s="89">
        <v>1.6</v>
      </c>
      <c r="C193" s="89">
        <v>301.8</v>
      </c>
      <c r="D193" s="88">
        <v>-5758.7101373291807</v>
      </c>
      <c r="E193" s="88">
        <v>-854.90366175088138</v>
      </c>
      <c r="F193" s="88">
        <v>10247.124341617999</v>
      </c>
      <c r="G193" s="82"/>
      <c r="H193" s="84">
        <f t="shared" si="67"/>
        <v>-5758.6986199089069</v>
      </c>
      <c r="I193" s="84">
        <f t="shared" si="68"/>
        <v>-854.90195194355795</v>
      </c>
      <c r="J193" s="84">
        <f t="shared" si="69"/>
        <v>10247.103847369317</v>
      </c>
      <c r="K193" s="82"/>
      <c r="L193" s="84">
        <f t="shared" si="53"/>
        <v>10223269.66138009</v>
      </c>
      <c r="M193" s="84">
        <f t="shared" si="54"/>
        <v>923493.66804805642</v>
      </c>
      <c r="N193" s="84">
        <f t="shared" si="55"/>
        <v>10055.103847369317</v>
      </c>
      <c r="O193" s="82"/>
      <c r="P193" s="84">
        <f t="shared" si="56"/>
        <v>10223268.57874475</v>
      </c>
      <c r="Q193" s="84">
        <f t="shared" si="57"/>
        <v>923493.50732648943</v>
      </c>
      <c r="R193" s="84">
        <f t="shared" si="58"/>
        <v>10055.103847369317</v>
      </c>
      <c r="S193" s="82"/>
      <c r="T193" s="90">
        <f t="shared" si="59"/>
        <v>1.0945002056214284</v>
      </c>
      <c r="U193" s="82"/>
      <c r="V193" s="84">
        <f t="shared" si="60"/>
        <v>-5758.6986199095845</v>
      </c>
      <c r="W193" s="84">
        <f t="shared" si="61"/>
        <v>-854.90195194352418</v>
      </c>
      <c r="X193" s="84">
        <f t="shared" si="62"/>
        <v>10247.103847369317</v>
      </c>
      <c r="Y193" s="82"/>
      <c r="Z193" s="84">
        <f t="shared" si="63"/>
        <v>-5758.6986199083904</v>
      </c>
      <c r="AA193" s="84">
        <f t="shared" si="64"/>
        <v>-854.90195194355249</v>
      </c>
      <c r="AB193" s="84">
        <f t="shared" si="65"/>
        <v>10247.103847369317</v>
      </c>
      <c r="AC193" s="84">
        <f t="shared" si="70"/>
        <v>-5758.7101373286641</v>
      </c>
      <c r="AD193" s="84">
        <f t="shared" si="71"/>
        <v>-854.90366175087593</v>
      </c>
      <c r="AE193" s="84">
        <f t="shared" si="72"/>
        <v>10247.124341617999</v>
      </c>
      <c r="AF193" s="82"/>
      <c r="AG193" s="87">
        <f t="shared" si="66"/>
        <v>5.1662181181823896E-10</v>
      </c>
    </row>
    <row r="194" spans="1:33" x14ac:dyDescent="0.2">
      <c r="A194" s="89">
        <v>3351.4</v>
      </c>
      <c r="B194" s="89">
        <v>1.6</v>
      </c>
      <c r="C194" s="89">
        <v>301.8</v>
      </c>
      <c r="D194" s="88">
        <v>-5843.8352617838873</v>
      </c>
      <c r="E194" s="88">
        <v>-856.6942107584772</v>
      </c>
      <c r="F194" s="88">
        <v>10289.260809522582</v>
      </c>
      <c r="G194" s="82"/>
      <c r="H194" s="84">
        <f t="shared" si="67"/>
        <v>-5843.823574113364</v>
      </c>
      <c r="I194" s="84">
        <f t="shared" si="68"/>
        <v>-856.69249737005578</v>
      </c>
      <c r="J194" s="84">
        <f t="shared" si="69"/>
        <v>10289.240231000964</v>
      </c>
      <c r="K194" s="82"/>
      <c r="L194" s="84">
        <f t="shared" si="53"/>
        <v>10223184.536425887</v>
      </c>
      <c r="M194" s="84">
        <f t="shared" si="54"/>
        <v>923491.87750262988</v>
      </c>
      <c r="N194" s="84">
        <f t="shared" si="55"/>
        <v>10097.240231000964</v>
      </c>
      <c r="O194" s="82"/>
      <c r="P194" s="84">
        <f t="shared" si="56"/>
        <v>10223183.437787054</v>
      </c>
      <c r="Q194" s="84">
        <f t="shared" si="57"/>
        <v>923491.71644444042</v>
      </c>
      <c r="R194" s="84">
        <f t="shared" si="58"/>
        <v>10097.240231000964</v>
      </c>
      <c r="S194" s="82"/>
      <c r="T194" s="90">
        <f t="shared" si="59"/>
        <v>1.1103814771609808</v>
      </c>
      <c r="U194" s="82"/>
      <c r="V194" s="84">
        <f t="shared" si="60"/>
        <v>-5843.8235741127282</v>
      </c>
      <c r="W194" s="84">
        <f t="shared" si="61"/>
        <v>-856.69249737006612</v>
      </c>
      <c r="X194" s="84">
        <f t="shared" si="62"/>
        <v>10289.240231000964</v>
      </c>
      <c r="Y194" s="84"/>
      <c r="Z194" s="84">
        <f t="shared" si="63"/>
        <v>-5843.823574113364</v>
      </c>
      <c r="AA194" s="84">
        <f t="shared" si="64"/>
        <v>-856.69249737002428</v>
      </c>
      <c r="AB194" s="84">
        <f t="shared" si="65"/>
        <v>10289.240231000964</v>
      </c>
      <c r="AC194" s="84">
        <f t="shared" si="70"/>
        <v>-5843.8352617838864</v>
      </c>
      <c r="AD194" s="84">
        <f t="shared" si="71"/>
        <v>-856.69421075844571</v>
      </c>
      <c r="AE194" s="84">
        <f t="shared" si="72"/>
        <v>10289.260809522582</v>
      </c>
      <c r="AF194" s="83"/>
      <c r="AG194" s="87">
        <f t="shared" si="66"/>
        <v>3.150438480885058E-11</v>
      </c>
    </row>
    <row r="195" spans="1:33" x14ac:dyDescent="0.2">
      <c r="A195" s="89">
        <v>3351.5</v>
      </c>
      <c r="B195" s="89">
        <v>1.6</v>
      </c>
      <c r="C195" s="89">
        <v>301.8</v>
      </c>
      <c r="D195" s="88">
        <v>-5929.8395903518749</v>
      </c>
      <c r="E195" s="88">
        <v>-858.00030039464264</v>
      </c>
      <c r="F195" s="88">
        <v>10331.893327022004</v>
      </c>
      <c r="G195" s="82"/>
      <c r="H195" s="84">
        <f t="shared" si="67"/>
        <v>-5929.827730672695</v>
      </c>
      <c r="I195" s="84">
        <f t="shared" si="68"/>
        <v>-857.99858439404193</v>
      </c>
      <c r="J195" s="84">
        <f t="shared" si="69"/>
        <v>10331.872663235352</v>
      </c>
      <c r="K195" s="82"/>
      <c r="L195" s="84">
        <f t="shared" si="53"/>
        <v>10223098.532269327</v>
      </c>
      <c r="M195" s="84">
        <f t="shared" si="54"/>
        <v>923490.57141560595</v>
      </c>
      <c r="N195" s="84">
        <f t="shared" si="55"/>
        <v>10139.872663235352</v>
      </c>
      <c r="O195" s="82"/>
      <c r="P195" s="84">
        <f t="shared" si="56"/>
        <v>10223097.417461714</v>
      </c>
      <c r="Q195" s="84">
        <f t="shared" si="57"/>
        <v>923490.41011187201</v>
      </c>
      <c r="R195" s="84">
        <f t="shared" si="58"/>
        <v>10139.872663235352</v>
      </c>
      <c r="S195" s="82"/>
      <c r="T195" s="90">
        <f t="shared" si="59"/>
        <v>1.1264168451415493</v>
      </c>
      <c r="U195" s="82"/>
      <c r="V195" s="84">
        <f t="shared" si="60"/>
        <v>-5929.827730672434</v>
      </c>
      <c r="W195" s="84">
        <f t="shared" si="61"/>
        <v>-857.99858439399395</v>
      </c>
      <c r="X195" s="84">
        <f t="shared" si="62"/>
        <v>10331.872663235352</v>
      </c>
      <c r="Y195" s="82"/>
      <c r="Z195" s="84">
        <f t="shared" si="63"/>
        <v>-5929.8277306722612</v>
      </c>
      <c r="AA195" s="84">
        <f t="shared" si="64"/>
        <v>-857.99858439406898</v>
      </c>
      <c r="AB195" s="84">
        <f t="shared" si="65"/>
        <v>10331.872663235352</v>
      </c>
      <c r="AC195" s="84">
        <f t="shared" si="70"/>
        <v>-5929.8395903514411</v>
      </c>
      <c r="AD195" s="84">
        <f t="shared" si="71"/>
        <v>-858.00030039466969</v>
      </c>
      <c r="AE195" s="84">
        <f t="shared" si="72"/>
        <v>10331.893327022004</v>
      </c>
      <c r="AF195" s="82"/>
      <c r="AG195" s="87">
        <f t="shared" si="66"/>
        <v>4.3467192701447322E-10</v>
      </c>
    </row>
    <row r="196" spans="1:33" x14ac:dyDescent="0.2">
      <c r="A196" s="89">
        <v>3351.6</v>
      </c>
      <c r="B196" s="89">
        <v>1.6</v>
      </c>
      <c r="C196" s="89">
        <v>301.8</v>
      </c>
      <c r="D196" s="88">
        <v>-6015.5658295233097</v>
      </c>
      <c r="E196" s="88">
        <v>-856.98135692255971</v>
      </c>
      <c r="F196" s="88">
        <v>10375.072041089627</v>
      </c>
      <c r="G196" s="82"/>
      <c r="H196" s="84">
        <f t="shared" si="67"/>
        <v>-6015.5537983916511</v>
      </c>
      <c r="I196" s="84">
        <f t="shared" si="68"/>
        <v>-856.97964295984593</v>
      </c>
      <c r="J196" s="84">
        <f t="shared" si="69"/>
        <v>10375.051290945545</v>
      </c>
      <c r="K196" s="82"/>
      <c r="L196" s="84">
        <f t="shared" si="53"/>
        <v>10223012.806201607</v>
      </c>
      <c r="M196" s="84">
        <f t="shared" si="54"/>
        <v>923491.59035704006</v>
      </c>
      <c r="N196" s="84">
        <f t="shared" si="55"/>
        <v>10183.051290945545</v>
      </c>
      <c r="O196" s="82"/>
      <c r="P196" s="84">
        <f t="shared" si="56"/>
        <v>10223011.675277494</v>
      </c>
      <c r="Q196" s="84">
        <f t="shared" si="57"/>
        <v>923491.42924486718</v>
      </c>
      <c r="R196" s="84">
        <f t="shared" si="58"/>
        <v>10183.051290945545</v>
      </c>
      <c r="S196" s="82"/>
      <c r="T196" s="90">
        <f t="shared" si="59"/>
        <v>1.1423425413722705</v>
      </c>
      <c r="U196" s="82"/>
      <c r="V196" s="84">
        <f t="shared" si="60"/>
        <v>-6015.553798392415</v>
      </c>
      <c r="W196" s="84">
        <f t="shared" si="61"/>
        <v>-856.97964295989368</v>
      </c>
      <c r="X196" s="84">
        <f t="shared" si="62"/>
        <v>10375.051290945545</v>
      </c>
      <c r="Y196" s="84"/>
      <c r="Z196" s="84">
        <f t="shared" si="63"/>
        <v>-6015.5537983914119</v>
      </c>
      <c r="AA196" s="84">
        <f t="shared" si="64"/>
        <v>-856.9796429598955</v>
      </c>
      <c r="AB196" s="84">
        <f t="shared" si="65"/>
        <v>10375.051290945545</v>
      </c>
      <c r="AC196" s="84">
        <f t="shared" si="70"/>
        <v>-6015.5658295230705</v>
      </c>
      <c r="AD196" s="84">
        <f t="shared" si="71"/>
        <v>-856.98135692260928</v>
      </c>
      <c r="AE196" s="84">
        <f t="shared" si="72"/>
        <v>10375.072041089627</v>
      </c>
      <c r="AF196" s="83"/>
      <c r="AG196" s="87">
        <f t="shared" si="66"/>
        <v>2.4427891641342278E-10</v>
      </c>
    </row>
    <row r="197" spans="1:33" x14ac:dyDescent="0.2">
      <c r="A197" s="89">
        <v>3351.7</v>
      </c>
      <c r="B197" s="89">
        <v>1.6</v>
      </c>
      <c r="C197" s="89">
        <v>301.8</v>
      </c>
      <c r="D197" s="88">
        <v>-6100.5809479190202</v>
      </c>
      <c r="E197" s="88">
        <v>-851.87853481067043</v>
      </c>
      <c r="F197" s="88">
        <v>10419.353946917774</v>
      </c>
      <c r="G197" s="82"/>
      <c r="H197" s="84">
        <f t="shared" si="67"/>
        <v>-6100.5687467571252</v>
      </c>
      <c r="I197" s="84">
        <f t="shared" si="68"/>
        <v>-851.87683105360088</v>
      </c>
      <c r="J197" s="84">
        <f t="shared" si="69"/>
        <v>10419.333108209881</v>
      </c>
      <c r="K197" s="82"/>
      <c r="L197" s="84">
        <f t="shared" si="53"/>
        <v>10222927.791253243</v>
      </c>
      <c r="M197" s="84">
        <f t="shared" si="54"/>
        <v>923496.69316894631</v>
      </c>
      <c r="N197" s="84">
        <f t="shared" si="55"/>
        <v>10227.333108209881</v>
      </c>
      <c r="O197" s="82"/>
      <c r="P197" s="84">
        <f t="shared" si="56"/>
        <v>10222926.644346317</v>
      </c>
      <c r="Q197" s="84">
        <f t="shared" si="57"/>
        <v>923496.53301610216</v>
      </c>
      <c r="R197" s="84">
        <f t="shared" si="58"/>
        <v>10227.333108209881</v>
      </c>
      <c r="S197" s="82"/>
      <c r="T197" s="90">
        <f t="shared" si="59"/>
        <v>1.158034727001465</v>
      </c>
      <c r="U197" s="82"/>
      <c r="V197" s="84">
        <f t="shared" si="60"/>
        <v>-6100.5687467567623</v>
      </c>
      <c r="W197" s="84">
        <f t="shared" si="61"/>
        <v>-851.87683105363976</v>
      </c>
      <c r="X197" s="84">
        <f t="shared" si="62"/>
        <v>10419.333108209881</v>
      </c>
      <c r="Y197" s="82"/>
      <c r="Z197" s="84">
        <f t="shared" si="63"/>
        <v>-6100.5687467577363</v>
      </c>
      <c r="AA197" s="84">
        <f t="shared" si="64"/>
        <v>-851.87683105355495</v>
      </c>
      <c r="AB197" s="84">
        <f t="shared" si="65"/>
        <v>10419.333108209881</v>
      </c>
      <c r="AC197" s="84">
        <f t="shared" si="70"/>
        <v>-6100.5809479196314</v>
      </c>
      <c r="AD197" s="84">
        <f t="shared" si="71"/>
        <v>-851.8785348106245</v>
      </c>
      <c r="AE197" s="84">
        <f t="shared" si="72"/>
        <v>10419.353946917774</v>
      </c>
      <c r="AF197" s="82"/>
      <c r="AG197" s="87">
        <f t="shared" si="66"/>
        <v>6.1290378290259374E-10</v>
      </c>
    </row>
    <row r="198" spans="1:33" x14ac:dyDescent="0.2">
      <c r="A198" s="89">
        <v>3351.8</v>
      </c>
      <c r="B198" s="89">
        <v>1.6</v>
      </c>
      <c r="C198" s="89">
        <v>301.8</v>
      </c>
      <c r="D198" s="88">
        <v>-6183.8739836325585</v>
      </c>
      <c r="E198" s="88">
        <v>-843.56897629221658</v>
      </c>
      <c r="F198" s="88">
        <v>10464.270863568459</v>
      </c>
      <c r="G198" s="82"/>
      <c r="H198" s="84">
        <f t="shared" si="67"/>
        <v>-6183.8616158845916</v>
      </c>
      <c r="I198" s="84">
        <f t="shared" si="68"/>
        <v>-843.56728915426413</v>
      </c>
      <c r="J198" s="84">
        <f t="shared" si="69"/>
        <v>10464.249935026734</v>
      </c>
      <c r="K198" s="82"/>
      <c r="L198" s="84">
        <f t="shared" si="53"/>
        <v>10222844.498384114</v>
      </c>
      <c r="M198" s="84">
        <f t="shared" si="54"/>
        <v>923505.00271084567</v>
      </c>
      <c r="N198" s="84">
        <f t="shared" si="55"/>
        <v>10272.249935026734</v>
      </c>
      <c r="O198" s="82"/>
      <c r="P198" s="84">
        <f t="shared" si="56"/>
        <v>10222843.335818131</v>
      </c>
      <c r="Q198" s="84">
        <f t="shared" si="57"/>
        <v>923504.84412019537</v>
      </c>
      <c r="R198" s="84">
        <f t="shared" si="58"/>
        <v>10272.249935026734</v>
      </c>
      <c r="S198" s="82"/>
      <c r="T198" s="90">
        <f t="shared" si="59"/>
        <v>1.173333141578434</v>
      </c>
      <c r="U198" s="82"/>
      <c r="V198" s="84">
        <f t="shared" si="60"/>
        <v>-6183.8616158850491</v>
      </c>
      <c r="W198" s="84">
        <f t="shared" si="61"/>
        <v>-843.56728915427811</v>
      </c>
      <c r="X198" s="84">
        <f t="shared" si="62"/>
        <v>10464.249935026734</v>
      </c>
      <c r="Y198" s="84"/>
      <c r="Z198" s="84">
        <f t="shared" si="63"/>
        <v>-6183.8616158850937</v>
      </c>
      <c r="AA198" s="84">
        <f t="shared" si="64"/>
        <v>-843.56728915421945</v>
      </c>
      <c r="AB198" s="84">
        <f t="shared" si="65"/>
        <v>10464.249935026734</v>
      </c>
      <c r="AC198" s="84">
        <f t="shared" si="70"/>
        <v>-6183.8739836330606</v>
      </c>
      <c r="AD198" s="84">
        <f t="shared" si="71"/>
        <v>-843.5689762921719</v>
      </c>
      <c r="AE198" s="84">
        <f t="shared" si="72"/>
        <v>10464.270863568459</v>
      </c>
      <c r="AF198" s="83"/>
      <c r="AG198" s="87">
        <f t="shared" si="66"/>
        <v>5.0402524530552875E-10</v>
      </c>
    </row>
    <row r="199" spans="1:33" x14ac:dyDescent="0.2">
      <c r="A199" s="89">
        <v>3351.9</v>
      </c>
      <c r="B199" s="89">
        <v>1.6</v>
      </c>
      <c r="C199" s="89">
        <v>301.8</v>
      </c>
      <c r="D199" s="88">
        <v>-6267.232364379086</v>
      </c>
      <c r="E199" s="88">
        <v>-832.879224543433</v>
      </c>
      <c r="F199" s="88">
        <v>10510.667453063621</v>
      </c>
      <c r="G199" s="82"/>
      <c r="H199" s="84">
        <f t="shared" si="67"/>
        <v>-6267.2198299143574</v>
      </c>
      <c r="I199" s="84">
        <f t="shared" si="68"/>
        <v>-832.87755878498399</v>
      </c>
      <c r="J199" s="84">
        <f t="shared" si="69"/>
        <v>10510.646431728715</v>
      </c>
      <c r="K199" s="82"/>
      <c r="L199" s="84">
        <f t="shared" si="53"/>
        <v>10222761.140170084</v>
      </c>
      <c r="M199" s="84">
        <f t="shared" si="54"/>
        <v>923515.69244121492</v>
      </c>
      <c r="N199" s="84">
        <f t="shared" si="55"/>
        <v>10318.646431728715</v>
      </c>
      <c r="O199" s="82"/>
      <c r="P199" s="84">
        <f t="shared" si="56"/>
        <v>10222759.961932758</v>
      </c>
      <c r="Q199" s="84">
        <f t="shared" si="57"/>
        <v>923515.53586023394</v>
      </c>
      <c r="R199" s="84">
        <f t="shared" si="58"/>
        <v>10318.646431728715</v>
      </c>
      <c r="S199" s="82"/>
      <c r="T199" s="90">
        <f t="shared" si="59"/>
        <v>1.1885961471541895</v>
      </c>
      <c r="U199" s="82"/>
      <c r="V199" s="84">
        <f t="shared" si="60"/>
        <v>-6267.2198299150914</v>
      </c>
      <c r="W199" s="84">
        <f t="shared" si="61"/>
        <v>-832.87755878502503</v>
      </c>
      <c r="X199" s="84">
        <f t="shared" si="62"/>
        <v>10510.646431728715</v>
      </c>
      <c r="Y199" s="82"/>
      <c r="Z199" s="84">
        <f t="shared" si="63"/>
        <v>-6267.2198299135107</v>
      </c>
      <c r="AA199" s="84">
        <f t="shared" si="64"/>
        <v>-832.87755878495693</v>
      </c>
      <c r="AB199" s="84">
        <f t="shared" si="65"/>
        <v>10510.646431728715</v>
      </c>
      <c r="AC199" s="84">
        <f t="shared" si="70"/>
        <v>-6267.2323643782393</v>
      </c>
      <c r="AD199" s="84">
        <f t="shared" si="71"/>
        <v>-832.87922454340594</v>
      </c>
      <c r="AE199" s="84">
        <f t="shared" si="72"/>
        <v>10510.667453063621</v>
      </c>
      <c r="AF199" s="82"/>
      <c r="AG199" s="87">
        <f t="shared" si="66"/>
        <v>8.471717662068139E-10</v>
      </c>
    </row>
    <row r="200" spans="1:33" x14ac:dyDescent="0.2">
      <c r="A200" s="89">
        <v>3352</v>
      </c>
      <c r="B200" s="89">
        <v>1.6</v>
      </c>
      <c r="C200" s="89">
        <v>301.8</v>
      </c>
      <c r="D200" s="88">
        <v>-6349.734895705943</v>
      </c>
      <c r="E200" s="88">
        <v>-819.9119493692516</v>
      </c>
      <c r="F200" s="88">
        <v>10558.001345692788</v>
      </c>
      <c r="G200" s="82"/>
      <c r="H200" s="84">
        <f t="shared" si="67"/>
        <v>-6349.7221962361527</v>
      </c>
      <c r="I200" s="84">
        <f t="shared" si="68"/>
        <v>-819.9103095453529</v>
      </c>
      <c r="J200" s="84">
        <f t="shared" si="69"/>
        <v>10557.980229690098</v>
      </c>
      <c r="K200" s="82"/>
      <c r="L200" s="84">
        <f t="shared" si="53"/>
        <v>10222678.637803763</v>
      </c>
      <c r="M200" s="84">
        <f t="shared" si="54"/>
        <v>923528.6596904546</v>
      </c>
      <c r="N200" s="84">
        <f t="shared" si="55"/>
        <v>10365.980229690098</v>
      </c>
      <c r="O200" s="82"/>
      <c r="P200" s="84">
        <f t="shared" si="56"/>
        <v>10222677.444055991</v>
      </c>
      <c r="Q200" s="84">
        <f t="shared" si="57"/>
        <v>923528.5055473164</v>
      </c>
      <c r="R200" s="84">
        <f t="shared" si="58"/>
        <v>10365.980229690098</v>
      </c>
      <c r="S200" s="82"/>
      <c r="T200" s="90">
        <f t="shared" si="59"/>
        <v>1.2036585271502993</v>
      </c>
      <c r="U200" s="82"/>
      <c r="V200" s="84">
        <f t="shared" si="60"/>
        <v>-6349.7221962362528</v>
      </c>
      <c r="W200" s="84">
        <f t="shared" si="61"/>
        <v>-819.91030954534654</v>
      </c>
      <c r="X200" s="84">
        <f t="shared" si="62"/>
        <v>10557.980229690098</v>
      </c>
      <c r="Y200" s="84"/>
      <c r="Z200" s="84">
        <f t="shared" si="63"/>
        <v>-6349.7221962352642</v>
      </c>
      <c r="AA200" s="84">
        <f t="shared" si="64"/>
        <v>-819.91030954535847</v>
      </c>
      <c r="AB200" s="84">
        <f t="shared" si="65"/>
        <v>10557.980229690098</v>
      </c>
      <c r="AC200" s="84">
        <f t="shared" si="70"/>
        <v>-6349.7348957050544</v>
      </c>
      <c r="AD200" s="84">
        <f t="shared" si="71"/>
        <v>-819.91194936925706</v>
      </c>
      <c r="AE200" s="84">
        <f t="shared" si="72"/>
        <v>10558.001345692788</v>
      </c>
      <c r="AF200" s="83"/>
      <c r="AG200" s="87">
        <f t="shared" si="66"/>
        <v>8.8859307977368411E-10</v>
      </c>
    </row>
    <row r="201" spans="1:33" x14ac:dyDescent="0.2">
      <c r="A201" s="89">
        <v>3352.1</v>
      </c>
      <c r="B201" s="89">
        <v>1.6</v>
      </c>
      <c r="C201" s="89">
        <v>301.8</v>
      </c>
      <c r="D201" s="88">
        <v>-6432.2476557205046</v>
      </c>
      <c r="E201" s="88">
        <v>-803.77728412486249</v>
      </c>
      <c r="F201" s="88">
        <v>10606.36733896857</v>
      </c>
      <c r="G201" s="82"/>
      <c r="H201" s="84">
        <f t="shared" si="67"/>
        <v>-6432.2347912251935</v>
      </c>
      <c r="I201" s="84">
        <f t="shared" si="68"/>
        <v>-803.77567657029431</v>
      </c>
      <c r="J201" s="84">
        <f t="shared" si="69"/>
        <v>10606.346126233893</v>
      </c>
      <c r="K201" s="82"/>
      <c r="L201" s="84">
        <f t="shared" si="53"/>
        <v>10222596.125208775</v>
      </c>
      <c r="M201" s="84">
        <f t="shared" si="54"/>
        <v>923544.7943234297</v>
      </c>
      <c r="N201" s="84">
        <f t="shared" si="55"/>
        <v>10414.346126233893</v>
      </c>
      <c r="O201" s="82"/>
      <c r="P201" s="84">
        <f t="shared" si="56"/>
        <v>10222594.915948633</v>
      </c>
      <c r="Q201" s="84">
        <f t="shared" si="57"/>
        <v>923544.64321360248</v>
      </c>
      <c r="R201" s="84">
        <f t="shared" si="58"/>
        <v>10414.346126233893</v>
      </c>
      <c r="S201" s="82"/>
      <c r="T201" s="90">
        <f t="shared" si="59"/>
        <v>1.2186649538106904</v>
      </c>
      <c r="U201" s="82"/>
      <c r="V201" s="84">
        <f t="shared" si="60"/>
        <v>-6432.2347912248224</v>
      </c>
      <c r="W201" s="84">
        <f t="shared" si="61"/>
        <v>-803.77567657025065</v>
      </c>
      <c r="X201" s="84">
        <f t="shared" si="62"/>
        <v>10606.346126233893</v>
      </c>
      <c r="Y201" s="82"/>
      <c r="Z201" s="84">
        <f t="shared" si="63"/>
        <v>-6432.2347912255482</v>
      </c>
      <c r="AA201" s="84">
        <f t="shared" si="64"/>
        <v>-803.77567657027214</v>
      </c>
      <c r="AB201" s="84">
        <f t="shared" si="65"/>
        <v>10606.346126233893</v>
      </c>
      <c r="AC201" s="84">
        <f t="shared" si="70"/>
        <v>-6432.2476557208583</v>
      </c>
      <c r="AD201" s="84">
        <f t="shared" si="71"/>
        <v>-803.77728412484032</v>
      </c>
      <c r="AE201" s="84">
        <f t="shared" si="72"/>
        <v>10606.36733896857</v>
      </c>
      <c r="AF201" s="82"/>
      <c r="AG201" s="87">
        <f t="shared" si="66"/>
        <v>3.5448731864238365E-10</v>
      </c>
    </row>
    <row r="202" spans="1:33" x14ac:dyDescent="0.2">
      <c r="A202" s="89">
        <v>3352.2</v>
      </c>
      <c r="B202" s="89">
        <v>1.6</v>
      </c>
      <c r="C202" s="89">
        <v>301.8</v>
      </c>
      <c r="D202" s="88">
        <v>-6512.9623252256761</v>
      </c>
      <c r="E202" s="88">
        <v>-784.14783662323043</v>
      </c>
      <c r="F202" s="88">
        <v>10654.476026642918</v>
      </c>
      <c r="G202" s="82"/>
      <c r="H202" s="84">
        <f t="shared" si="67"/>
        <v>-6512.9492993010263</v>
      </c>
      <c r="I202" s="84">
        <f t="shared" si="68"/>
        <v>-784.14626832755732</v>
      </c>
      <c r="J202" s="84">
        <f t="shared" si="69"/>
        <v>10654.454717690865</v>
      </c>
      <c r="K202" s="82"/>
      <c r="L202" s="84">
        <f t="shared" si="53"/>
        <v>10222515.410700697</v>
      </c>
      <c r="M202" s="84">
        <f t="shared" si="54"/>
        <v>923564.42373167234</v>
      </c>
      <c r="N202" s="84">
        <f t="shared" si="55"/>
        <v>10462.454717690865</v>
      </c>
      <c r="O202" s="82"/>
      <c r="P202" s="84">
        <f t="shared" si="56"/>
        <v>10222514.18626623</v>
      </c>
      <c r="Q202" s="84">
        <f t="shared" si="57"/>
        <v>923564.27631217393</v>
      </c>
      <c r="R202" s="84">
        <f t="shared" si="58"/>
        <v>10462.454717690865</v>
      </c>
      <c r="S202" s="82"/>
      <c r="T202" s="90">
        <f t="shared" si="59"/>
        <v>1.2332770461543663</v>
      </c>
      <c r="U202" s="82"/>
      <c r="V202" s="84">
        <f t="shared" si="60"/>
        <v>-6512.9492993019521</v>
      </c>
      <c r="W202" s="84">
        <f t="shared" si="61"/>
        <v>-784.14626832760405</v>
      </c>
      <c r="X202" s="84">
        <f t="shared" si="62"/>
        <v>10654.454717690865</v>
      </c>
      <c r="Y202" s="84"/>
      <c r="Z202" s="84">
        <f t="shared" si="63"/>
        <v>-6512.9492993007152</v>
      </c>
      <c r="AA202" s="84">
        <f t="shared" si="64"/>
        <v>-784.14626832757688</v>
      </c>
      <c r="AB202" s="84">
        <f t="shared" si="65"/>
        <v>10654.454717690865</v>
      </c>
      <c r="AC202" s="84">
        <f t="shared" si="70"/>
        <v>-6512.962325225365</v>
      </c>
      <c r="AD202" s="84">
        <f t="shared" si="71"/>
        <v>-784.1478366232501</v>
      </c>
      <c r="AE202" s="84">
        <f t="shared" si="72"/>
        <v>10654.476026642918</v>
      </c>
      <c r="AF202" s="83"/>
      <c r="AG202" s="87">
        <f t="shared" si="66"/>
        <v>3.1166837572216804E-10</v>
      </c>
    </row>
    <row r="203" spans="1:33" x14ac:dyDescent="0.2">
      <c r="A203" s="89">
        <v>3352.3</v>
      </c>
      <c r="B203" s="89">
        <v>1.6</v>
      </c>
      <c r="C203" s="89">
        <v>301.8</v>
      </c>
      <c r="D203" s="88">
        <v>-6591.4602533276129</v>
      </c>
      <c r="E203" s="88">
        <v>-760.69254180537928</v>
      </c>
      <c r="F203" s="88">
        <v>10702.550900655751</v>
      </c>
      <c r="G203" s="82"/>
      <c r="H203" s="84">
        <f t="shared" si="67"/>
        <v>-6591.4470704071073</v>
      </c>
      <c r="I203" s="84">
        <f t="shared" si="68"/>
        <v>-760.69102042029579</v>
      </c>
      <c r="J203" s="84">
        <f t="shared" si="69"/>
        <v>10702.52949555395</v>
      </c>
      <c r="K203" s="82"/>
      <c r="L203" s="84">
        <f t="shared" si="53"/>
        <v>10222436.912929593</v>
      </c>
      <c r="M203" s="84">
        <f t="shared" si="54"/>
        <v>923587.87897957966</v>
      </c>
      <c r="N203" s="84">
        <f t="shared" si="55"/>
        <v>10510.52949555395</v>
      </c>
      <c r="O203" s="82"/>
      <c r="P203" s="84">
        <f t="shared" si="56"/>
        <v>10222435.673737543</v>
      </c>
      <c r="Q203" s="84">
        <f t="shared" si="57"/>
        <v>923587.73596966779</v>
      </c>
      <c r="R203" s="84">
        <f t="shared" si="58"/>
        <v>10510.52949555395</v>
      </c>
      <c r="S203" s="82"/>
      <c r="T203" s="90">
        <f t="shared" si="59"/>
        <v>1.2474168395344878</v>
      </c>
      <c r="U203" s="82"/>
      <c r="V203" s="84">
        <f t="shared" si="60"/>
        <v>-6591.4470704067498</v>
      </c>
      <c r="W203" s="84">
        <f t="shared" si="61"/>
        <v>-760.6910204202868</v>
      </c>
      <c r="X203" s="84">
        <f t="shared" si="62"/>
        <v>10702.52949555395</v>
      </c>
      <c r="Y203" s="82"/>
      <c r="Z203" s="84">
        <f t="shared" si="63"/>
        <v>-6591.4470704074629</v>
      </c>
      <c r="AA203" s="84">
        <f t="shared" si="64"/>
        <v>-760.69102042032114</v>
      </c>
      <c r="AB203" s="84">
        <f t="shared" si="65"/>
        <v>10702.52949555395</v>
      </c>
      <c r="AC203" s="84">
        <f t="shared" si="70"/>
        <v>-6591.4602533279694</v>
      </c>
      <c r="AD203" s="84">
        <f t="shared" si="71"/>
        <v>-760.69254180540463</v>
      </c>
      <c r="AE203" s="84">
        <f t="shared" si="72"/>
        <v>10702.550900655751</v>
      </c>
      <c r="AF203" s="82"/>
      <c r="AG203" s="87">
        <f t="shared" si="66"/>
        <v>3.5742217881379326E-10</v>
      </c>
    </row>
    <row r="204" spans="1:33" x14ac:dyDescent="0.2">
      <c r="A204" s="89">
        <v>3352.4</v>
      </c>
      <c r="B204" s="89">
        <v>1.6</v>
      </c>
      <c r="C204" s="89">
        <v>301.8</v>
      </c>
      <c r="D204" s="88">
        <v>-6667.1945760721001</v>
      </c>
      <c r="E204" s="88">
        <v>-733.4977917685552</v>
      </c>
      <c r="F204" s="88">
        <v>10751.120186961492</v>
      </c>
      <c r="G204" s="82"/>
      <c r="H204" s="84">
        <f t="shared" si="67"/>
        <v>-6667.1812416829489</v>
      </c>
      <c r="I204" s="84">
        <f t="shared" si="68"/>
        <v>-733.49632477297166</v>
      </c>
      <c r="J204" s="84">
        <f t="shared" si="69"/>
        <v>10751.098684721121</v>
      </c>
      <c r="K204" s="82"/>
      <c r="L204" s="84">
        <f t="shared" si="53"/>
        <v>10222361.178758316</v>
      </c>
      <c r="M204" s="84">
        <f t="shared" si="54"/>
        <v>923615.073675227</v>
      </c>
      <c r="N204" s="84">
        <f t="shared" si="55"/>
        <v>10559.098684721121</v>
      </c>
      <c r="O204" s="82"/>
      <c r="P204" s="84">
        <f t="shared" si="56"/>
        <v>10222359.925328244</v>
      </c>
      <c r="Q204" s="84">
        <f t="shared" si="57"/>
        <v>923614.93577791797</v>
      </c>
      <c r="R204" s="84">
        <f t="shared" si="58"/>
        <v>10559.098684721121</v>
      </c>
      <c r="S204" s="82"/>
      <c r="T204" s="90">
        <f t="shared" si="59"/>
        <v>1.2609927096455444</v>
      </c>
      <c r="U204" s="82"/>
      <c r="V204" s="84">
        <f t="shared" si="60"/>
        <v>-6667.1812416836619</v>
      </c>
      <c r="W204" s="84">
        <f t="shared" si="61"/>
        <v>-733.49632477294654</v>
      </c>
      <c r="X204" s="84">
        <f t="shared" si="62"/>
        <v>10751.098684721121</v>
      </c>
      <c r="Y204" s="84"/>
      <c r="Z204" s="84">
        <f t="shared" si="63"/>
        <v>-6667.1812416824432</v>
      </c>
      <c r="AA204" s="84">
        <f t="shared" si="64"/>
        <v>-733.49632477292141</v>
      </c>
      <c r="AB204" s="84">
        <f t="shared" si="65"/>
        <v>10751.098684721121</v>
      </c>
      <c r="AC204" s="84">
        <f t="shared" si="70"/>
        <v>-6667.1945760715953</v>
      </c>
      <c r="AD204" s="84">
        <f t="shared" si="71"/>
        <v>-733.49779176850495</v>
      </c>
      <c r="AE204" s="84">
        <f t="shared" si="72"/>
        <v>10751.120186961492</v>
      </c>
      <c r="AF204" s="83"/>
      <c r="AG204" s="87">
        <f t="shared" si="66"/>
        <v>5.0726455494175107E-10</v>
      </c>
    </row>
    <row r="205" spans="1:33" x14ac:dyDescent="0.2">
      <c r="A205" s="89">
        <v>3352.49999999999</v>
      </c>
      <c r="B205" s="89">
        <v>1.6</v>
      </c>
      <c r="C205" s="89">
        <v>301.8</v>
      </c>
      <c r="D205" s="88">
        <v>-6742.4068105728775</v>
      </c>
      <c r="E205" s="88">
        <v>-702.11219812318177</v>
      </c>
      <c r="F205" s="88">
        <v>10801.842510739507</v>
      </c>
      <c r="G205" s="82"/>
      <c r="H205" s="84">
        <f t="shared" si="67"/>
        <v>-6742.3933257592562</v>
      </c>
      <c r="I205" s="84">
        <f t="shared" si="68"/>
        <v>-702.11079389878557</v>
      </c>
      <c r="J205" s="84">
        <f t="shared" si="69"/>
        <v>10801.820907054487</v>
      </c>
      <c r="K205" s="82"/>
      <c r="L205" s="84">
        <f t="shared" si="53"/>
        <v>10222285.96667424</v>
      </c>
      <c r="M205" s="84">
        <f t="shared" si="54"/>
        <v>923646.45920610114</v>
      </c>
      <c r="N205" s="84">
        <f t="shared" si="55"/>
        <v>10609.820907054487</v>
      </c>
      <c r="O205" s="82"/>
      <c r="P205" s="84">
        <f t="shared" si="56"/>
        <v>10222284.699104294</v>
      </c>
      <c r="Q205" s="84">
        <f t="shared" si="57"/>
        <v>923646.32720927196</v>
      </c>
      <c r="R205" s="84">
        <f t="shared" si="58"/>
        <v>10609.820907054487</v>
      </c>
      <c r="S205" s="82"/>
      <c r="T205" s="90">
        <f t="shared" si="59"/>
        <v>1.274424078253803</v>
      </c>
      <c r="U205" s="82"/>
      <c r="V205" s="84">
        <f t="shared" si="60"/>
        <v>-6742.3933257590979</v>
      </c>
      <c r="W205" s="84">
        <f t="shared" si="61"/>
        <v>-702.11079389881343</v>
      </c>
      <c r="X205" s="84">
        <f t="shared" si="62"/>
        <v>10801.820907054487</v>
      </c>
      <c r="Y205" s="82"/>
      <c r="Z205" s="84">
        <f t="shared" si="63"/>
        <v>-6742.3933257599792</v>
      </c>
      <c r="AA205" s="84">
        <f t="shared" si="64"/>
        <v>-702.11079389873953</v>
      </c>
      <c r="AB205" s="84">
        <f t="shared" si="65"/>
        <v>10801.820907054487</v>
      </c>
      <c r="AC205" s="84">
        <f t="shared" si="70"/>
        <v>-6742.4068105735987</v>
      </c>
      <c r="AD205" s="84">
        <f t="shared" si="71"/>
        <v>-702.11219812313561</v>
      </c>
      <c r="AE205" s="84">
        <f t="shared" si="72"/>
        <v>10801.842510739507</v>
      </c>
      <c r="AF205" s="82"/>
      <c r="AG205" s="87">
        <f t="shared" si="66"/>
        <v>7.2270475049620193E-10</v>
      </c>
    </row>
    <row r="206" spans="1:33" x14ac:dyDescent="0.2">
      <c r="A206" s="89">
        <v>3352.5999999999899</v>
      </c>
      <c r="B206" s="89">
        <v>1.6</v>
      </c>
      <c r="C206" s="89">
        <v>301.8</v>
      </c>
      <c r="D206" s="88">
        <v>-6815.8711017661062</v>
      </c>
      <c r="E206" s="88">
        <v>-667.35315805966502</v>
      </c>
      <c r="F206" s="88">
        <v>10852.927101514491</v>
      </c>
      <c r="G206" s="82"/>
      <c r="H206" s="84">
        <f t="shared" si="67"/>
        <v>-6815.8574700239033</v>
      </c>
      <c r="I206" s="84">
        <f t="shared" si="68"/>
        <v>-667.351823353349</v>
      </c>
      <c r="J206" s="84">
        <f t="shared" si="69"/>
        <v>10852.905395660289</v>
      </c>
      <c r="K206" s="82"/>
      <c r="L206" s="84">
        <f t="shared" si="53"/>
        <v>10222212.502529975</v>
      </c>
      <c r="M206" s="84">
        <f t="shared" si="54"/>
        <v>923681.21817664662</v>
      </c>
      <c r="N206" s="84">
        <f t="shared" si="55"/>
        <v>10660.905395660289</v>
      </c>
      <c r="O206" s="82"/>
      <c r="P206" s="84">
        <f t="shared" si="56"/>
        <v>10222211.22114877</v>
      </c>
      <c r="Q206" s="84">
        <f t="shared" si="57"/>
        <v>923681.09271450376</v>
      </c>
      <c r="R206" s="84">
        <f t="shared" si="58"/>
        <v>10660.905395660289</v>
      </c>
      <c r="S206" s="82"/>
      <c r="T206" s="90">
        <f t="shared" si="59"/>
        <v>1.287508656714011</v>
      </c>
      <c r="U206" s="82"/>
      <c r="V206" s="84">
        <f t="shared" si="60"/>
        <v>-6815.8574700243771</v>
      </c>
      <c r="W206" s="84">
        <f t="shared" si="61"/>
        <v>-667.35182335332502</v>
      </c>
      <c r="X206" s="84">
        <f t="shared" si="62"/>
        <v>10852.905395660289</v>
      </c>
      <c r="Y206" s="84"/>
      <c r="Z206" s="84">
        <f t="shared" si="63"/>
        <v>-6815.8574700247364</v>
      </c>
      <c r="AA206" s="84">
        <f t="shared" si="64"/>
        <v>-667.35182335340153</v>
      </c>
      <c r="AB206" s="84">
        <f t="shared" si="65"/>
        <v>10852.905395660289</v>
      </c>
      <c r="AC206" s="84">
        <f t="shared" si="70"/>
        <v>-6815.8711017669384</v>
      </c>
      <c r="AD206" s="84">
        <f t="shared" si="71"/>
        <v>-667.35315805971766</v>
      </c>
      <c r="AE206" s="84">
        <f t="shared" si="72"/>
        <v>10852.927101514491</v>
      </c>
      <c r="AF206" s="83"/>
      <c r="AG206" s="87">
        <f t="shared" si="66"/>
        <v>8.338506717219529E-10</v>
      </c>
    </row>
    <row r="207" spans="1:33" x14ac:dyDescent="0.2">
      <c r="A207" s="89">
        <v>3352.6999999999898</v>
      </c>
      <c r="B207" s="89">
        <v>1.6</v>
      </c>
      <c r="C207" s="89">
        <v>301.8</v>
      </c>
      <c r="D207" s="88">
        <v>-6888.6302695142167</v>
      </c>
      <c r="E207" s="88">
        <v>-628.96507064610421</v>
      </c>
      <c r="F207" s="88">
        <v>10904.31288617994</v>
      </c>
      <c r="G207" s="82"/>
      <c r="H207" s="84">
        <f t="shared" si="67"/>
        <v>-6888.6164922536782</v>
      </c>
      <c r="I207" s="84">
        <f t="shared" si="68"/>
        <v>-628.96381271596294</v>
      </c>
      <c r="J207" s="84">
        <f t="shared" si="69"/>
        <v>10904.291077554168</v>
      </c>
      <c r="K207" s="82"/>
      <c r="L207" s="84">
        <f t="shared" si="53"/>
        <v>10222139.743507747</v>
      </c>
      <c r="M207" s="84">
        <f t="shared" si="54"/>
        <v>923719.60618728399</v>
      </c>
      <c r="N207" s="84">
        <f t="shared" si="55"/>
        <v>10712.291077554168</v>
      </c>
      <c r="O207" s="82"/>
      <c r="P207" s="84">
        <f t="shared" si="56"/>
        <v>10222138.448447846</v>
      </c>
      <c r="Q207" s="84">
        <f t="shared" si="57"/>
        <v>923719.48794208723</v>
      </c>
      <c r="R207" s="84">
        <f t="shared" si="58"/>
        <v>10712.291077554168</v>
      </c>
      <c r="S207" s="82"/>
      <c r="T207" s="90">
        <f t="shared" si="59"/>
        <v>1.3004468743621078</v>
      </c>
      <c r="U207" s="82"/>
      <c r="V207" s="84">
        <f t="shared" si="60"/>
        <v>-6888.6164922527969</v>
      </c>
      <c r="W207" s="84">
        <f t="shared" si="61"/>
        <v>-628.96381271595601</v>
      </c>
      <c r="X207" s="84">
        <f t="shared" si="62"/>
        <v>10904.291077554168</v>
      </c>
      <c r="Y207" s="82"/>
      <c r="Z207" s="84">
        <f t="shared" si="63"/>
        <v>-6888.6164922529833</v>
      </c>
      <c r="AA207" s="84">
        <f t="shared" si="64"/>
        <v>-628.96381271592691</v>
      </c>
      <c r="AB207" s="84">
        <f t="shared" si="65"/>
        <v>10904.291077554168</v>
      </c>
      <c r="AC207" s="84">
        <f t="shared" si="70"/>
        <v>-6888.6302695135209</v>
      </c>
      <c r="AD207" s="84">
        <f t="shared" si="71"/>
        <v>-628.96507064606806</v>
      </c>
      <c r="AE207" s="84">
        <f t="shared" si="72"/>
        <v>10904.31288617994</v>
      </c>
      <c r="AF207" s="82"/>
      <c r="AG207" s="87">
        <f t="shared" si="66"/>
        <v>6.967020676357776E-10</v>
      </c>
    </row>
    <row r="208" spans="1:33" x14ac:dyDescent="0.2">
      <c r="A208" s="89">
        <v>3352.7999999999902</v>
      </c>
      <c r="B208" s="89">
        <v>1.6</v>
      </c>
      <c r="C208" s="89">
        <v>301.8</v>
      </c>
      <c r="D208" s="88">
        <v>-6958.9785737771144</v>
      </c>
      <c r="E208" s="88">
        <v>-587.76571279567929</v>
      </c>
      <c r="F208" s="88">
        <v>10954.99297083332</v>
      </c>
      <c r="G208" s="82"/>
      <c r="H208" s="84">
        <f t="shared" si="67"/>
        <v>-6958.9646558199665</v>
      </c>
      <c r="I208" s="84">
        <f t="shared" si="68"/>
        <v>-587.7645372642537</v>
      </c>
      <c r="J208" s="84">
        <f t="shared" si="69"/>
        <v>10954.97106084738</v>
      </c>
      <c r="K208" s="82"/>
      <c r="L208" s="84">
        <f t="shared" si="53"/>
        <v>10222069.395344179</v>
      </c>
      <c r="M208" s="84">
        <f t="shared" si="54"/>
        <v>923760.80546273571</v>
      </c>
      <c r="N208" s="84">
        <f t="shared" si="55"/>
        <v>10762.97106084738</v>
      </c>
      <c r="O208" s="82"/>
      <c r="P208" s="84">
        <f t="shared" si="56"/>
        <v>10222068.087058824</v>
      </c>
      <c r="Q208" s="84">
        <f t="shared" si="57"/>
        <v>923760.69496300269</v>
      </c>
      <c r="R208" s="84">
        <f t="shared" si="58"/>
        <v>10762.97106084738</v>
      </c>
      <c r="S208" s="82"/>
      <c r="T208" s="90">
        <f t="shared" si="59"/>
        <v>1.3129435488965493</v>
      </c>
      <c r="U208" s="82"/>
      <c r="V208" s="84">
        <f t="shared" si="60"/>
        <v>-6958.9646558202803</v>
      </c>
      <c r="W208" s="84">
        <f t="shared" si="61"/>
        <v>-587.7645372642437</v>
      </c>
      <c r="X208" s="84">
        <f t="shared" si="62"/>
        <v>10954.97106084738</v>
      </c>
      <c r="Y208" s="84"/>
      <c r="Z208" s="84">
        <f t="shared" si="63"/>
        <v>-6958.9646558205532</v>
      </c>
      <c r="AA208" s="84">
        <f t="shared" si="64"/>
        <v>-587.76453726424927</v>
      </c>
      <c r="AB208" s="84">
        <f t="shared" si="65"/>
        <v>10954.97106084738</v>
      </c>
      <c r="AC208" s="84">
        <f t="shared" si="70"/>
        <v>-6958.9785737777001</v>
      </c>
      <c r="AD208" s="84">
        <f t="shared" si="71"/>
        <v>-587.76571279567486</v>
      </c>
      <c r="AE208" s="84">
        <f t="shared" si="72"/>
        <v>10954.99297083332</v>
      </c>
      <c r="AF208" s="83"/>
      <c r="AG208" s="87">
        <f t="shared" si="66"/>
        <v>5.8573136930852323E-10</v>
      </c>
    </row>
    <row r="209" spans="1:33" x14ac:dyDescent="0.2">
      <c r="A209" s="89">
        <v>3352.8999999999901</v>
      </c>
      <c r="B209" s="89">
        <v>1.6</v>
      </c>
      <c r="C209" s="89">
        <v>301.8</v>
      </c>
      <c r="D209" s="88">
        <v>-7026.852351845977</v>
      </c>
      <c r="E209" s="88">
        <v>-542.92443836482335</v>
      </c>
      <c r="F209" s="88">
        <v>11005.947320885758</v>
      </c>
      <c r="G209" s="82"/>
      <c r="H209" s="84">
        <f t="shared" si="67"/>
        <v>-7026.8382981412742</v>
      </c>
      <c r="I209" s="84">
        <f t="shared" si="68"/>
        <v>-542.9233525159467</v>
      </c>
      <c r="J209" s="84">
        <f t="shared" si="69"/>
        <v>11005.925308991116</v>
      </c>
      <c r="K209" s="82"/>
      <c r="L209" s="84">
        <f t="shared" si="53"/>
        <v>10222001.521701857</v>
      </c>
      <c r="M209" s="84">
        <f t="shared" si="54"/>
        <v>923805.64664748404</v>
      </c>
      <c r="N209" s="84">
        <f t="shared" si="55"/>
        <v>10813.925308991116</v>
      </c>
      <c r="O209" s="82"/>
      <c r="P209" s="84">
        <f t="shared" si="56"/>
        <v>10222000.200656258</v>
      </c>
      <c r="Q209" s="84">
        <f t="shared" si="57"/>
        <v>923805.54457789368</v>
      </c>
      <c r="R209" s="84">
        <f t="shared" si="58"/>
        <v>10813.925308991116</v>
      </c>
      <c r="S209" s="82"/>
      <c r="T209" s="90">
        <f t="shared" si="59"/>
        <v>1.324982897335758</v>
      </c>
      <c r="U209" s="82"/>
      <c r="V209" s="84">
        <f t="shared" si="60"/>
        <v>-7026.8382981419563</v>
      </c>
      <c r="W209" s="84">
        <f t="shared" si="61"/>
        <v>-542.92335251590703</v>
      </c>
      <c r="X209" s="84">
        <f t="shared" si="62"/>
        <v>11005.925308991116</v>
      </c>
      <c r="Y209" s="82"/>
      <c r="Z209" s="84">
        <f t="shared" si="63"/>
        <v>-7026.8382981417826</v>
      </c>
      <c r="AA209" s="84">
        <f t="shared" si="64"/>
        <v>-542.92335251599116</v>
      </c>
      <c r="AB209" s="84">
        <f t="shared" si="65"/>
        <v>11005.925308991116</v>
      </c>
      <c r="AC209" s="84">
        <f t="shared" si="70"/>
        <v>-7026.8523518464845</v>
      </c>
      <c r="AD209" s="84">
        <f t="shared" si="71"/>
        <v>-542.9244383648678</v>
      </c>
      <c r="AE209" s="84">
        <f t="shared" si="72"/>
        <v>11005.947320885758</v>
      </c>
      <c r="AF209" s="82"/>
      <c r="AG209" s="87">
        <f t="shared" si="66"/>
        <v>5.0944107103755783E-10</v>
      </c>
    </row>
    <row r="210" spans="1:33" x14ac:dyDescent="0.2">
      <c r="A210" s="89">
        <v>3352.99999999999</v>
      </c>
      <c r="B210" s="89">
        <v>1.6</v>
      </c>
      <c r="C210" s="89">
        <v>301.8</v>
      </c>
      <c r="D210" s="88">
        <v>-7091.5880208826875</v>
      </c>
      <c r="E210" s="88">
        <v>-494.45357273267581</v>
      </c>
      <c r="F210" s="88">
        <v>11057.657889800499</v>
      </c>
      <c r="G210" s="82"/>
      <c r="H210" s="84">
        <f t="shared" si="67"/>
        <v>-7091.5738377066464</v>
      </c>
      <c r="I210" s="84">
        <f t="shared" si="68"/>
        <v>-494.45258382553038</v>
      </c>
      <c r="J210" s="84">
        <f t="shared" si="69"/>
        <v>11057.635774484721</v>
      </c>
      <c r="K210" s="82"/>
      <c r="L210" s="84">
        <f t="shared" si="53"/>
        <v>10221936.786162293</v>
      </c>
      <c r="M210" s="84">
        <f t="shared" si="54"/>
        <v>923854.11741617438</v>
      </c>
      <c r="N210" s="84">
        <f t="shared" si="55"/>
        <v>10865.635774484721</v>
      </c>
      <c r="O210" s="82"/>
      <c r="P210" s="84">
        <f t="shared" si="56"/>
        <v>10221935.452946411</v>
      </c>
      <c r="Q210" s="84">
        <f t="shared" si="57"/>
        <v>923854.02445908869</v>
      </c>
      <c r="R210" s="84">
        <f t="shared" si="58"/>
        <v>10865.635774484721</v>
      </c>
      <c r="S210" s="82"/>
      <c r="T210" s="90">
        <f t="shared" si="59"/>
        <v>1.3364526199991613</v>
      </c>
      <c r="U210" s="82"/>
      <c r="V210" s="84">
        <f t="shared" si="60"/>
        <v>-7091.5738377068192</v>
      </c>
      <c r="W210" s="84">
        <f t="shared" si="61"/>
        <v>-494.45258382556494</v>
      </c>
      <c r="X210" s="84">
        <f t="shared" si="62"/>
        <v>11057.635774484721</v>
      </c>
      <c r="Y210" s="84"/>
      <c r="Z210" s="84">
        <f t="shared" si="63"/>
        <v>-7091.573837706469</v>
      </c>
      <c r="AA210" s="84">
        <f t="shared" si="64"/>
        <v>-494.4525838255027</v>
      </c>
      <c r="AB210" s="84">
        <f t="shared" si="65"/>
        <v>11057.635774484721</v>
      </c>
      <c r="AC210" s="84">
        <f t="shared" si="70"/>
        <v>-7091.5880208825101</v>
      </c>
      <c r="AD210" s="84">
        <f t="shared" si="71"/>
        <v>-494.45357273264807</v>
      </c>
      <c r="AE210" s="84">
        <f t="shared" si="72"/>
        <v>11057.657889800499</v>
      </c>
      <c r="AF210" s="83"/>
      <c r="AG210" s="87">
        <f t="shared" si="66"/>
        <v>1.7950773676127815E-10</v>
      </c>
    </row>
    <row r="211" spans="1:33" x14ac:dyDescent="0.2">
      <c r="A211" s="89">
        <v>3353.0999999999899</v>
      </c>
      <c r="B211" s="89">
        <v>1.6</v>
      </c>
      <c r="C211" s="89">
        <v>301.8</v>
      </c>
      <c r="D211" s="88">
        <v>-7153.4585093352125</v>
      </c>
      <c r="E211" s="88">
        <v>-442.88797688009362</v>
      </c>
      <c r="F211" s="88">
        <v>11109.886685898942</v>
      </c>
      <c r="G211" s="82"/>
      <c r="H211" s="84">
        <f t="shared" si="67"/>
        <v>-7153.4442024181953</v>
      </c>
      <c r="I211" s="84">
        <f t="shared" si="68"/>
        <v>-442.88709110413993</v>
      </c>
      <c r="J211" s="84">
        <f t="shared" si="69"/>
        <v>11109.864466125571</v>
      </c>
      <c r="K211" s="82"/>
      <c r="L211" s="84">
        <f t="shared" si="53"/>
        <v>10221874.915797582</v>
      </c>
      <c r="M211" s="84">
        <f t="shared" si="54"/>
        <v>923905.68290889577</v>
      </c>
      <c r="N211" s="84">
        <f t="shared" si="55"/>
        <v>10917.864466125571</v>
      </c>
      <c r="O211" s="82"/>
      <c r="P211" s="84">
        <f t="shared" si="56"/>
        <v>10221873.57095007</v>
      </c>
      <c r="Q211" s="84">
        <f t="shared" si="57"/>
        <v>923905.59964612266</v>
      </c>
      <c r="R211" s="84">
        <f t="shared" si="58"/>
        <v>10917.864466125571</v>
      </c>
      <c r="S211" s="82"/>
      <c r="T211" s="90">
        <f t="shared" si="59"/>
        <v>1.3474225464102723</v>
      </c>
      <c r="U211" s="82"/>
      <c r="V211" s="84">
        <f t="shared" si="60"/>
        <v>-7153.4442024175078</v>
      </c>
      <c r="W211" s="84">
        <f t="shared" si="61"/>
        <v>-442.88709110417403</v>
      </c>
      <c r="X211" s="84">
        <f t="shared" si="62"/>
        <v>11109.864466125571</v>
      </c>
      <c r="Y211" s="82"/>
      <c r="Z211" s="84">
        <f t="shared" si="63"/>
        <v>-7153.444202418953</v>
      </c>
      <c r="AA211" s="84">
        <f t="shared" si="64"/>
        <v>-442.88709110416067</v>
      </c>
      <c r="AB211" s="84">
        <f t="shared" si="65"/>
        <v>11109.864466125571</v>
      </c>
      <c r="AC211" s="84">
        <f t="shared" si="70"/>
        <v>-7153.458509335971</v>
      </c>
      <c r="AD211" s="84">
        <f t="shared" si="71"/>
        <v>-442.88797688011442</v>
      </c>
      <c r="AE211" s="84">
        <f t="shared" si="72"/>
        <v>11109.88668589894</v>
      </c>
      <c r="AF211" s="82"/>
      <c r="AG211" s="87">
        <f t="shared" si="66"/>
        <v>7.5880602399269302E-10</v>
      </c>
    </row>
    <row r="212" spans="1:33" x14ac:dyDescent="0.2">
      <c r="A212" s="89">
        <v>3353.1999999999898</v>
      </c>
      <c r="B212" s="89">
        <v>1.6</v>
      </c>
      <c r="C212" s="89">
        <v>301.8</v>
      </c>
      <c r="D212" s="88">
        <v>-7212.730081379882</v>
      </c>
      <c r="E212" s="88">
        <v>-388.34502857791921</v>
      </c>
      <c r="F212" s="88">
        <v>11162.102783121059</v>
      </c>
      <c r="G212" s="82"/>
      <c r="H212" s="84">
        <f t="shared" si="67"/>
        <v>-7212.7156559197201</v>
      </c>
      <c r="I212" s="84">
        <f t="shared" si="68"/>
        <v>-388.34425188786213</v>
      </c>
      <c r="J212" s="84">
        <f t="shared" si="69"/>
        <v>11162.080458915496</v>
      </c>
      <c r="K212" s="82"/>
      <c r="L212" s="84">
        <f t="shared" si="53"/>
        <v>10221815.64434408</v>
      </c>
      <c r="M212" s="84">
        <f t="shared" si="54"/>
        <v>923960.22574811208</v>
      </c>
      <c r="N212" s="84">
        <f t="shared" si="55"/>
        <v>10970.080458915496</v>
      </c>
      <c r="O212" s="82"/>
      <c r="P212" s="84">
        <f t="shared" si="56"/>
        <v>10221814.288353536</v>
      </c>
      <c r="Q212" s="84">
        <f t="shared" si="57"/>
        <v>923960.15273939271</v>
      </c>
      <c r="R212" s="84">
        <f t="shared" si="58"/>
        <v>10970.080458915496</v>
      </c>
      <c r="S212" s="82"/>
      <c r="T212" s="90">
        <f t="shared" si="59"/>
        <v>1.3579545752404762</v>
      </c>
      <c r="U212" s="82"/>
      <c r="V212" s="84">
        <f t="shared" si="60"/>
        <v>-7212.7156559191644</v>
      </c>
      <c r="W212" s="84">
        <f t="shared" si="61"/>
        <v>-388.34425188787282</v>
      </c>
      <c r="X212" s="84">
        <f t="shared" si="62"/>
        <v>11162.080458915496</v>
      </c>
      <c r="Y212" s="84"/>
      <c r="Z212" s="84">
        <f t="shared" si="63"/>
        <v>-7212.7156559198129</v>
      </c>
      <c r="AA212" s="84">
        <f t="shared" si="64"/>
        <v>-388.3442518878839</v>
      </c>
      <c r="AB212" s="84">
        <f t="shared" si="65"/>
        <v>11162.080458915496</v>
      </c>
      <c r="AC212" s="84">
        <f t="shared" si="70"/>
        <v>-7212.7300813799748</v>
      </c>
      <c r="AD212" s="84">
        <f t="shared" si="71"/>
        <v>-388.34502857794098</v>
      </c>
      <c r="AE212" s="84">
        <f t="shared" si="72"/>
        <v>11162.102783121061</v>
      </c>
      <c r="AF212" s="83"/>
      <c r="AG212" s="87">
        <f t="shared" si="66"/>
        <v>9.5306209334014879E-11</v>
      </c>
    </row>
    <row r="213" spans="1:33" x14ac:dyDescent="0.2">
      <c r="A213" s="89">
        <v>3353.2999999999902</v>
      </c>
      <c r="B213" s="89">
        <v>1.6</v>
      </c>
      <c r="C213" s="89">
        <v>301.8</v>
      </c>
      <c r="D213" s="88">
        <v>-7269.0039555714648</v>
      </c>
      <c r="E213" s="88">
        <v>-330.82473237649987</v>
      </c>
      <c r="F213" s="88">
        <v>11214.439085677757</v>
      </c>
      <c r="G213" s="82"/>
      <c r="H213" s="84">
        <f t="shared" si="67"/>
        <v>-7268.9894175635545</v>
      </c>
      <c r="I213" s="84">
        <f t="shared" si="68"/>
        <v>-330.82407072703512</v>
      </c>
      <c r="J213" s="84">
        <f t="shared" si="69"/>
        <v>11214.416656799587</v>
      </c>
      <c r="K213" s="82"/>
      <c r="L213" s="84">
        <f t="shared" si="53"/>
        <v>10221759.370582435</v>
      </c>
      <c r="M213" s="84">
        <f t="shared" si="54"/>
        <v>924017.74592927296</v>
      </c>
      <c r="N213" s="84">
        <f t="shared" si="55"/>
        <v>11022.416656799587</v>
      </c>
      <c r="O213" s="82"/>
      <c r="P213" s="84">
        <f t="shared" si="56"/>
        <v>10221758.004012424</v>
      </c>
      <c r="Q213" s="84">
        <f t="shared" si="57"/>
        <v>924017.68373434758</v>
      </c>
      <c r="R213" s="84">
        <f t="shared" si="58"/>
        <v>11022.416656799587</v>
      </c>
      <c r="S213" s="82"/>
      <c r="T213" s="90">
        <f t="shared" si="59"/>
        <v>1.3679845770732393</v>
      </c>
      <c r="U213" s="82"/>
      <c r="V213" s="84">
        <f t="shared" si="60"/>
        <v>-7268.9894175641239</v>
      </c>
      <c r="W213" s="84">
        <f t="shared" si="61"/>
        <v>-330.82407072698697</v>
      </c>
      <c r="X213" s="84">
        <f t="shared" si="62"/>
        <v>11214.416656799587</v>
      </c>
      <c r="Y213" s="82"/>
      <c r="Z213" s="84">
        <f t="shared" si="63"/>
        <v>-7268.9894175644022</v>
      </c>
      <c r="AA213" s="84">
        <f t="shared" si="64"/>
        <v>-330.82407072707394</v>
      </c>
      <c r="AB213" s="84">
        <f t="shared" si="65"/>
        <v>11214.416656799587</v>
      </c>
      <c r="AC213" s="84">
        <f t="shared" si="70"/>
        <v>-7269.0039555723124</v>
      </c>
      <c r="AD213" s="84">
        <f t="shared" si="71"/>
        <v>-330.82473237653863</v>
      </c>
      <c r="AE213" s="84">
        <f t="shared" si="72"/>
        <v>11214.439085677757</v>
      </c>
      <c r="AF213" s="82"/>
      <c r="AG213" s="87">
        <f t="shared" si="66"/>
        <v>8.485351077583004E-10</v>
      </c>
    </row>
    <row r="214" spans="1:33" x14ac:dyDescent="0.2">
      <c r="A214" s="89">
        <v>3353.3999999999901</v>
      </c>
      <c r="B214" s="89">
        <v>1.6</v>
      </c>
      <c r="C214" s="89">
        <v>301.8</v>
      </c>
      <c r="D214" s="88">
        <v>-7322.1553720279207</v>
      </c>
      <c r="E214" s="88">
        <v>-270.72019397685199</v>
      </c>
      <c r="F214" s="88">
        <v>11267.137996397911</v>
      </c>
      <c r="G214" s="82"/>
      <c r="H214" s="84">
        <f t="shared" si="67"/>
        <v>-7322.1407277171784</v>
      </c>
      <c r="I214" s="84">
        <f t="shared" si="68"/>
        <v>-270.71965253646403</v>
      </c>
      <c r="J214" s="84">
        <f t="shared" si="69"/>
        <v>11267.115462121919</v>
      </c>
      <c r="K214" s="82"/>
      <c r="L214" s="84">
        <f t="shared" si="53"/>
        <v>10221706.219272282</v>
      </c>
      <c r="M214" s="84">
        <f t="shared" si="54"/>
        <v>924077.85034746351</v>
      </c>
      <c r="N214" s="84">
        <f t="shared" si="55"/>
        <v>11075.115462121919</v>
      </c>
      <c r="O214" s="82"/>
      <c r="P214" s="84">
        <f t="shared" si="56"/>
        <v>10221704.842709826</v>
      </c>
      <c r="Q214" s="84">
        <f t="shared" si="57"/>
        <v>924077.79945216875</v>
      </c>
      <c r="R214" s="84">
        <f t="shared" si="58"/>
        <v>11075.115462121919</v>
      </c>
      <c r="S214" s="82"/>
      <c r="T214" s="90">
        <f t="shared" si="59"/>
        <v>1.3775030037665823</v>
      </c>
      <c r="U214" s="82"/>
      <c r="V214" s="84">
        <f t="shared" si="60"/>
        <v>-7322.1407277174294</v>
      </c>
      <c r="W214" s="84">
        <f t="shared" si="61"/>
        <v>-270.71965253644157</v>
      </c>
      <c r="X214" s="84">
        <f t="shared" si="62"/>
        <v>11267.115462121919</v>
      </c>
      <c r="Y214" s="84"/>
      <c r="Z214" s="84">
        <f t="shared" si="63"/>
        <v>-7322.1407277162871</v>
      </c>
      <c r="AA214" s="84">
        <f t="shared" si="64"/>
        <v>-270.71965253652132</v>
      </c>
      <c r="AB214" s="84">
        <f t="shared" si="65"/>
        <v>11267.115462121919</v>
      </c>
      <c r="AC214" s="84">
        <f t="shared" si="70"/>
        <v>-7322.1553720270304</v>
      </c>
      <c r="AD214" s="84">
        <f t="shared" si="71"/>
        <v>-270.72019397690923</v>
      </c>
      <c r="AE214" s="84">
        <f t="shared" si="72"/>
        <v>11267.137996397913</v>
      </c>
      <c r="AF214" s="83"/>
      <c r="AG214" s="87">
        <f t="shared" si="66"/>
        <v>8.9223522191934338E-10</v>
      </c>
    </row>
    <row r="215" spans="1:33" x14ac:dyDescent="0.2">
      <c r="A215" s="89">
        <v>3353.49999999999</v>
      </c>
      <c r="B215" s="89">
        <v>1.6</v>
      </c>
      <c r="C215" s="89">
        <v>301.8</v>
      </c>
      <c r="D215" s="88">
        <v>-7372.4026118877127</v>
      </c>
      <c r="E215" s="88">
        <v>-208.52038956155843</v>
      </c>
      <c r="F215" s="88">
        <v>11320.255020639499</v>
      </c>
      <c r="G215" s="82"/>
      <c r="H215" s="84">
        <f t="shared" si="67"/>
        <v>-7372.3878670824897</v>
      </c>
      <c r="I215" s="84">
        <f t="shared" si="68"/>
        <v>-208.51997252077933</v>
      </c>
      <c r="J215" s="84">
        <f t="shared" si="69"/>
        <v>11320.232380129459</v>
      </c>
      <c r="K215" s="82"/>
      <c r="L215" s="84">
        <f t="shared" ref="L215:L246" si="73">E$21 + H215</f>
        <v>10221655.972132917</v>
      </c>
      <c r="M215" s="84">
        <f t="shared" ref="M215:M246" si="74">E$22 + I215</f>
        <v>924140.05002747918</v>
      </c>
      <c r="N215" s="84">
        <f t="shared" ref="N215:N246" si="75">J215 - E$17</f>
        <v>11128.232380129459</v>
      </c>
      <c r="O215" s="82"/>
      <c r="P215" s="84">
        <f t="shared" ref="P215:P246" si="76">E$21 + E$24*H215</f>
        <v>10221654.586123997</v>
      </c>
      <c r="Q215" s="84">
        <f t="shared" ref="Q215:Q246" si="77">E$22 + E$24*I215</f>
        <v>924140.01082572434</v>
      </c>
      <c r="R215" s="84">
        <f t="shared" ref="R215:R246" si="78">N215 - H$17</f>
        <v>11128.232380129459</v>
      </c>
      <c r="S215" s="82"/>
      <c r="T215" s="90">
        <f t="shared" ref="T215:T246" si="79">SQRT(SUMSQ(P215-L215,Q215-M215))</f>
        <v>1.3865631988166647</v>
      </c>
      <c r="U215" s="82"/>
      <c r="V215" s="84">
        <f t="shared" ref="V215:V246" si="80">L215 - E$21</f>
        <v>-7372.3878670819104</v>
      </c>
      <c r="W215" s="84">
        <f t="shared" ref="W215:W246" si="81">M215 - E$22</f>
        <v>-208.51997252076399</v>
      </c>
      <c r="X215" s="84">
        <f t="shared" ref="X215:X246" si="82">N215 + E$17</f>
        <v>11320.232380129459</v>
      </c>
      <c r="Y215" s="82"/>
      <c r="Z215" s="84">
        <f t="shared" ref="Z215:Z246" si="83">(P215 - E$21) / E$24</f>
        <v>-7372.3878670830463</v>
      </c>
      <c r="AA215" s="84">
        <f t="shared" ref="AA215:AA246" si="84">(Q215 - E$22) / E$24</f>
        <v>-208.51997252077388</v>
      </c>
      <c r="AB215" s="84">
        <f t="shared" ref="AB215:AB246" si="85">R215 + E$17</f>
        <v>11320.232380129459</v>
      </c>
      <c r="AC215" s="84">
        <f t="shared" si="70"/>
        <v>-7372.4026118882684</v>
      </c>
      <c r="AD215" s="84">
        <f t="shared" si="71"/>
        <v>-208.52038956155297</v>
      </c>
      <c r="AE215" s="84">
        <f t="shared" si="72"/>
        <v>11320.255020639499</v>
      </c>
      <c r="AF215" s="82"/>
      <c r="AG215" s="87">
        <f t="shared" ref="AG215:AG246" si="86">SQRT(SUMSQ(AC215-D215,AD215-E215,AE215-F215))</f>
        <v>5.5572805576195341E-10</v>
      </c>
    </row>
    <row r="216" spans="1:33" x14ac:dyDescent="0.2">
      <c r="A216" s="89">
        <v>3353.5999999999899</v>
      </c>
      <c r="B216" s="89">
        <v>1.6</v>
      </c>
      <c r="C216" s="89">
        <v>301.8</v>
      </c>
      <c r="D216" s="88">
        <v>-7419.7871666055189</v>
      </c>
      <c r="E216" s="88">
        <v>-144.36822086695554</v>
      </c>
      <c r="F216" s="88">
        <v>11373.679358064172</v>
      </c>
      <c r="G216" s="82"/>
      <c r="H216" s="84">
        <f t="shared" si="67"/>
        <v>-7419.7723270311863</v>
      </c>
      <c r="I216" s="84">
        <f t="shared" si="68"/>
        <v>-144.36793213051382</v>
      </c>
      <c r="J216" s="84">
        <f t="shared" si="69"/>
        <v>11373.656610705455</v>
      </c>
      <c r="K216" s="82"/>
      <c r="L216" s="84">
        <f t="shared" si="73"/>
        <v>10221608.587672967</v>
      </c>
      <c r="M216" s="84">
        <f t="shared" si="74"/>
        <v>924204.20206786948</v>
      </c>
      <c r="N216" s="84">
        <f t="shared" si="75"/>
        <v>11181.656610705455</v>
      </c>
      <c r="O216" s="82"/>
      <c r="P216" s="84">
        <f t="shared" si="76"/>
        <v>10221607.19275577</v>
      </c>
      <c r="Q216" s="84">
        <f t="shared" si="77"/>
        <v>924204.17492669821</v>
      </c>
      <c r="R216" s="84">
        <f t="shared" si="78"/>
        <v>11181.656610705455</v>
      </c>
      <c r="S216" s="82"/>
      <c r="T216" s="90">
        <f t="shared" si="79"/>
        <v>1.3951812180253005</v>
      </c>
      <c r="U216" s="82"/>
      <c r="V216" s="84">
        <f t="shared" si="80"/>
        <v>-7419.7723270319402</v>
      </c>
      <c r="W216" s="84">
        <f t="shared" si="81"/>
        <v>-144.36793213046622</v>
      </c>
      <c r="X216" s="84">
        <f t="shared" si="82"/>
        <v>11373.656610705455</v>
      </c>
      <c r="Y216" s="84"/>
      <c r="Z216" s="84">
        <f t="shared" si="83"/>
        <v>-7419.772327031983</v>
      </c>
      <c r="AA216" s="84">
        <f t="shared" si="84"/>
        <v>-144.36793213050038</v>
      </c>
      <c r="AB216" s="84">
        <f t="shared" si="85"/>
        <v>11373.656610705455</v>
      </c>
      <c r="AC216" s="84">
        <f t="shared" si="70"/>
        <v>-7419.7871666063147</v>
      </c>
      <c r="AD216" s="84">
        <f t="shared" si="71"/>
        <v>-144.3682208669421</v>
      </c>
      <c r="AE216" s="84">
        <f t="shared" si="72"/>
        <v>11373.67935806417</v>
      </c>
      <c r="AF216" s="83"/>
      <c r="AG216" s="87">
        <f t="shared" si="86"/>
        <v>7.9592348379432893E-10</v>
      </c>
    </row>
    <row r="217" spans="1:33" x14ac:dyDescent="0.2">
      <c r="A217" s="89">
        <v>3353.6999999999898</v>
      </c>
      <c r="B217" s="89">
        <v>1.6</v>
      </c>
      <c r="C217" s="89">
        <v>301.8</v>
      </c>
      <c r="D217" s="88">
        <v>-7464.4227044846984</v>
      </c>
      <c r="E217" s="88">
        <v>-77.471040834711275</v>
      </c>
      <c r="F217" s="88">
        <v>11427.901129629257</v>
      </c>
      <c r="G217" s="82"/>
      <c r="H217" s="84">
        <f t="shared" si="67"/>
        <v>-7464.4077756392908</v>
      </c>
      <c r="I217" s="84">
        <f t="shared" si="68"/>
        <v>-77.47088589262961</v>
      </c>
      <c r="J217" s="84">
        <f t="shared" si="69"/>
        <v>11427.878273827</v>
      </c>
      <c r="K217" s="82"/>
      <c r="L217" s="84">
        <f t="shared" si="73"/>
        <v>10221563.952224361</v>
      </c>
      <c r="M217" s="84">
        <f t="shared" si="74"/>
        <v>924271.09911410732</v>
      </c>
      <c r="N217" s="84">
        <f t="shared" si="75"/>
        <v>11235.878273827</v>
      </c>
      <c r="O217" s="82"/>
      <c r="P217" s="84">
        <f t="shared" si="76"/>
        <v>10221562.548915699</v>
      </c>
      <c r="Q217" s="84">
        <f t="shared" si="77"/>
        <v>924271.08454958082</v>
      </c>
      <c r="R217" s="84">
        <f t="shared" si="78"/>
        <v>11235.878273827</v>
      </c>
      <c r="S217" s="82"/>
      <c r="T217" s="90">
        <f t="shared" si="79"/>
        <v>1.4033842400807326</v>
      </c>
      <c r="U217" s="82"/>
      <c r="V217" s="84">
        <f t="shared" si="80"/>
        <v>-7464.407775638625</v>
      </c>
      <c r="W217" s="84">
        <f t="shared" si="81"/>
        <v>-77.470885892631486</v>
      </c>
      <c r="X217" s="84">
        <f t="shared" si="82"/>
        <v>11427.878273827</v>
      </c>
      <c r="Y217" s="82"/>
      <c r="Z217" s="84">
        <f t="shared" si="83"/>
        <v>-7464.4077756384586</v>
      </c>
      <c r="AA217" s="84">
        <f t="shared" si="84"/>
        <v>-77.470885892583851</v>
      </c>
      <c r="AB217" s="84">
        <f t="shared" si="85"/>
        <v>11427.878273827</v>
      </c>
      <c r="AC217" s="84">
        <f t="shared" si="70"/>
        <v>-7464.4227044838663</v>
      </c>
      <c r="AD217" s="84">
        <f t="shared" si="71"/>
        <v>-77.471040834665516</v>
      </c>
      <c r="AE217" s="84">
        <f t="shared" si="72"/>
        <v>11427.901129629257</v>
      </c>
      <c r="AF217" s="82"/>
      <c r="AG217" s="87">
        <f t="shared" si="86"/>
        <v>8.3344476124671284E-10</v>
      </c>
    </row>
    <row r="218" spans="1:33" x14ac:dyDescent="0.2">
      <c r="A218" s="89">
        <v>3353.7999999999902</v>
      </c>
      <c r="B218" s="89">
        <v>1.6</v>
      </c>
      <c r="C218" s="89">
        <v>301.8</v>
      </c>
      <c r="D218" s="88">
        <v>-7505.4568993858447</v>
      </c>
      <c r="E218" s="88">
        <v>-8.6152828474144627</v>
      </c>
      <c r="F218" s="88">
        <v>11482.515102338051</v>
      </c>
      <c r="G218" s="82"/>
      <c r="H218" s="84">
        <f t="shared" si="67"/>
        <v>-7505.4418884720462</v>
      </c>
      <c r="I218" s="84">
        <f t="shared" si="68"/>
        <v>-8.6152656168487702</v>
      </c>
      <c r="J218" s="84">
        <f t="shared" si="69"/>
        <v>11482.492137307847</v>
      </c>
      <c r="K218" s="82"/>
      <c r="L218" s="84">
        <f t="shared" si="73"/>
        <v>10221522.918111527</v>
      </c>
      <c r="M218" s="84">
        <f t="shared" si="74"/>
        <v>924339.95473438315</v>
      </c>
      <c r="N218" s="84">
        <f t="shared" si="75"/>
        <v>11290.492137307847</v>
      </c>
      <c r="O218" s="82"/>
      <c r="P218" s="84">
        <f t="shared" si="76"/>
        <v>10221521.507088453</v>
      </c>
      <c r="Q218" s="84">
        <f t="shared" si="77"/>
        <v>924339.95311471319</v>
      </c>
      <c r="R218" s="84">
        <f t="shared" si="78"/>
        <v>11290.492137307847</v>
      </c>
      <c r="S218" s="82"/>
      <c r="T218" s="90">
        <f t="shared" si="79"/>
        <v>1.4110240043453735</v>
      </c>
      <c r="U218" s="82"/>
      <c r="V218" s="84">
        <f t="shared" si="80"/>
        <v>-7505.4418884720653</v>
      </c>
      <c r="W218" s="84">
        <f t="shared" si="81"/>
        <v>-8.6152656167978421</v>
      </c>
      <c r="X218" s="84">
        <f t="shared" si="82"/>
        <v>11482.492137307847</v>
      </c>
      <c r="Y218" s="84"/>
      <c r="Z218" s="84">
        <f t="shared" si="83"/>
        <v>-7505.4418884717934</v>
      </c>
      <c r="AA218" s="84">
        <f t="shared" si="84"/>
        <v>-8.6152656168198973</v>
      </c>
      <c r="AB218" s="84">
        <f t="shared" si="85"/>
        <v>11482.492137307847</v>
      </c>
      <c r="AC218" s="84">
        <f t="shared" si="70"/>
        <v>-7505.456899385591</v>
      </c>
      <c r="AD218" s="84">
        <f t="shared" si="71"/>
        <v>-8.6152828473855916</v>
      </c>
      <c r="AE218" s="84">
        <f t="shared" si="72"/>
        <v>11482.515102338051</v>
      </c>
      <c r="AF218" s="83"/>
      <c r="AG218" s="87">
        <f t="shared" si="86"/>
        <v>2.5538619398282271E-10</v>
      </c>
    </row>
    <row r="219" spans="1:33" x14ac:dyDescent="0.2">
      <c r="A219" s="89">
        <v>3353.8999999999901</v>
      </c>
      <c r="B219" s="89">
        <v>1.6</v>
      </c>
      <c r="C219" s="89">
        <v>301.8</v>
      </c>
      <c r="D219" s="88">
        <v>-7542.2008156385918</v>
      </c>
      <c r="E219" s="88">
        <v>60.500061086200759</v>
      </c>
      <c r="F219" s="88">
        <v>11536.337215901853</v>
      </c>
      <c r="G219" s="82"/>
      <c r="H219" s="84">
        <f t="shared" si="67"/>
        <v>-7542.1857312369611</v>
      </c>
      <c r="I219" s="84">
        <f t="shared" si="68"/>
        <v>60.499940086078588</v>
      </c>
      <c r="J219" s="84">
        <f t="shared" si="69"/>
        <v>11536.314143227422</v>
      </c>
      <c r="K219" s="82"/>
      <c r="L219" s="84">
        <f t="shared" si="73"/>
        <v>10221486.174268762</v>
      </c>
      <c r="M219" s="84">
        <f t="shared" si="74"/>
        <v>924409.06994008599</v>
      </c>
      <c r="N219" s="84">
        <f t="shared" si="75"/>
        <v>11344.314143227422</v>
      </c>
      <c r="O219" s="82"/>
      <c r="P219" s="84">
        <f t="shared" si="76"/>
        <v>10221484.756337846</v>
      </c>
      <c r="Q219" s="84">
        <f t="shared" si="77"/>
        <v>924409.08131407481</v>
      </c>
      <c r="R219" s="84">
        <f t="shared" si="78"/>
        <v>11344.314143227422</v>
      </c>
      <c r="S219" s="82"/>
      <c r="T219" s="90">
        <f t="shared" si="79"/>
        <v>1.4179765336680819</v>
      </c>
      <c r="U219" s="82"/>
      <c r="V219" s="84">
        <f t="shared" si="80"/>
        <v>-7542.1857312377542</v>
      </c>
      <c r="W219" s="84">
        <f t="shared" si="81"/>
        <v>60.499940086039715</v>
      </c>
      <c r="X219" s="84">
        <f t="shared" si="82"/>
        <v>11536.314143227422</v>
      </c>
      <c r="Y219" s="82"/>
      <c r="Z219" s="84">
        <f t="shared" si="83"/>
        <v>-7542.1857312362326</v>
      </c>
      <c r="AA219" s="84">
        <f t="shared" si="84"/>
        <v>60.499940086121896</v>
      </c>
      <c r="AB219" s="84">
        <f t="shared" si="85"/>
        <v>11536.314143227422</v>
      </c>
      <c r="AC219" s="84">
        <f t="shared" si="70"/>
        <v>-7542.2008156378633</v>
      </c>
      <c r="AD219" s="84">
        <f t="shared" si="71"/>
        <v>60.50006108624406</v>
      </c>
      <c r="AE219" s="84">
        <f t="shared" si="72"/>
        <v>11536.337215901853</v>
      </c>
      <c r="AF219" s="82"/>
      <c r="AG219" s="87">
        <f t="shared" si="86"/>
        <v>7.2979095587074205E-10</v>
      </c>
    </row>
    <row r="220" spans="1:33" x14ac:dyDescent="0.2">
      <c r="A220" s="89">
        <v>3353.99999999999</v>
      </c>
      <c r="B220" s="89">
        <v>1.6</v>
      </c>
      <c r="C220" s="89">
        <v>301.8</v>
      </c>
      <c r="D220" s="88">
        <v>-7576.0627714065249</v>
      </c>
      <c r="E220" s="88">
        <v>132.87475987402144</v>
      </c>
      <c r="F220" s="88">
        <v>11591.315904505289</v>
      </c>
      <c r="G220" s="82"/>
      <c r="H220" s="84">
        <f t="shared" si="67"/>
        <v>-7576.0476192809829</v>
      </c>
      <c r="I220" s="84">
        <f t="shared" si="68"/>
        <v>132.87449412450169</v>
      </c>
      <c r="J220" s="84">
        <f t="shared" si="69"/>
        <v>11591.29272187348</v>
      </c>
      <c r="K220" s="82"/>
      <c r="L220" s="84">
        <f t="shared" si="73"/>
        <v>10221452.312380718</v>
      </c>
      <c r="M220" s="84">
        <f t="shared" si="74"/>
        <v>924481.4444941245</v>
      </c>
      <c r="N220" s="84">
        <f t="shared" si="75"/>
        <v>11399.29272187348</v>
      </c>
      <c r="O220" s="82"/>
      <c r="P220" s="84">
        <f t="shared" si="76"/>
        <v>10221450.888083765</v>
      </c>
      <c r="Q220" s="84">
        <f t="shared" si="77"/>
        <v>924481.46947452938</v>
      </c>
      <c r="R220" s="84">
        <f t="shared" si="78"/>
        <v>11399.29272187348</v>
      </c>
      <c r="S220" s="82"/>
      <c r="T220" s="90">
        <f t="shared" si="79"/>
        <v>1.4245159986247702</v>
      </c>
      <c r="U220" s="82"/>
      <c r="V220" s="84">
        <f t="shared" si="80"/>
        <v>-7576.0476192813367</v>
      </c>
      <c r="W220" s="84">
        <f t="shared" si="81"/>
        <v>132.87449412455317</v>
      </c>
      <c r="X220" s="84">
        <f t="shared" si="82"/>
        <v>11591.29272187348</v>
      </c>
      <c r="Y220" s="84"/>
      <c r="Z220" s="84">
        <f t="shared" si="83"/>
        <v>-7576.047619281695</v>
      </c>
      <c r="AA220" s="84">
        <f t="shared" si="84"/>
        <v>132.87449412453765</v>
      </c>
      <c r="AB220" s="84">
        <f t="shared" si="85"/>
        <v>11591.29272187348</v>
      </c>
      <c r="AC220" s="84">
        <f t="shared" si="70"/>
        <v>-7576.0627714072371</v>
      </c>
      <c r="AD220" s="84">
        <f t="shared" si="71"/>
        <v>132.87475987405739</v>
      </c>
      <c r="AE220" s="84">
        <f t="shared" si="72"/>
        <v>11591.315904505289</v>
      </c>
      <c r="AF220" s="83"/>
      <c r="AG220" s="87">
        <f t="shared" si="86"/>
        <v>7.1304136347773676E-10</v>
      </c>
    </row>
    <row r="221" spans="1:33" x14ac:dyDescent="0.2">
      <c r="A221" s="89">
        <v>3354.0999999999899</v>
      </c>
      <c r="B221" s="89">
        <v>1.6</v>
      </c>
      <c r="C221" s="89">
        <v>301.8</v>
      </c>
      <c r="D221" s="88">
        <v>-7605.4546946078663</v>
      </c>
      <c r="E221" s="88">
        <v>206.6218543715857</v>
      </c>
      <c r="F221" s="88">
        <v>11645.273556343242</v>
      </c>
      <c r="G221" s="82"/>
      <c r="H221" s="84">
        <f t="shared" si="67"/>
        <v>-7605.4394836984775</v>
      </c>
      <c r="I221" s="84">
        <f t="shared" si="68"/>
        <v>206.62144112787698</v>
      </c>
      <c r="J221" s="84">
        <f t="shared" si="69"/>
        <v>11645.25026579613</v>
      </c>
      <c r="K221" s="82"/>
      <c r="L221" s="84">
        <f t="shared" si="73"/>
        <v>10221422.920516301</v>
      </c>
      <c r="M221" s="84">
        <f t="shared" si="74"/>
        <v>924555.1914411278</v>
      </c>
      <c r="N221" s="84">
        <f t="shared" si="75"/>
        <v>11453.25026579613</v>
      </c>
      <c r="O221" s="82"/>
      <c r="P221" s="84">
        <f t="shared" si="76"/>
        <v>10221421.490693677</v>
      </c>
      <c r="Q221" s="84">
        <f t="shared" si="77"/>
        <v>924555.23028595874</v>
      </c>
      <c r="R221" s="84">
        <f t="shared" si="78"/>
        <v>11453.25026579613</v>
      </c>
      <c r="S221" s="82"/>
      <c r="T221" s="90">
        <f t="shared" si="79"/>
        <v>1.4303501865696908</v>
      </c>
      <c r="U221" s="82"/>
      <c r="V221" s="84">
        <f t="shared" si="80"/>
        <v>-7605.4394836984575</v>
      </c>
      <c r="W221" s="84">
        <f t="shared" si="81"/>
        <v>206.62144112784881</v>
      </c>
      <c r="X221" s="84">
        <f t="shared" si="82"/>
        <v>11645.25026579613</v>
      </c>
      <c r="Y221" s="82"/>
      <c r="Z221" s="84">
        <f t="shared" si="83"/>
        <v>-7605.4394836992515</v>
      </c>
      <c r="AA221" s="84">
        <f t="shared" si="84"/>
        <v>206.62144112785538</v>
      </c>
      <c r="AB221" s="84">
        <f t="shared" si="85"/>
        <v>11645.25026579613</v>
      </c>
      <c r="AC221" s="84">
        <f t="shared" si="70"/>
        <v>-7605.4546946086402</v>
      </c>
      <c r="AD221" s="84">
        <f t="shared" si="71"/>
        <v>206.6218543715641</v>
      </c>
      <c r="AE221" s="84">
        <f t="shared" si="72"/>
        <v>11645.273556343242</v>
      </c>
      <c r="AF221" s="82"/>
      <c r="AG221" s="87">
        <f t="shared" si="86"/>
        <v>7.7428134961122713E-10</v>
      </c>
    </row>
    <row r="222" spans="1:33" x14ac:dyDescent="0.2">
      <c r="A222" s="89">
        <v>3354.1999999999898</v>
      </c>
      <c r="B222" s="89">
        <v>1.6</v>
      </c>
      <c r="C222" s="89">
        <v>301.8</v>
      </c>
      <c r="D222" s="88">
        <v>-7630.9393410096718</v>
      </c>
      <c r="E222" s="88">
        <v>282.22824335791665</v>
      </c>
      <c r="F222" s="88">
        <v>11698.649772197743</v>
      </c>
      <c r="G222" s="82"/>
      <c r="H222" s="84">
        <f t="shared" si="67"/>
        <v>-7630.9240791309903</v>
      </c>
      <c r="I222" s="84">
        <f t="shared" si="68"/>
        <v>282.22767890142995</v>
      </c>
      <c r="J222" s="84">
        <f t="shared" si="69"/>
        <v>11698.6263748982</v>
      </c>
      <c r="K222" s="82"/>
      <c r="L222" s="84">
        <f t="shared" si="73"/>
        <v>10221397.435920868</v>
      </c>
      <c r="M222" s="84">
        <f t="shared" si="74"/>
        <v>924630.79767890135</v>
      </c>
      <c r="N222" s="84">
        <f t="shared" si="75"/>
        <v>11506.6263748982</v>
      </c>
      <c r="O222" s="82"/>
      <c r="P222" s="84">
        <f t="shared" si="76"/>
        <v>10221396.001307141</v>
      </c>
      <c r="Q222" s="84">
        <f t="shared" si="77"/>
        <v>924630.85073770501</v>
      </c>
      <c r="R222" s="84">
        <f t="shared" si="78"/>
        <v>11506.6263748982</v>
      </c>
      <c r="S222" s="82"/>
      <c r="T222" s="90">
        <f t="shared" si="79"/>
        <v>1.4355945745363219</v>
      </c>
      <c r="U222" s="82"/>
      <c r="V222" s="84">
        <f t="shared" si="80"/>
        <v>-7630.924079131335</v>
      </c>
      <c r="W222" s="84">
        <f t="shared" si="81"/>
        <v>282.22767890139949</v>
      </c>
      <c r="X222" s="84">
        <f t="shared" si="82"/>
        <v>11698.6263748982</v>
      </c>
      <c r="Y222" s="84"/>
      <c r="Z222" s="84">
        <f t="shared" si="83"/>
        <v>-7630.9240791314905</v>
      </c>
      <c r="AA222" s="84">
        <f t="shared" si="84"/>
        <v>282.22767890142956</v>
      </c>
      <c r="AB222" s="84">
        <f t="shared" si="85"/>
        <v>11698.6263748982</v>
      </c>
      <c r="AC222" s="84">
        <f t="shared" si="70"/>
        <v>-7630.9393410101711</v>
      </c>
      <c r="AD222" s="84">
        <f t="shared" si="71"/>
        <v>282.22824335791626</v>
      </c>
      <c r="AE222" s="84">
        <f t="shared" si="72"/>
        <v>11698.649772197743</v>
      </c>
      <c r="AF222" s="83"/>
      <c r="AG222" s="87">
        <f t="shared" si="86"/>
        <v>4.9931274981882269E-10</v>
      </c>
    </row>
    <row r="223" spans="1:33" x14ac:dyDescent="0.2">
      <c r="A223" s="89">
        <v>3354.2999999999902</v>
      </c>
      <c r="B223" s="89">
        <v>1.6</v>
      </c>
      <c r="C223" s="89">
        <v>301.8</v>
      </c>
      <c r="D223" s="88">
        <v>-7652.8674297157258</v>
      </c>
      <c r="E223" s="88">
        <v>359.27324959947993</v>
      </c>
      <c r="F223" s="88">
        <v>11751.545124758759</v>
      </c>
      <c r="G223" s="82"/>
      <c r="H223" s="84">
        <f t="shared" si="67"/>
        <v>-7652.852123980867</v>
      </c>
      <c r="I223" s="84">
        <f t="shared" si="68"/>
        <v>359.27253105298075</v>
      </c>
      <c r="J223" s="84">
        <f t="shared" si="69"/>
        <v>11751.521621668511</v>
      </c>
      <c r="K223" s="82"/>
      <c r="L223" s="84">
        <f t="shared" si="73"/>
        <v>10221375.507876018</v>
      </c>
      <c r="M223" s="84">
        <f t="shared" si="74"/>
        <v>924707.84253105288</v>
      </c>
      <c r="N223" s="84">
        <f t="shared" si="75"/>
        <v>11559.521621668511</v>
      </c>
      <c r="O223" s="82"/>
      <c r="P223" s="84">
        <f t="shared" si="76"/>
        <v>10221374.06913982</v>
      </c>
      <c r="Q223" s="84">
        <f t="shared" si="77"/>
        <v>924707.91007428872</v>
      </c>
      <c r="R223" s="84">
        <f t="shared" si="78"/>
        <v>11559.521621668511</v>
      </c>
      <c r="S223" s="82"/>
      <c r="T223" s="90">
        <f t="shared" si="79"/>
        <v>1.4403207759022545</v>
      </c>
      <c r="U223" s="82"/>
      <c r="V223" s="84">
        <f t="shared" si="80"/>
        <v>-7652.8521239813417</v>
      </c>
      <c r="W223" s="84">
        <f t="shared" si="81"/>
        <v>359.27253105293494</v>
      </c>
      <c r="X223" s="84">
        <f t="shared" si="82"/>
        <v>11751.521621668511</v>
      </c>
      <c r="Y223" s="82"/>
      <c r="Z223" s="84">
        <f t="shared" si="83"/>
        <v>-7652.8521239805032</v>
      </c>
      <c r="AA223" s="84">
        <f t="shared" si="84"/>
        <v>359.27253105293721</v>
      </c>
      <c r="AB223" s="84">
        <f t="shared" si="85"/>
        <v>11751.521621668511</v>
      </c>
      <c r="AC223" s="84">
        <f t="shared" si="70"/>
        <v>-7652.8674297153611</v>
      </c>
      <c r="AD223" s="84">
        <f t="shared" si="71"/>
        <v>359.27324959943638</v>
      </c>
      <c r="AE223" s="84">
        <f t="shared" si="72"/>
        <v>11751.545124758759</v>
      </c>
      <c r="AF223" s="82"/>
      <c r="AG223" s="87">
        <f t="shared" si="86"/>
        <v>3.6729740070929989E-10</v>
      </c>
    </row>
    <row r="224" spans="1:33" x14ac:dyDescent="0.2">
      <c r="A224" s="89">
        <v>3354.3999999999901</v>
      </c>
      <c r="B224" s="89">
        <v>1.6</v>
      </c>
      <c r="C224" s="89">
        <v>301.8</v>
      </c>
      <c r="D224" s="88">
        <v>-7670.8083344810339</v>
      </c>
      <c r="E224" s="88">
        <v>437.8366996230904</v>
      </c>
      <c r="F224" s="88">
        <v>11803.699344715533</v>
      </c>
      <c r="G224" s="82"/>
      <c r="H224" s="84">
        <f t="shared" si="67"/>
        <v>-7670.7929928643662</v>
      </c>
      <c r="I224" s="84">
        <f t="shared" si="68"/>
        <v>437.83582394969125</v>
      </c>
      <c r="J224" s="84">
        <f t="shared" si="69"/>
        <v>11803.675737316846</v>
      </c>
      <c r="K224" s="82"/>
      <c r="L224" s="84">
        <f t="shared" si="73"/>
        <v>10221357.567007136</v>
      </c>
      <c r="M224" s="84">
        <f t="shared" si="74"/>
        <v>924786.40582394961</v>
      </c>
      <c r="N224" s="84">
        <f t="shared" si="75"/>
        <v>11611.675737316846</v>
      </c>
      <c r="O224" s="82"/>
      <c r="P224" s="84">
        <f t="shared" si="76"/>
        <v>10221356.124898052</v>
      </c>
      <c r="Q224" s="84">
        <f t="shared" si="77"/>
        <v>924786.48813708453</v>
      </c>
      <c r="R224" s="84">
        <f t="shared" si="78"/>
        <v>11611.675737316846</v>
      </c>
      <c r="S224" s="82"/>
      <c r="T224" s="90">
        <f t="shared" si="79"/>
        <v>1.4444563204312424</v>
      </c>
      <c r="U224" s="82"/>
      <c r="V224" s="84">
        <f t="shared" si="80"/>
        <v>-7670.7929928638041</v>
      </c>
      <c r="W224" s="84">
        <f t="shared" si="81"/>
        <v>437.83582394965924</v>
      </c>
      <c r="X224" s="84">
        <f t="shared" si="82"/>
        <v>11803.675737316846</v>
      </c>
      <c r="Y224" s="84"/>
      <c r="Z224" s="84">
        <f t="shared" si="83"/>
        <v>-7670.7929928649019</v>
      </c>
      <c r="AA224" s="84">
        <f t="shared" si="84"/>
        <v>437.83582394967374</v>
      </c>
      <c r="AB224" s="84">
        <f t="shared" si="85"/>
        <v>11803.675737316846</v>
      </c>
      <c r="AC224" s="84">
        <f t="shared" si="70"/>
        <v>-7670.8083344815695</v>
      </c>
      <c r="AD224" s="84">
        <f t="shared" si="71"/>
        <v>437.836699623073</v>
      </c>
      <c r="AE224" s="84">
        <f t="shared" si="72"/>
        <v>11803.699344715533</v>
      </c>
      <c r="AF224" s="83"/>
      <c r="AG224" s="87">
        <f t="shared" si="86"/>
        <v>5.3597470044886192E-10</v>
      </c>
    </row>
    <row r="225" spans="1:33" x14ac:dyDescent="0.2">
      <c r="A225" s="89">
        <v>3354.49999999999</v>
      </c>
      <c r="B225" s="89">
        <v>1.6</v>
      </c>
      <c r="C225" s="89">
        <v>301.8</v>
      </c>
      <c r="D225" s="88">
        <v>-7684.9326582618651</v>
      </c>
      <c r="E225" s="88">
        <v>517.95392085153844</v>
      </c>
      <c r="F225" s="88">
        <v>11854.654847884769</v>
      </c>
      <c r="G225" s="82"/>
      <c r="H225" s="84">
        <f t="shared" si="67"/>
        <v>-7684.9172883965502</v>
      </c>
      <c r="I225" s="84">
        <f t="shared" si="68"/>
        <v>517.95288494369686</v>
      </c>
      <c r="J225" s="84">
        <f t="shared" si="69"/>
        <v>11854.631138575074</v>
      </c>
      <c r="K225" s="82"/>
      <c r="L225" s="84">
        <f t="shared" si="73"/>
        <v>10221343.442711603</v>
      </c>
      <c r="M225" s="84">
        <f t="shared" si="74"/>
        <v>924866.52288494364</v>
      </c>
      <c r="N225" s="84">
        <f t="shared" si="75"/>
        <v>11662.631138575074</v>
      </c>
      <c r="O225" s="82"/>
      <c r="P225" s="84">
        <f t="shared" si="76"/>
        <v>10221341.997947153</v>
      </c>
      <c r="Q225" s="84">
        <f t="shared" si="77"/>
        <v>924866.62026008603</v>
      </c>
      <c r="R225" s="84">
        <f t="shared" si="78"/>
        <v>11662.631138575074</v>
      </c>
      <c r="S225" s="82"/>
      <c r="T225" s="90">
        <f t="shared" si="79"/>
        <v>1.4480422075668196</v>
      </c>
      <c r="U225" s="82"/>
      <c r="V225" s="84">
        <f t="shared" si="80"/>
        <v>-7684.9172883965075</v>
      </c>
      <c r="W225" s="84">
        <f t="shared" si="81"/>
        <v>517.95288494369015</v>
      </c>
      <c r="X225" s="84">
        <f t="shared" si="82"/>
        <v>11854.631138575074</v>
      </c>
      <c r="Y225" s="82"/>
      <c r="Z225" s="84">
        <f t="shared" si="83"/>
        <v>-7684.9172883964811</v>
      </c>
      <c r="AA225" s="84">
        <f t="shared" si="84"/>
        <v>517.9528849437088</v>
      </c>
      <c r="AB225" s="84">
        <f t="shared" si="85"/>
        <v>11854.631138575074</v>
      </c>
      <c r="AC225" s="84">
        <f t="shared" si="70"/>
        <v>-7684.9326582617969</v>
      </c>
      <c r="AD225" s="84">
        <f t="shared" si="71"/>
        <v>517.95392085155038</v>
      </c>
      <c r="AE225" s="84">
        <f t="shared" si="72"/>
        <v>11854.654847884769</v>
      </c>
      <c r="AF225" s="82"/>
      <c r="AG225" s="87">
        <f t="shared" si="86"/>
        <v>6.9248723676470101E-11</v>
      </c>
    </row>
    <row r="226" spans="1:33" x14ac:dyDescent="0.2">
      <c r="A226" s="89">
        <v>3354.5999999999899</v>
      </c>
      <c r="B226" s="89">
        <v>1.6</v>
      </c>
      <c r="C226" s="89">
        <v>301.8</v>
      </c>
      <c r="D226" s="88">
        <v>-7696.0029484931874</v>
      </c>
      <c r="E226" s="88">
        <v>600.33215056029735</v>
      </c>
      <c r="F226" s="88">
        <v>11904.646331980595</v>
      </c>
      <c r="G226" s="82"/>
      <c r="H226" s="84">
        <f t="shared" ref="H226:H245" si="87">D226*F$10/F$20</f>
        <v>-7695.9875564872909</v>
      </c>
      <c r="I226" s="84">
        <f t="shared" ref="I226:I245" si="88">E226*F$10/F$20</f>
        <v>600.33094989599635</v>
      </c>
      <c r="J226" s="84">
        <f t="shared" ref="J226:J245" si="89">F226*F$10/F$14</f>
        <v>11904.622522687932</v>
      </c>
      <c r="K226" s="82"/>
      <c r="L226" s="84">
        <f t="shared" si="73"/>
        <v>10221332.372443512</v>
      </c>
      <c r="M226" s="84">
        <f t="shared" si="74"/>
        <v>924948.90094989596</v>
      </c>
      <c r="N226" s="84">
        <f t="shared" si="75"/>
        <v>11712.622522687932</v>
      </c>
      <c r="O226" s="82"/>
      <c r="P226" s="84">
        <f t="shared" si="76"/>
        <v>10221330.925597852</v>
      </c>
      <c r="Q226" s="84">
        <f t="shared" si="77"/>
        <v>924949.01381211448</v>
      </c>
      <c r="R226" s="84">
        <f t="shared" si="78"/>
        <v>11712.622522687932</v>
      </c>
      <c r="S226" s="82"/>
      <c r="T226" s="90">
        <f t="shared" si="79"/>
        <v>1.4512409325091808</v>
      </c>
      <c r="U226" s="82"/>
      <c r="V226" s="84">
        <f t="shared" si="80"/>
        <v>-7695.9875564873219</v>
      </c>
      <c r="W226" s="84">
        <f t="shared" si="81"/>
        <v>600.33094989601523</v>
      </c>
      <c r="X226" s="84">
        <f t="shared" si="82"/>
        <v>11904.622522687932</v>
      </c>
      <c r="Y226" s="84"/>
      <c r="Z226" s="84">
        <f t="shared" si="83"/>
        <v>-7695.9875564866879</v>
      </c>
      <c r="AA226" s="84">
        <f t="shared" si="84"/>
        <v>600.33094989595531</v>
      </c>
      <c r="AB226" s="84">
        <f t="shared" si="85"/>
        <v>11904.622522687932</v>
      </c>
      <c r="AC226" s="84">
        <f t="shared" si="70"/>
        <v>-7696.0029484925844</v>
      </c>
      <c r="AD226" s="84">
        <f t="shared" si="71"/>
        <v>600.33215056025631</v>
      </c>
      <c r="AE226" s="84">
        <f t="shared" si="72"/>
        <v>11904.646331980595</v>
      </c>
      <c r="AF226" s="83"/>
      <c r="AG226" s="87">
        <f t="shared" si="86"/>
        <v>6.0439003476755798E-10</v>
      </c>
    </row>
    <row r="227" spans="1:33" x14ac:dyDescent="0.2">
      <c r="A227" s="89">
        <v>3354.6999999999898</v>
      </c>
      <c r="B227" s="89">
        <v>1.6</v>
      </c>
      <c r="C227" s="89">
        <v>301.8</v>
      </c>
      <c r="D227" s="88">
        <v>-7703.7190885606888</v>
      </c>
      <c r="E227" s="88">
        <v>684.01637159729114</v>
      </c>
      <c r="F227" s="88">
        <v>11953.071063398078</v>
      </c>
      <c r="G227" s="82"/>
      <c r="H227" s="84">
        <f t="shared" si="87"/>
        <v>-7703.7036811225125</v>
      </c>
      <c r="I227" s="84">
        <f t="shared" si="88"/>
        <v>684.01500356454801</v>
      </c>
      <c r="J227" s="84">
        <f t="shared" si="89"/>
        <v>11953.047157255951</v>
      </c>
      <c r="K227" s="82"/>
      <c r="L227" s="84">
        <f t="shared" si="73"/>
        <v>10221324.656318877</v>
      </c>
      <c r="M227" s="84">
        <f t="shared" si="74"/>
        <v>925032.58500356448</v>
      </c>
      <c r="N227" s="84">
        <f t="shared" si="75"/>
        <v>11761.047157255951</v>
      </c>
      <c r="O227" s="82"/>
      <c r="P227" s="84">
        <f t="shared" si="76"/>
        <v>10221323.208022585</v>
      </c>
      <c r="Q227" s="84">
        <f t="shared" si="77"/>
        <v>925032.71359838522</v>
      </c>
      <c r="R227" s="84">
        <f t="shared" si="78"/>
        <v>11761.047157255951</v>
      </c>
      <c r="S227" s="82"/>
      <c r="T227" s="90">
        <f t="shared" si="79"/>
        <v>1.453994077232686</v>
      </c>
      <c r="U227" s="82"/>
      <c r="V227" s="84">
        <f t="shared" si="80"/>
        <v>-7703.7036811225116</v>
      </c>
      <c r="W227" s="84">
        <f t="shared" si="81"/>
        <v>684.01500356453471</v>
      </c>
      <c r="X227" s="84">
        <f t="shared" si="82"/>
        <v>11953.047157255951</v>
      </c>
      <c r="Y227" s="82"/>
      <c r="Z227" s="84">
        <f t="shared" si="83"/>
        <v>-7703.7036811222133</v>
      </c>
      <c r="AA227" s="84">
        <f t="shared" si="84"/>
        <v>684.01500356460144</v>
      </c>
      <c r="AB227" s="84">
        <f t="shared" si="85"/>
        <v>11953.047157255951</v>
      </c>
      <c r="AC227" s="84">
        <f t="shared" ref="AC227:AC246" si="90">Z227*F$20/F$10</f>
        <v>-7703.7190885603886</v>
      </c>
      <c r="AD227" s="84">
        <f t="shared" ref="AD227:AD246" si="91">AA227*F$20/F$10</f>
        <v>684.01637159734457</v>
      </c>
      <c r="AE227" s="84">
        <f t="shared" ref="AE227:AE246" si="92">AB227*F$14/F$10</f>
        <v>11953.071063398076</v>
      </c>
      <c r="AF227" s="82"/>
      <c r="AG227" s="87">
        <f t="shared" si="86"/>
        <v>3.0485790626534516E-10</v>
      </c>
    </row>
    <row r="228" spans="1:33" x14ac:dyDescent="0.2">
      <c r="A228" s="89">
        <v>3354.7999999999902</v>
      </c>
      <c r="B228" s="89">
        <v>1.6</v>
      </c>
      <c r="C228" s="89">
        <v>301.8</v>
      </c>
      <c r="D228" s="88">
        <v>-7707.7078870819914</v>
      </c>
      <c r="E228" s="88">
        <v>767.77696042255229</v>
      </c>
      <c r="F228" s="88">
        <v>11999.794086104415</v>
      </c>
      <c r="G228" s="82"/>
      <c r="H228" s="84">
        <f t="shared" si="87"/>
        <v>-7707.6924716662179</v>
      </c>
      <c r="I228" s="84">
        <f t="shared" si="88"/>
        <v>767.77542486863149</v>
      </c>
      <c r="J228" s="84">
        <f t="shared" si="89"/>
        <v>11999.770086516244</v>
      </c>
      <c r="K228" s="82"/>
      <c r="L228" s="84">
        <f t="shared" si="73"/>
        <v>10221320.667528333</v>
      </c>
      <c r="M228" s="84">
        <f t="shared" si="74"/>
        <v>925116.34542486863</v>
      </c>
      <c r="N228" s="84">
        <f t="shared" si="75"/>
        <v>11807.770086516244</v>
      </c>
      <c r="O228" s="82"/>
      <c r="P228" s="84">
        <f t="shared" si="76"/>
        <v>10221319.218482148</v>
      </c>
      <c r="Q228" s="84">
        <f t="shared" si="77"/>
        <v>925116.4897666485</v>
      </c>
      <c r="R228" s="84">
        <f t="shared" si="78"/>
        <v>11807.770086516244</v>
      </c>
      <c r="S228" s="82"/>
      <c r="T228" s="90">
        <f t="shared" si="79"/>
        <v>1.4562174962469963</v>
      </c>
      <c r="U228" s="82"/>
      <c r="V228" s="84">
        <f t="shared" si="80"/>
        <v>-7707.6924716662616</v>
      </c>
      <c r="W228" s="84">
        <f t="shared" si="81"/>
        <v>767.77542486868333</v>
      </c>
      <c r="X228" s="84">
        <f t="shared" si="82"/>
        <v>11999.770086516244</v>
      </c>
      <c r="Y228" s="84"/>
      <c r="Z228" s="84">
        <f t="shared" si="83"/>
        <v>-7707.6924716668282</v>
      </c>
      <c r="AA228" s="84">
        <f t="shared" si="84"/>
        <v>767.77542486868072</v>
      </c>
      <c r="AB228" s="84">
        <f t="shared" si="85"/>
        <v>11999.770086516244</v>
      </c>
      <c r="AC228" s="84">
        <f t="shared" si="90"/>
        <v>-7707.7078870826017</v>
      </c>
      <c r="AD228" s="84">
        <f t="shared" si="91"/>
        <v>767.77696042260152</v>
      </c>
      <c r="AE228" s="84">
        <f t="shared" si="92"/>
        <v>11999.794086104415</v>
      </c>
      <c r="AF228" s="83"/>
      <c r="AG228" s="87">
        <f t="shared" si="86"/>
        <v>6.1225310510087158E-10</v>
      </c>
    </row>
    <row r="229" spans="1:33" x14ac:dyDescent="0.2">
      <c r="A229" s="89">
        <v>3354.8999999999901</v>
      </c>
      <c r="B229" s="89">
        <v>1.6</v>
      </c>
      <c r="C229" s="89">
        <v>301.8</v>
      </c>
      <c r="D229" s="88">
        <v>-7707.5884603332206</v>
      </c>
      <c r="E229" s="88">
        <v>852.19557683744779</v>
      </c>
      <c r="F229" s="88">
        <v>12045.484283544454</v>
      </c>
      <c r="G229" s="82"/>
      <c r="H229" s="84">
        <f t="shared" si="87"/>
        <v>-7707.5730451563013</v>
      </c>
      <c r="I229" s="84">
        <f t="shared" si="88"/>
        <v>852.19387244629411</v>
      </c>
      <c r="J229" s="84">
        <f t="shared" si="89"/>
        <v>12045.460192575889</v>
      </c>
      <c r="K229" s="82"/>
      <c r="L229" s="84">
        <f t="shared" si="73"/>
        <v>10221320.786954843</v>
      </c>
      <c r="M229" s="84">
        <f t="shared" si="74"/>
        <v>925200.76387244626</v>
      </c>
      <c r="N229" s="84">
        <f t="shared" si="75"/>
        <v>11853.460192575889</v>
      </c>
      <c r="O229" s="82"/>
      <c r="P229" s="84">
        <f t="shared" si="76"/>
        <v>10221319.337931111</v>
      </c>
      <c r="Q229" s="84">
        <f t="shared" si="77"/>
        <v>925200.92408489424</v>
      </c>
      <c r="R229" s="84">
        <f t="shared" si="78"/>
        <v>11853.460192575889</v>
      </c>
      <c r="S229" s="82"/>
      <c r="T229" s="90">
        <f t="shared" si="79"/>
        <v>1.4578538341147818</v>
      </c>
      <c r="U229" s="82"/>
      <c r="V229" s="84">
        <f t="shared" si="80"/>
        <v>-7707.5730451568961</v>
      </c>
      <c r="W229" s="84">
        <f t="shared" si="81"/>
        <v>852.19387244631071</v>
      </c>
      <c r="X229" s="84">
        <f t="shared" si="82"/>
        <v>12045.460192575889</v>
      </c>
      <c r="Y229" s="82"/>
      <c r="Z229" s="84">
        <f t="shared" si="83"/>
        <v>-7707.5730451554591</v>
      </c>
      <c r="AA229" s="84">
        <f t="shared" si="84"/>
        <v>852.19387244627399</v>
      </c>
      <c r="AB229" s="84">
        <f t="shared" si="85"/>
        <v>12045.460192575889</v>
      </c>
      <c r="AC229" s="84">
        <f t="shared" si="90"/>
        <v>-7707.5884603323784</v>
      </c>
      <c r="AD229" s="84">
        <f t="shared" si="91"/>
        <v>852.19557683742755</v>
      </c>
      <c r="AE229" s="84">
        <f t="shared" si="92"/>
        <v>12045.484283544454</v>
      </c>
      <c r="AF229" s="82"/>
      <c r="AG229" s="87">
        <f t="shared" si="86"/>
        <v>8.4243517794042881E-10</v>
      </c>
    </row>
    <row r="230" spans="1:33" x14ac:dyDescent="0.2">
      <c r="A230" s="89">
        <v>3354.99999999999</v>
      </c>
      <c r="B230" s="89">
        <v>1.6</v>
      </c>
      <c r="C230" s="89">
        <v>301.8</v>
      </c>
      <c r="D230" s="88">
        <v>-7703.1557822135255</v>
      </c>
      <c r="E230" s="88">
        <v>938.05856159564928</v>
      </c>
      <c r="F230" s="88">
        <v>12090.377384848483</v>
      </c>
      <c r="G230" s="82"/>
      <c r="H230" s="84">
        <f t="shared" si="87"/>
        <v>-7703.1403759019622</v>
      </c>
      <c r="I230" s="84">
        <f t="shared" si="88"/>
        <v>938.05668547852622</v>
      </c>
      <c r="J230" s="84">
        <f t="shared" si="89"/>
        <v>12090.353204093715</v>
      </c>
      <c r="K230" s="82"/>
      <c r="L230" s="84">
        <f t="shared" si="73"/>
        <v>10221325.219624097</v>
      </c>
      <c r="M230" s="84">
        <f t="shared" si="74"/>
        <v>925286.62668547849</v>
      </c>
      <c r="N230" s="84">
        <f t="shared" si="75"/>
        <v>11898.353204093715</v>
      </c>
      <c r="O230" s="82"/>
      <c r="P230" s="84">
        <f t="shared" si="76"/>
        <v>10221323.771433707</v>
      </c>
      <c r="Q230" s="84">
        <f t="shared" si="77"/>
        <v>925286.8030401353</v>
      </c>
      <c r="R230" s="84">
        <f t="shared" si="78"/>
        <v>11898.353204093715</v>
      </c>
      <c r="S230" s="82"/>
      <c r="T230" s="90">
        <f t="shared" si="79"/>
        <v>1.4588887443369887</v>
      </c>
      <c r="U230" s="82"/>
      <c r="V230" s="84">
        <f t="shared" si="80"/>
        <v>-7703.1403759028763</v>
      </c>
      <c r="W230" s="84">
        <f t="shared" si="81"/>
        <v>938.05668547854293</v>
      </c>
      <c r="X230" s="84">
        <f t="shared" si="82"/>
        <v>12090.353204093715</v>
      </c>
      <c r="Y230" s="84"/>
      <c r="Z230" s="84">
        <f t="shared" si="83"/>
        <v>-7703.1403759014074</v>
      </c>
      <c r="AA230" s="84">
        <f t="shared" si="84"/>
        <v>938.05668547848381</v>
      </c>
      <c r="AB230" s="84">
        <f t="shared" si="85"/>
        <v>12090.353204093715</v>
      </c>
      <c r="AC230" s="84">
        <f t="shared" si="90"/>
        <v>-7703.1557822129707</v>
      </c>
      <c r="AD230" s="84">
        <f t="shared" si="91"/>
        <v>938.05856159560676</v>
      </c>
      <c r="AE230" s="84">
        <f t="shared" si="92"/>
        <v>12090.377384848483</v>
      </c>
      <c r="AF230" s="83"/>
      <c r="AG230" s="87">
        <f t="shared" si="86"/>
        <v>5.5641869204629034E-10</v>
      </c>
    </row>
    <row r="231" spans="1:33" x14ac:dyDescent="0.2">
      <c r="A231" s="89">
        <v>3355.0999999999899</v>
      </c>
      <c r="B231" s="89">
        <v>1.6</v>
      </c>
      <c r="C231" s="89">
        <v>301.8</v>
      </c>
      <c r="D231" s="88">
        <v>-7694.7498818709482</v>
      </c>
      <c r="E231" s="88">
        <v>1023.4651373310749</v>
      </c>
      <c r="F231" s="88">
        <v>12133.382869037694</v>
      </c>
      <c r="G231" s="82"/>
      <c r="H231" s="84">
        <f t="shared" si="87"/>
        <v>-7694.7344923711844</v>
      </c>
      <c r="I231" s="84">
        <f t="shared" si="88"/>
        <v>1023.4630904008003</v>
      </c>
      <c r="J231" s="84">
        <f t="shared" si="89"/>
        <v>12133.358602271957</v>
      </c>
      <c r="K231" s="82"/>
      <c r="L231" s="84">
        <f t="shared" si="73"/>
        <v>10221333.625507629</v>
      </c>
      <c r="M231" s="84">
        <f t="shared" si="74"/>
        <v>925372.03309040074</v>
      </c>
      <c r="N231" s="84">
        <f t="shared" si="75"/>
        <v>11941.358602271957</v>
      </c>
      <c r="O231" s="82"/>
      <c r="P231" s="84">
        <f t="shared" si="76"/>
        <v>10221332.178897543</v>
      </c>
      <c r="Q231" s="84">
        <f t="shared" si="77"/>
        <v>925372.22550146177</v>
      </c>
      <c r="R231" s="84">
        <f t="shared" si="78"/>
        <v>11941.358602271957</v>
      </c>
      <c r="S231" s="82"/>
      <c r="T231" s="90">
        <f t="shared" si="79"/>
        <v>1.4593501143854004</v>
      </c>
      <c r="U231" s="82"/>
      <c r="V231" s="84">
        <f t="shared" si="80"/>
        <v>-7694.7344923708588</v>
      </c>
      <c r="W231" s="84">
        <f t="shared" si="81"/>
        <v>1023.4630904007936</v>
      </c>
      <c r="X231" s="84">
        <f t="shared" si="82"/>
        <v>12133.358602271957</v>
      </c>
      <c r="Y231" s="82"/>
      <c r="Z231" s="84">
        <f t="shared" si="83"/>
        <v>-7694.7344923719584</v>
      </c>
      <c r="AA231" s="84">
        <f t="shared" si="84"/>
        <v>1023.4630904008252</v>
      </c>
      <c r="AB231" s="84">
        <f t="shared" si="85"/>
        <v>12133.358602271957</v>
      </c>
      <c r="AC231" s="84">
        <f t="shared" si="90"/>
        <v>-7694.7498818717204</v>
      </c>
      <c r="AD231" s="84">
        <f t="shared" si="91"/>
        <v>1023.4651373310999</v>
      </c>
      <c r="AE231" s="84">
        <f t="shared" si="92"/>
        <v>12133.382869037694</v>
      </c>
      <c r="AF231" s="82"/>
      <c r="AG231" s="87">
        <f t="shared" si="86"/>
        <v>7.7256596355720859E-10</v>
      </c>
    </row>
    <row r="232" spans="1:33" x14ac:dyDescent="0.2">
      <c r="A232" s="89">
        <v>3355.1999999999898</v>
      </c>
      <c r="B232" s="89">
        <v>1.6</v>
      </c>
      <c r="C232" s="89">
        <v>301.8</v>
      </c>
      <c r="D232" s="88">
        <v>-7682.1107169372772</v>
      </c>
      <c r="E232" s="88">
        <v>1109.0997788538539</v>
      </c>
      <c r="F232" s="88">
        <v>12174.869699491055</v>
      </c>
      <c r="G232" s="82"/>
      <c r="H232" s="84">
        <f t="shared" si="87"/>
        <v>-7682.0953527158445</v>
      </c>
      <c r="I232" s="84">
        <f t="shared" si="88"/>
        <v>1109.0975606542963</v>
      </c>
      <c r="J232" s="84">
        <f t="shared" si="89"/>
        <v>12174.845349751657</v>
      </c>
      <c r="K232" s="82"/>
      <c r="L232" s="84">
        <f t="shared" si="73"/>
        <v>10221346.264647283</v>
      </c>
      <c r="M232" s="84">
        <f t="shared" si="74"/>
        <v>925457.66756065423</v>
      </c>
      <c r="N232" s="84">
        <f t="shared" si="75"/>
        <v>11982.845349751657</v>
      </c>
      <c r="O232" s="82"/>
      <c r="P232" s="84">
        <f t="shared" si="76"/>
        <v>10221344.820413357</v>
      </c>
      <c r="Q232" s="84">
        <f t="shared" si="77"/>
        <v>925457.8760709957</v>
      </c>
      <c r="R232" s="84">
        <f t="shared" si="78"/>
        <v>11982.845349751657</v>
      </c>
      <c r="S232" s="82"/>
      <c r="T232" s="90">
        <f t="shared" si="79"/>
        <v>1.4592080713688553</v>
      </c>
      <c r="U232" s="82"/>
      <c r="V232" s="84">
        <f t="shared" si="80"/>
        <v>-7682.0953527167439</v>
      </c>
      <c r="W232" s="84">
        <f t="shared" si="81"/>
        <v>1109.0975606542779</v>
      </c>
      <c r="X232" s="84">
        <f t="shared" si="82"/>
        <v>12174.845349751657</v>
      </c>
      <c r="Y232" s="84"/>
      <c r="Z232" s="84">
        <f t="shared" si="83"/>
        <v>-7682.0953527164456</v>
      </c>
      <c r="AA232" s="84">
        <f t="shared" si="84"/>
        <v>1109.0975606543468</v>
      </c>
      <c r="AB232" s="84">
        <f t="shared" si="85"/>
        <v>12174.845349751657</v>
      </c>
      <c r="AC232" s="84">
        <f t="shared" si="90"/>
        <v>-7682.1107169378784</v>
      </c>
      <c r="AD232" s="84">
        <f t="shared" si="91"/>
        <v>1109.0997788539044</v>
      </c>
      <c r="AE232" s="84">
        <f t="shared" si="92"/>
        <v>12174.869699491055</v>
      </c>
      <c r="AF232" s="83"/>
      <c r="AG232" s="87">
        <f t="shared" si="86"/>
        <v>6.0329139186557092E-10</v>
      </c>
    </row>
    <row r="233" spans="1:33" x14ac:dyDescent="0.2">
      <c r="A233" s="89">
        <v>3355.2999999999902</v>
      </c>
      <c r="B233" s="89">
        <v>1.6</v>
      </c>
      <c r="C233" s="89">
        <v>301.8</v>
      </c>
      <c r="D233" s="88">
        <v>-7667.1694799992856</v>
      </c>
      <c r="E233" s="88">
        <v>1193.9633721710015</v>
      </c>
      <c r="F233" s="88">
        <v>12214.868092484918</v>
      </c>
      <c r="G233" s="82"/>
      <c r="H233" s="84">
        <f t="shared" si="87"/>
        <v>-7667.1541456603263</v>
      </c>
      <c r="I233" s="84">
        <f t="shared" si="88"/>
        <v>1193.9609842442574</v>
      </c>
      <c r="J233" s="84">
        <f t="shared" si="89"/>
        <v>12214.843662748734</v>
      </c>
      <c r="K233" s="82"/>
      <c r="L233" s="84">
        <f t="shared" si="73"/>
        <v>10221361.20585434</v>
      </c>
      <c r="M233" s="84">
        <f t="shared" si="74"/>
        <v>925542.53098424419</v>
      </c>
      <c r="N233" s="84">
        <f t="shared" si="75"/>
        <v>12022.843662748734</v>
      </c>
      <c r="O233" s="82"/>
      <c r="P233" s="84">
        <f t="shared" si="76"/>
        <v>10221359.764429359</v>
      </c>
      <c r="Q233" s="84">
        <f t="shared" si="77"/>
        <v>925542.75544890924</v>
      </c>
      <c r="R233" s="84">
        <f t="shared" si="78"/>
        <v>12022.843662748734</v>
      </c>
      <c r="S233" s="82"/>
      <c r="T233" s="90">
        <f t="shared" si="79"/>
        <v>1.4587975736935399</v>
      </c>
      <c r="U233" s="82"/>
      <c r="V233" s="84">
        <f t="shared" si="80"/>
        <v>-7667.1541456598788</v>
      </c>
      <c r="W233" s="84">
        <f t="shared" si="81"/>
        <v>1193.9609842442442</v>
      </c>
      <c r="X233" s="84">
        <f t="shared" si="82"/>
        <v>12214.843662748734</v>
      </c>
      <c r="Y233" s="82"/>
      <c r="Z233" s="84">
        <f t="shared" si="83"/>
        <v>-7667.154145661254</v>
      </c>
      <c r="AA233" s="84">
        <f t="shared" si="84"/>
        <v>1193.9609842442567</v>
      </c>
      <c r="AB233" s="84">
        <f t="shared" si="85"/>
        <v>12214.843662748734</v>
      </c>
      <c r="AC233" s="84">
        <f t="shared" si="90"/>
        <v>-7667.1694800002142</v>
      </c>
      <c r="AD233" s="84">
        <f t="shared" si="91"/>
        <v>1193.9633721710011</v>
      </c>
      <c r="AE233" s="84">
        <f t="shared" si="92"/>
        <v>12214.868092484918</v>
      </c>
      <c r="AF233" s="82"/>
      <c r="AG233" s="87">
        <f t="shared" si="86"/>
        <v>9.2859420185867193E-10</v>
      </c>
    </row>
    <row r="234" spans="1:33" x14ac:dyDescent="0.2">
      <c r="A234" s="89">
        <v>3355.3999999999901</v>
      </c>
      <c r="B234" s="89">
        <v>1.6</v>
      </c>
      <c r="C234" s="89">
        <v>301.8</v>
      </c>
      <c r="D234" s="88">
        <v>-7650.2547271814283</v>
      </c>
      <c r="E234" s="88">
        <v>1280.6063801645455</v>
      </c>
      <c r="F234" s="88">
        <v>12255.057494067745</v>
      </c>
      <c r="G234" s="82"/>
      <c r="H234" s="84">
        <f t="shared" si="87"/>
        <v>-7650.2394266719748</v>
      </c>
      <c r="I234" s="84">
        <f t="shared" si="88"/>
        <v>1280.6038189517853</v>
      </c>
      <c r="J234" s="84">
        <f t="shared" si="89"/>
        <v>12255.032983952759</v>
      </c>
      <c r="K234" s="82"/>
      <c r="L234" s="84">
        <f t="shared" si="73"/>
        <v>10221378.120573327</v>
      </c>
      <c r="M234" s="84">
        <f t="shared" si="74"/>
        <v>925629.17381895171</v>
      </c>
      <c r="N234" s="84">
        <f t="shared" si="75"/>
        <v>12063.032983952759</v>
      </c>
      <c r="O234" s="82"/>
      <c r="P234" s="84">
        <f t="shared" si="76"/>
        <v>10221376.682328315</v>
      </c>
      <c r="Q234" s="84">
        <f t="shared" si="77"/>
        <v>925629.41457246966</v>
      </c>
      <c r="R234" s="84">
        <f t="shared" si="78"/>
        <v>12063.032983952759</v>
      </c>
      <c r="S234" s="82"/>
      <c r="T234" s="90">
        <f t="shared" si="79"/>
        <v>1.4582561398781411</v>
      </c>
      <c r="U234" s="82"/>
      <c r="V234" s="84">
        <f t="shared" si="80"/>
        <v>-7650.2394266724586</v>
      </c>
      <c r="W234" s="84">
        <f t="shared" si="81"/>
        <v>1280.6038189517567</v>
      </c>
      <c r="X234" s="84">
        <f t="shared" si="82"/>
        <v>12255.032983952759</v>
      </c>
      <c r="Y234" s="84"/>
      <c r="Z234" s="84">
        <f t="shared" si="83"/>
        <v>-7650.2394266717374</v>
      </c>
      <c r="AA234" s="84">
        <f t="shared" si="84"/>
        <v>1280.6038189517456</v>
      </c>
      <c r="AB234" s="84">
        <f t="shared" si="85"/>
        <v>12255.032983952759</v>
      </c>
      <c r="AC234" s="84">
        <f t="shared" si="90"/>
        <v>-7650.2547271811909</v>
      </c>
      <c r="AD234" s="84">
        <f t="shared" si="91"/>
        <v>1280.6063801645057</v>
      </c>
      <c r="AE234" s="84">
        <f t="shared" si="92"/>
        <v>12255.057494067745</v>
      </c>
      <c r="AF234" s="83"/>
      <c r="AG234" s="87">
        <f t="shared" si="86"/>
        <v>2.4068993726148914E-10</v>
      </c>
    </row>
    <row r="235" spans="1:33" x14ac:dyDescent="0.2">
      <c r="A235" s="89">
        <v>3355.49999999999</v>
      </c>
      <c r="B235" s="89">
        <v>1.6</v>
      </c>
      <c r="C235" s="89">
        <v>301.8</v>
      </c>
      <c r="D235" s="88">
        <v>-7630.0788391515043</v>
      </c>
      <c r="E235" s="88">
        <v>1367.0694753504281</v>
      </c>
      <c r="F235" s="88">
        <v>12294.104757584497</v>
      </c>
      <c r="G235" s="82"/>
      <c r="H235" s="84">
        <f t="shared" si="87"/>
        <v>-7630.0635789938269</v>
      </c>
      <c r="I235" s="84">
        <f t="shared" si="88"/>
        <v>1367.0667412114776</v>
      </c>
      <c r="J235" s="84">
        <f t="shared" si="89"/>
        <v>12294.080169374984</v>
      </c>
      <c r="K235" s="82"/>
      <c r="L235" s="84">
        <f t="shared" si="73"/>
        <v>10221398.296421006</v>
      </c>
      <c r="M235" s="84">
        <f t="shared" si="74"/>
        <v>925715.63674121141</v>
      </c>
      <c r="N235" s="84">
        <f t="shared" si="75"/>
        <v>12102.080169374984</v>
      </c>
      <c r="O235" s="82"/>
      <c r="P235" s="84">
        <f t="shared" si="76"/>
        <v>10221396.861969052</v>
      </c>
      <c r="Q235" s="84">
        <f t="shared" si="77"/>
        <v>925715.89374975872</v>
      </c>
      <c r="R235" s="84">
        <f t="shared" si="78"/>
        <v>12102.080169374984</v>
      </c>
      <c r="S235" s="82"/>
      <c r="T235" s="90">
        <f t="shared" si="79"/>
        <v>1.4572940001888433</v>
      </c>
      <c r="U235" s="82"/>
      <c r="V235" s="84">
        <f t="shared" si="80"/>
        <v>-7630.063578993082</v>
      </c>
      <c r="W235" s="84">
        <f t="shared" si="81"/>
        <v>1367.0667412114562</v>
      </c>
      <c r="X235" s="84">
        <f t="shared" si="82"/>
        <v>12294.080169374984</v>
      </c>
      <c r="Y235" s="82"/>
      <c r="Z235" s="84">
        <f t="shared" si="83"/>
        <v>-7630.06357899467</v>
      </c>
      <c r="AA235" s="84">
        <f t="shared" si="84"/>
        <v>1367.066741211421</v>
      </c>
      <c r="AB235" s="84">
        <f t="shared" si="85"/>
        <v>12294.080169374984</v>
      </c>
      <c r="AC235" s="84">
        <f t="shared" si="90"/>
        <v>-7630.0788391523474</v>
      </c>
      <c r="AD235" s="84">
        <f t="shared" si="91"/>
        <v>1367.0694753503717</v>
      </c>
      <c r="AE235" s="84">
        <f t="shared" si="92"/>
        <v>12294.104757584497</v>
      </c>
      <c r="AF235" s="82"/>
      <c r="AG235" s="87">
        <f t="shared" si="86"/>
        <v>8.4498518973958035E-10</v>
      </c>
    </row>
    <row r="236" spans="1:33" x14ac:dyDescent="0.2">
      <c r="A236" s="89">
        <v>3355.5999999999899</v>
      </c>
      <c r="B236" s="89">
        <v>1.6</v>
      </c>
      <c r="C236" s="89">
        <v>301.8</v>
      </c>
      <c r="D236" s="88">
        <v>-7606.0605206660857</v>
      </c>
      <c r="E236" s="88">
        <v>1452.367331108735</v>
      </c>
      <c r="F236" s="88">
        <v>12331.00276018546</v>
      </c>
      <c r="G236" s="82"/>
      <c r="H236" s="84">
        <f t="shared" si="87"/>
        <v>-7606.0453085450445</v>
      </c>
      <c r="I236" s="84">
        <f t="shared" si="88"/>
        <v>1452.364426374073</v>
      </c>
      <c r="J236" s="84">
        <f t="shared" si="89"/>
        <v>12330.978098179941</v>
      </c>
      <c r="K236" s="82"/>
      <c r="L236" s="84">
        <f t="shared" si="73"/>
        <v>10221422.314691454</v>
      </c>
      <c r="M236" s="84">
        <f t="shared" si="74"/>
        <v>925800.93442637403</v>
      </c>
      <c r="N236" s="84">
        <f t="shared" si="75"/>
        <v>12138.978098179941</v>
      </c>
      <c r="O236" s="82"/>
      <c r="P236" s="84">
        <f t="shared" si="76"/>
        <v>10221420.884754937</v>
      </c>
      <c r="Q236" s="84">
        <f t="shared" si="77"/>
        <v>925801.20747088618</v>
      </c>
      <c r="R236" s="84">
        <f t="shared" si="78"/>
        <v>12138.978098179941</v>
      </c>
      <c r="S236" s="82"/>
      <c r="T236" s="90">
        <f t="shared" si="79"/>
        <v>1.4557718737310721</v>
      </c>
      <c r="U236" s="82"/>
      <c r="V236" s="84">
        <f t="shared" si="80"/>
        <v>-7606.0453085452318</v>
      </c>
      <c r="W236" s="84">
        <f t="shared" si="81"/>
        <v>1452.3644263740862</v>
      </c>
      <c r="X236" s="84">
        <f t="shared" si="82"/>
        <v>12330.978098179941</v>
      </c>
      <c r="Y236" s="84"/>
      <c r="Z236" s="84">
        <f t="shared" si="83"/>
        <v>-7606.045308544255</v>
      </c>
      <c r="AA236" s="84">
        <f t="shared" si="84"/>
        <v>1452.3644263740691</v>
      </c>
      <c r="AB236" s="84">
        <f t="shared" si="85"/>
        <v>12330.978098179941</v>
      </c>
      <c r="AC236" s="84">
        <f t="shared" si="90"/>
        <v>-7606.0605206652963</v>
      </c>
      <c r="AD236" s="84">
        <f t="shared" si="91"/>
        <v>1452.3673311087314</v>
      </c>
      <c r="AE236" s="84">
        <f t="shared" si="92"/>
        <v>12331.00276018546</v>
      </c>
      <c r="AF236" s="83"/>
      <c r="AG236" s="87">
        <f t="shared" si="86"/>
        <v>7.8944978353404671E-10</v>
      </c>
    </row>
    <row r="237" spans="1:33" x14ac:dyDescent="0.2">
      <c r="A237" s="89">
        <v>3355.6999999999898</v>
      </c>
      <c r="B237" s="89">
        <v>1.6</v>
      </c>
      <c r="C237" s="89">
        <v>301.8</v>
      </c>
      <c r="D237" s="88">
        <v>-7577.902798203615</v>
      </c>
      <c r="E237" s="88">
        <v>1537.2091509301865</v>
      </c>
      <c r="F237" s="88">
        <v>12365.98025366703</v>
      </c>
      <c r="G237" s="82"/>
      <c r="H237" s="84">
        <f t="shared" si="87"/>
        <v>-7577.88764239802</v>
      </c>
      <c r="I237" s="84">
        <f t="shared" si="88"/>
        <v>1537.2060765118849</v>
      </c>
      <c r="J237" s="84">
        <f t="shared" si="89"/>
        <v>12365.955521706524</v>
      </c>
      <c r="K237" s="82"/>
      <c r="L237" s="84">
        <f t="shared" si="73"/>
        <v>10221450.472357601</v>
      </c>
      <c r="M237" s="84">
        <f t="shared" si="74"/>
        <v>925885.77607651183</v>
      </c>
      <c r="N237" s="84">
        <f t="shared" si="75"/>
        <v>12173.955521706524</v>
      </c>
      <c r="O237" s="82"/>
      <c r="P237" s="84">
        <f t="shared" si="76"/>
        <v>10221449.047714725</v>
      </c>
      <c r="Q237" s="84">
        <f t="shared" si="77"/>
        <v>925886.06507125427</v>
      </c>
      <c r="R237" s="84">
        <f t="shared" si="78"/>
        <v>12173.955521706524</v>
      </c>
      <c r="S237" s="82"/>
      <c r="T237" s="90">
        <f t="shared" si="79"/>
        <v>1.4536592739357577</v>
      </c>
      <c r="U237" s="82"/>
      <c r="V237" s="84">
        <f t="shared" si="80"/>
        <v>-7577.8876423984766</v>
      </c>
      <c r="W237" s="84">
        <f t="shared" si="81"/>
        <v>1537.2060765118804</v>
      </c>
      <c r="X237" s="84">
        <f t="shared" si="82"/>
        <v>12365.955521706524</v>
      </c>
      <c r="Y237" s="82"/>
      <c r="Z237" s="84">
        <f t="shared" si="83"/>
        <v>-7577.8876423974962</v>
      </c>
      <c r="AA237" s="84">
        <f t="shared" si="84"/>
        <v>1537.206076511937</v>
      </c>
      <c r="AB237" s="84">
        <f t="shared" si="85"/>
        <v>12365.955521706524</v>
      </c>
      <c r="AC237" s="84">
        <f t="shared" si="90"/>
        <v>-7577.9027982030921</v>
      </c>
      <c r="AD237" s="84">
        <f t="shared" si="91"/>
        <v>1537.2091509302386</v>
      </c>
      <c r="AE237" s="84">
        <f t="shared" si="92"/>
        <v>12365.98025366703</v>
      </c>
      <c r="AF237" s="82"/>
      <c r="AG237" s="87">
        <f t="shared" si="86"/>
        <v>5.2554517044853114E-10</v>
      </c>
    </row>
    <row r="238" spans="1:33" x14ac:dyDescent="0.2">
      <c r="A238" s="89">
        <v>3355.7999999999902</v>
      </c>
      <c r="B238" s="89">
        <v>1.6</v>
      </c>
      <c r="C238" s="89">
        <v>301.8</v>
      </c>
      <c r="D238" s="88">
        <v>-7545.8129984894731</v>
      </c>
      <c r="E238" s="88">
        <v>1621.3999043340173</v>
      </c>
      <c r="F238" s="88">
        <v>12399.093883134918</v>
      </c>
      <c r="G238" s="82"/>
      <c r="H238" s="84">
        <f t="shared" si="87"/>
        <v>-7545.7979068634768</v>
      </c>
      <c r="I238" s="84">
        <f t="shared" si="88"/>
        <v>1621.3966615342088</v>
      </c>
      <c r="J238" s="84">
        <f t="shared" si="89"/>
        <v>12399.069084947152</v>
      </c>
      <c r="K238" s="82"/>
      <c r="L238" s="84">
        <f t="shared" si="73"/>
        <v>10221482.562093137</v>
      </c>
      <c r="M238" s="84">
        <f t="shared" si="74"/>
        <v>925969.96666153416</v>
      </c>
      <c r="N238" s="84">
        <f t="shared" si="75"/>
        <v>12207.069084947152</v>
      </c>
      <c r="O238" s="82"/>
      <c r="P238" s="84">
        <f t="shared" si="76"/>
        <v>10221481.14348313</v>
      </c>
      <c r="Q238" s="84">
        <f t="shared" si="77"/>
        <v>925970.27148410655</v>
      </c>
      <c r="R238" s="84">
        <f t="shared" si="78"/>
        <v>12207.069084947152</v>
      </c>
      <c r="S238" s="82"/>
      <c r="T238" s="90">
        <f t="shared" si="79"/>
        <v>1.4509897144299964</v>
      </c>
      <c r="U238" s="82"/>
      <c r="V238" s="84">
        <f t="shared" si="80"/>
        <v>-7545.7979068625718</v>
      </c>
      <c r="W238" s="84">
        <f t="shared" si="81"/>
        <v>1621.3966615342069</v>
      </c>
      <c r="X238" s="84">
        <f t="shared" si="82"/>
        <v>12399.069084947152</v>
      </c>
      <c r="Y238" s="84"/>
      <c r="Z238" s="84">
        <f t="shared" si="83"/>
        <v>-7545.7979068626519</v>
      </c>
      <c r="AA238" s="84">
        <f t="shared" si="84"/>
        <v>1621.396661534229</v>
      </c>
      <c r="AB238" s="84">
        <f t="shared" si="85"/>
        <v>12399.069084947152</v>
      </c>
      <c r="AC238" s="84">
        <f t="shared" si="90"/>
        <v>-7545.8129984886482</v>
      </c>
      <c r="AD238" s="84">
        <f t="shared" si="91"/>
        <v>1621.3999043340375</v>
      </c>
      <c r="AE238" s="84">
        <f t="shared" si="92"/>
        <v>12399.093883134918</v>
      </c>
      <c r="AF238" s="83"/>
      <c r="AG238" s="87">
        <f t="shared" si="86"/>
        <v>8.2515986926058016E-10</v>
      </c>
    </row>
    <row r="239" spans="1:33" x14ac:dyDescent="0.2">
      <c r="A239" s="89">
        <v>3355.8999999999901</v>
      </c>
      <c r="B239" s="89">
        <v>1.6</v>
      </c>
      <c r="C239" s="89">
        <v>301.8</v>
      </c>
      <c r="D239" s="88">
        <v>-7509.873312491578</v>
      </c>
      <c r="E239" s="88">
        <v>1704.7529401292254</v>
      </c>
      <c r="F239" s="88">
        <v>12430.320058176116</v>
      </c>
      <c r="G239" s="82"/>
      <c r="H239" s="84">
        <f t="shared" si="87"/>
        <v>-7509.8582927449543</v>
      </c>
      <c r="I239" s="84">
        <f t="shared" si="88"/>
        <v>1704.7495306233452</v>
      </c>
      <c r="J239" s="84">
        <f t="shared" si="89"/>
        <v>12430.295197536001</v>
      </c>
      <c r="K239" s="82"/>
      <c r="L239" s="84">
        <f t="shared" si="73"/>
        <v>10221518.501707254</v>
      </c>
      <c r="M239" s="84">
        <f t="shared" si="74"/>
        <v>926053.31953062327</v>
      </c>
      <c r="N239" s="84">
        <f t="shared" si="75"/>
        <v>12238.295197536001</v>
      </c>
      <c r="O239" s="82"/>
      <c r="P239" s="84">
        <f t="shared" si="76"/>
        <v>10221517.089853896</v>
      </c>
      <c r="Q239" s="84">
        <f t="shared" si="77"/>
        <v>926053.640023535</v>
      </c>
      <c r="R239" s="84">
        <f t="shared" si="78"/>
        <v>12238.295197536001</v>
      </c>
      <c r="S239" s="82"/>
      <c r="T239" s="90">
        <f t="shared" si="79"/>
        <v>1.4477726380168381</v>
      </c>
      <c r="U239" s="82"/>
      <c r="V239" s="84">
        <f t="shared" si="80"/>
        <v>-7509.8582927454263</v>
      </c>
      <c r="W239" s="84">
        <f t="shared" si="81"/>
        <v>1704.7495306233177</v>
      </c>
      <c r="X239" s="84">
        <f t="shared" si="82"/>
        <v>12430.295197536001</v>
      </c>
      <c r="Y239" s="82"/>
      <c r="Z239" s="84">
        <f t="shared" si="83"/>
        <v>-7509.8582927445395</v>
      </c>
      <c r="AA239" s="84">
        <f t="shared" si="84"/>
        <v>1704.749530623295</v>
      </c>
      <c r="AB239" s="84">
        <f t="shared" si="85"/>
        <v>12430.295197536001</v>
      </c>
      <c r="AC239" s="84">
        <f t="shared" si="90"/>
        <v>-7509.8733124911632</v>
      </c>
      <c r="AD239" s="84">
        <f t="shared" si="91"/>
        <v>1704.7529401291749</v>
      </c>
      <c r="AE239" s="84">
        <f t="shared" si="92"/>
        <v>12430.320058176116</v>
      </c>
      <c r="AF239" s="82"/>
      <c r="AG239" s="87">
        <f t="shared" si="86"/>
        <v>4.1779007998472488E-10</v>
      </c>
    </row>
    <row r="240" spans="1:33" x14ac:dyDescent="0.2">
      <c r="A240" s="89">
        <v>3355.99999999999</v>
      </c>
      <c r="B240" s="89">
        <v>1.6</v>
      </c>
      <c r="C240" s="89">
        <v>301.8</v>
      </c>
      <c r="D240" s="88">
        <v>-7469.9152391963535</v>
      </c>
      <c r="E240" s="88">
        <v>1786.4706371951502</v>
      </c>
      <c r="F240" s="88">
        <v>12460.970663920159</v>
      </c>
      <c r="G240" s="82"/>
      <c r="H240" s="84">
        <f t="shared" si="87"/>
        <v>-7469.900299365876</v>
      </c>
      <c r="I240" s="84">
        <f t="shared" si="88"/>
        <v>1786.4670642538761</v>
      </c>
      <c r="J240" s="84">
        <f t="shared" si="89"/>
        <v>12460.945741978832</v>
      </c>
      <c r="K240" s="82"/>
      <c r="L240" s="84">
        <f t="shared" si="73"/>
        <v>10221558.459700633</v>
      </c>
      <c r="M240" s="84">
        <f t="shared" si="74"/>
        <v>926135.03706425382</v>
      </c>
      <c r="N240" s="84">
        <f t="shared" si="75"/>
        <v>12268.945741978832</v>
      </c>
      <c r="O240" s="82"/>
      <c r="P240" s="84">
        <f t="shared" si="76"/>
        <v>10221557.055359377</v>
      </c>
      <c r="Q240" s="84">
        <f t="shared" si="77"/>
        <v>926135.37292006193</v>
      </c>
      <c r="R240" s="84">
        <f t="shared" si="78"/>
        <v>12268.945741978832</v>
      </c>
      <c r="S240" s="82"/>
      <c r="T240" s="90">
        <f t="shared" si="79"/>
        <v>1.4439437273782836</v>
      </c>
      <c r="U240" s="82"/>
      <c r="V240" s="84">
        <f t="shared" si="80"/>
        <v>-7469.9002993665636</v>
      </c>
      <c r="W240" s="84">
        <f t="shared" si="81"/>
        <v>1786.4670642538695</v>
      </c>
      <c r="X240" s="84">
        <f t="shared" si="82"/>
        <v>12460.945741978832</v>
      </c>
      <c r="Y240" s="84"/>
      <c r="Z240" s="84">
        <f t="shared" si="83"/>
        <v>-7469.9002993665281</v>
      </c>
      <c r="AA240" s="84">
        <f t="shared" si="84"/>
        <v>1786.4670642538986</v>
      </c>
      <c r="AB240" s="84">
        <f t="shared" si="85"/>
        <v>12460.945741978832</v>
      </c>
      <c r="AC240" s="84">
        <f t="shared" si="90"/>
        <v>-7469.9152391970056</v>
      </c>
      <c r="AD240" s="84">
        <f t="shared" si="91"/>
        <v>1786.4706371951727</v>
      </c>
      <c r="AE240" s="84">
        <f t="shared" si="92"/>
        <v>12460.970663920159</v>
      </c>
      <c r="AF240" s="83"/>
      <c r="AG240" s="87">
        <f t="shared" si="86"/>
        <v>6.5249609481647514E-10</v>
      </c>
    </row>
    <row r="241" spans="1:33" x14ac:dyDescent="0.2">
      <c r="A241" s="89">
        <v>3356.0999999999899</v>
      </c>
      <c r="B241" s="89">
        <v>1.6</v>
      </c>
      <c r="C241" s="89">
        <v>301.8</v>
      </c>
      <c r="D241" s="88">
        <v>-7427.0156585261966</v>
      </c>
      <c r="E241" s="88">
        <v>1866.8763997120827</v>
      </c>
      <c r="F241" s="88">
        <v>12494.16895192945</v>
      </c>
      <c r="G241" s="82"/>
      <c r="H241" s="84">
        <f t="shared" si="87"/>
        <v>-7427.0008044948809</v>
      </c>
      <c r="I241" s="84">
        <f t="shared" si="88"/>
        <v>1866.8726659592835</v>
      </c>
      <c r="J241" s="84">
        <f t="shared" si="89"/>
        <v>12494.143963591549</v>
      </c>
      <c r="K241" s="82"/>
      <c r="L241" s="84">
        <f t="shared" si="73"/>
        <v>10221601.359195504</v>
      </c>
      <c r="M241" s="84">
        <f t="shared" si="74"/>
        <v>926215.44266595924</v>
      </c>
      <c r="N241" s="84">
        <f t="shared" si="75"/>
        <v>12302.143963591549</v>
      </c>
      <c r="O241" s="82"/>
      <c r="P241" s="84">
        <f t="shared" si="76"/>
        <v>10221599.962919353</v>
      </c>
      <c r="Q241" s="84">
        <f t="shared" si="77"/>
        <v>926215.7936380204</v>
      </c>
      <c r="R241" s="84">
        <f t="shared" si="78"/>
        <v>12302.143963591549</v>
      </c>
      <c r="S241" s="82"/>
      <c r="T241" s="90">
        <f t="shared" si="79"/>
        <v>1.4397112487210344</v>
      </c>
      <c r="U241" s="82"/>
      <c r="V241" s="84">
        <f t="shared" si="80"/>
        <v>-7427.0008044950664</v>
      </c>
      <c r="W241" s="84">
        <f t="shared" si="81"/>
        <v>1866.872665959294</v>
      </c>
      <c r="X241" s="84">
        <f t="shared" si="82"/>
        <v>12494.143963591549</v>
      </c>
      <c r="Y241" s="82"/>
      <c r="Z241" s="84">
        <f t="shared" si="83"/>
        <v>-7427.0008044955821</v>
      </c>
      <c r="AA241" s="84">
        <f t="shared" si="84"/>
        <v>1866.8726659592553</v>
      </c>
      <c r="AB241" s="84">
        <f t="shared" si="85"/>
        <v>12494.143963591549</v>
      </c>
      <c r="AC241" s="84">
        <f t="shared" si="90"/>
        <v>-7427.0156585268978</v>
      </c>
      <c r="AD241" s="84">
        <f t="shared" si="91"/>
        <v>1866.8763997120548</v>
      </c>
      <c r="AE241" s="84">
        <f t="shared" si="92"/>
        <v>12494.16895192945</v>
      </c>
      <c r="AF241" s="82"/>
      <c r="AG241" s="87">
        <f t="shared" si="86"/>
        <v>7.0177790038914131E-10</v>
      </c>
    </row>
    <row r="242" spans="1:33" x14ac:dyDescent="0.2">
      <c r="A242" s="89">
        <v>3356.1999999999898</v>
      </c>
      <c r="B242" s="89">
        <v>1.6</v>
      </c>
      <c r="C242" s="89">
        <v>301.8</v>
      </c>
      <c r="D242" s="88">
        <v>-7384.7955725377997</v>
      </c>
      <c r="E242" s="88">
        <v>1945.1846882765672</v>
      </c>
      <c r="F242" s="88">
        <v>12530.230759326967</v>
      </c>
      <c r="G242" s="82"/>
      <c r="H242" s="84">
        <f t="shared" si="87"/>
        <v>-7384.7808029466551</v>
      </c>
      <c r="I242" s="84">
        <f t="shared" si="88"/>
        <v>1945.1807979071909</v>
      </c>
      <c r="J242" s="84">
        <f t="shared" si="89"/>
        <v>12530.205698865449</v>
      </c>
      <c r="K242" s="82"/>
      <c r="L242" s="84">
        <f t="shared" si="73"/>
        <v>10221643.579197053</v>
      </c>
      <c r="M242" s="84">
        <f t="shared" si="74"/>
        <v>926293.75079790712</v>
      </c>
      <c r="N242" s="84">
        <f t="shared" si="75"/>
        <v>12338.205698865449</v>
      </c>
      <c r="O242" s="82"/>
      <c r="P242" s="84">
        <f t="shared" si="76"/>
        <v>10221642.190858262</v>
      </c>
      <c r="Q242" s="84">
        <f t="shared" si="77"/>
        <v>926294.11649189715</v>
      </c>
      <c r="R242" s="84">
        <f t="shared" si="78"/>
        <v>12338.205698865449</v>
      </c>
      <c r="S242" s="82"/>
      <c r="T242" s="90">
        <f t="shared" si="79"/>
        <v>1.4356938021419752</v>
      </c>
      <c r="U242" s="82"/>
      <c r="V242" s="84">
        <f t="shared" si="80"/>
        <v>-7384.7808029465377</v>
      </c>
      <c r="W242" s="84">
        <f t="shared" si="81"/>
        <v>1945.1807979071746</v>
      </c>
      <c r="X242" s="84">
        <f t="shared" si="82"/>
        <v>12530.205698865449</v>
      </c>
      <c r="Y242" s="84"/>
      <c r="Z242" s="84">
        <f t="shared" si="83"/>
        <v>-7384.7808029467897</v>
      </c>
      <c r="AA242" s="84">
        <f t="shared" si="84"/>
        <v>1945.1807979071925</v>
      </c>
      <c r="AB242" s="84">
        <f t="shared" si="85"/>
        <v>12530.205698865449</v>
      </c>
      <c r="AC242" s="84">
        <f t="shared" si="90"/>
        <v>-7384.7955725379334</v>
      </c>
      <c r="AD242" s="84">
        <f t="shared" si="91"/>
        <v>1945.1846882765687</v>
      </c>
      <c r="AE242" s="84">
        <f t="shared" si="92"/>
        <v>12530.230759326967</v>
      </c>
      <c r="AF242" s="83"/>
      <c r="AG242" s="87">
        <f t="shared" si="86"/>
        <v>1.3370519472811938E-10</v>
      </c>
    </row>
    <row r="243" spans="1:33" x14ac:dyDescent="0.2">
      <c r="A243" s="89">
        <v>3356.2999999999902</v>
      </c>
      <c r="B243" s="89">
        <v>1.6</v>
      </c>
      <c r="C243" s="89">
        <v>301.8</v>
      </c>
      <c r="D243" s="88">
        <v>-7343.9119408662191</v>
      </c>
      <c r="E243" s="88">
        <v>2022.6531698096364</v>
      </c>
      <c r="F243" s="88">
        <v>12569.496870929253</v>
      </c>
      <c r="G243" s="82"/>
      <c r="H243" s="84">
        <f t="shared" si="87"/>
        <v>-7343.897253042338</v>
      </c>
      <c r="I243" s="84">
        <f t="shared" si="88"/>
        <v>2022.6491245032969</v>
      </c>
      <c r="J243" s="84">
        <f t="shared" si="89"/>
        <v>12569.471731935513</v>
      </c>
      <c r="K243" s="82"/>
      <c r="L243" s="84">
        <f t="shared" si="73"/>
        <v>10221684.462746957</v>
      </c>
      <c r="M243" s="84">
        <f t="shared" si="74"/>
        <v>926371.2191245032</v>
      </c>
      <c r="N243" s="84">
        <f t="shared" si="75"/>
        <v>12377.471731935513</v>
      </c>
      <c r="O243" s="82"/>
      <c r="P243" s="84">
        <f t="shared" si="76"/>
        <v>10221683.082094273</v>
      </c>
      <c r="Q243" s="84">
        <f t="shared" si="77"/>
        <v>926371.5993825387</v>
      </c>
      <c r="R243" s="84">
        <f t="shared" si="78"/>
        <v>12377.471731935513</v>
      </c>
      <c r="S243" s="82"/>
      <c r="T243" s="90">
        <f t="shared" si="79"/>
        <v>1.4320607561761953</v>
      </c>
      <c r="U243" s="82"/>
      <c r="V243" s="84">
        <f t="shared" si="80"/>
        <v>-7343.897253042087</v>
      </c>
      <c r="W243" s="84">
        <f t="shared" si="81"/>
        <v>2022.6491245032521</v>
      </c>
      <c r="X243" s="84">
        <f t="shared" si="82"/>
        <v>12569.471731935513</v>
      </c>
      <c r="Y243" s="82"/>
      <c r="Z243" s="84">
        <f t="shared" si="83"/>
        <v>-7343.8972530432329</v>
      </c>
      <c r="AA243" s="84">
        <f t="shared" si="84"/>
        <v>2022.6491245033421</v>
      </c>
      <c r="AB243" s="84">
        <f t="shared" si="85"/>
        <v>12569.471731935513</v>
      </c>
      <c r="AC243" s="84">
        <f t="shared" si="90"/>
        <v>-7343.911940867114</v>
      </c>
      <c r="AD243" s="84">
        <f t="shared" si="91"/>
        <v>2022.6531698096815</v>
      </c>
      <c r="AE243" s="84">
        <f t="shared" si="92"/>
        <v>12569.496870929253</v>
      </c>
      <c r="AF243" s="82"/>
      <c r="AG243" s="87">
        <f t="shared" si="86"/>
        <v>8.9607443356233104E-10</v>
      </c>
    </row>
    <row r="244" spans="1:33" x14ac:dyDescent="0.2">
      <c r="A244" s="89">
        <v>3356.3999999999901</v>
      </c>
      <c r="B244" s="89">
        <v>1.6</v>
      </c>
      <c r="C244" s="89">
        <v>301.8</v>
      </c>
      <c r="D244" s="88">
        <v>-7305.4364028785476</v>
      </c>
      <c r="E244" s="88">
        <v>2097.2201640531089</v>
      </c>
      <c r="F244" s="88">
        <v>12611.845620532189</v>
      </c>
      <c r="G244" s="82"/>
      <c r="H244" s="84">
        <f t="shared" si="87"/>
        <v>-7305.4217920057426</v>
      </c>
      <c r="I244" s="84">
        <f t="shared" si="88"/>
        <v>2097.215969612781</v>
      </c>
      <c r="J244" s="84">
        <f t="shared" si="89"/>
        <v>12611.820396840949</v>
      </c>
      <c r="K244" s="82"/>
      <c r="L244" s="84">
        <f t="shared" si="73"/>
        <v>10221722.938207993</v>
      </c>
      <c r="M244" s="84">
        <f t="shared" si="74"/>
        <v>926445.78596961277</v>
      </c>
      <c r="N244" s="84">
        <f t="shared" si="75"/>
        <v>12419.820396840949</v>
      </c>
      <c r="O244" s="82"/>
      <c r="P244" s="84">
        <f t="shared" si="76"/>
        <v>10221721.564788697</v>
      </c>
      <c r="Q244" s="84">
        <f t="shared" si="77"/>
        <v>926446.18024621496</v>
      </c>
      <c r="R244" s="84">
        <f t="shared" si="78"/>
        <v>12419.820396840949</v>
      </c>
      <c r="S244" s="82"/>
      <c r="T244" s="90">
        <f t="shared" si="79"/>
        <v>1.4288927887188536</v>
      </c>
      <c r="U244" s="82"/>
      <c r="V244" s="84">
        <f t="shared" si="80"/>
        <v>-7305.4217920061201</v>
      </c>
      <c r="W244" s="84">
        <f t="shared" si="81"/>
        <v>2097.2159696128219</v>
      </c>
      <c r="X244" s="84">
        <f t="shared" si="82"/>
        <v>12611.820396840949</v>
      </c>
      <c r="Y244" s="84"/>
      <c r="Z244" s="84">
        <f t="shared" si="83"/>
        <v>-7305.4217920052188</v>
      </c>
      <c r="AA244" s="84">
        <f t="shared" si="84"/>
        <v>2097.2159696127283</v>
      </c>
      <c r="AB244" s="84">
        <f t="shared" si="85"/>
        <v>12611.820396840949</v>
      </c>
      <c r="AC244" s="84">
        <f t="shared" si="90"/>
        <v>-7305.4364028780237</v>
      </c>
      <c r="AD244" s="84">
        <f t="shared" si="91"/>
        <v>2097.2201640530561</v>
      </c>
      <c r="AE244" s="84">
        <f t="shared" si="92"/>
        <v>12611.845620532189</v>
      </c>
      <c r="AF244" s="83"/>
      <c r="AG244" s="87">
        <f t="shared" si="86"/>
        <v>5.265181008199259E-10</v>
      </c>
    </row>
    <row r="245" spans="1:33" x14ac:dyDescent="0.2">
      <c r="A245" s="89">
        <v>3356.49999999999</v>
      </c>
      <c r="B245" s="89">
        <v>1.6</v>
      </c>
      <c r="C245" s="89">
        <v>301.8</v>
      </c>
      <c r="D245" s="88">
        <v>-7270.7205937018844</v>
      </c>
      <c r="E245" s="88">
        <v>2165.3082127437233</v>
      </c>
      <c r="F245" s="88">
        <v>12655.447971138217</v>
      </c>
      <c r="G245" s="82"/>
      <c r="H245" s="84">
        <f t="shared" si="87"/>
        <v>-7270.706052260698</v>
      </c>
      <c r="I245" s="84">
        <f t="shared" si="88"/>
        <v>2165.303882127298</v>
      </c>
      <c r="J245" s="84">
        <f t="shared" si="89"/>
        <v>12655.422660242277</v>
      </c>
      <c r="K245" s="82"/>
      <c r="L245" s="84">
        <f t="shared" si="73"/>
        <v>10221757.653947739</v>
      </c>
      <c r="M245" s="84">
        <f t="shared" si="74"/>
        <v>926513.87388212723</v>
      </c>
      <c r="N245" s="84">
        <f t="shared" si="75"/>
        <v>12463.422660242277</v>
      </c>
      <c r="O245" s="82"/>
      <c r="P245" s="84">
        <f t="shared" si="76"/>
        <v>10221756.287055001</v>
      </c>
      <c r="Q245" s="84">
        <f t="shared" si="77"/>
        <v>926514.28095925704</v>
      </c>
      <c r="R245" s="84">
        <f t="shared" si="78"/>
        <v>12463.422660242277</v>
      </c>
      <c r="S245" s="82"/>
      <c r="T245" s="90">
        <f t="shared" si="79"/>
        <v>1.4262214230429522</v>
      </c>
      <c r="U245" s="82"/>
      <c r="V245" s="84">
        <f t="shared" si="80"/>
        <v>-7270.7060522604734</v>
      </c>
      <c r="W245" s="84">
        <f t="shared" si="81"/>
        <v>2165.3038821272785</v>
      </c>
      <c r="X245" s="84">
        <f t="shared" si="82"/>
        <v>12655.422660242277</v>
      </c>
      <c r="Y245" s="82"/>
      <c r="Z245" s="84">
        <f t="shared" si="83"/>
        <v>-7270.7060522609154</v>
      </c>
      <c r="AA245" s="84">
        <f t="shared" si="84"/>
        <v>2165.3038821272521</v>
      </c>
      <c r="AB245" s="84">
        <f t="shared" si="85"/>
        <v>12655.422660242277</v>
      </c>
      <c r="AC245" s="84">
        <f t="shared" si="90"/>
        <v>-7270.7205937021026</v>
      </c>
      <c r="AD245" s="84">
        <f t="shared" si="91"/>
        <v>2165.3082127436774</v>
      </c>
      <c r="AE245" s="84">
        <f t="shared" si="92"/>
        <v>12655.447971138217</v>
      </c>
      <c r="AF245" s="82"/>
      <c r="AG245" s="87">
        <f t="shared" si="86"/>
        <v>2.2305855876925627E-10</v>
      </c>
    </row>
    <row r="246" spans="1:33" x14ac:dyDescent="0.2">
      <c r="A246" s="89">
        <v>3356.5999999999899</v>
      </c>
      <c r="B246" s="89">
        <v>1.6</v>
      </c>
      <c r="C246" s="89">
        <v>301.8</v>
      </c>
      <c r="D246" s="88">
        <v>-7254.4151366455344</v>
      </c>
      <c r="E246" s="88">
        <v>2197.3371081043397</v>
      </c>
      <c r="F246" s="88">
        <v>12677.180019641803</v>
      </c>
      <c r="G246" s="82"/>
      <c r="H246" s="84">
        <f>D246*F$10/F$20</f>
        <v>-7254.4006278152619</v>
      </c>
      <c r="I246" s="84">
        <f>E246*F$10/F$20</f>
        <v>2197.3327134301235</v>
      </c>
      <c r="J246" s="84">
        <f>F246*F$10/F$14</f>
        <v>12677.154665281765</v>
      </c>
      <c r="K246" s="82"/>
      <c r="L246" s="84">
        <f t="shared" si="73"/>
        <v>10221773.959372183</v>
      </c>
      <c r="M246" s="84">
        <f t="shared" si="74"/>
        <v>926545.90271343011</v>
      </c>
      <c r="N246" s="84">
        <f t="shared" si="75"/>
        <v>12485.154665281765</v>
      </c>
      <c r="O246" s="82"/>
      <c r="P246" s="84">
        <f t="shared" si="76"/>
        <v>10221772.595544865</v>
      </c>
      <c r="Q246" s="84">
        <f t="shared" si="77"/>
        <v>926546.31581198017</v>
      </c>
      <c r="R246" s="84">
        <f t="shared" si="78"/>
        <v>12485.154665281765</v>
      </c>
      <c r="S246" s="82"/>
      <c r="T246" s="90">
        <f t="shared" si="79"/>
        <v>1.4250176719081602</v>
      </c>
      <c r="U246" s="82"/>
      <c r="V246" s="84">
        <f t="shared" si="80"/>
        <v>-7254.4006278160959</v>
      </c>
      <c r="W246" s="84">
        <f t="shared" si="81"/>
        <v>2197.3327134301653</v>
      </c>
      <c r="X246" s="84">
        <f t="shared" si="82"/>
        <v>12677.154665281765</v>
      </c>
      <c r="Y246" s="84"/>
      <c r="Z246" s="84">
        <f t="shared" si="83"/>
        <v>-7254.4006278160186</v>
      </c>
      <c r="AA246" s="84">
        <f t="shared" si="84"/>
        <v>2197.3327134300926</v>
      </c>
      <c r="AB246" s="84">
        <f t="shared" si="85"/>
        <v>12677.154665281765</v>
      </c>
      <c r="AC246" s="84">
        <f t="shared" si="90"/>
        <v>-7254.4151366462911</v>
      </c>
      <c r="AD246" s="84">
        <f t="shared" si="91"/>
        <v>2197.3371081043088</v>
      </c>
      <c r="AE246" s="84">
        <f t="shared" si="92"/>
        <v>12677.180019641803</v>
      </c>
      <c r="AF246" s="83"/>
      <c r="AG246" s="87">
        <f t="shared" si="86"/>
        <v>7.5733116477008807E-10</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AB702-7368-488E-BCCC-7A46C9CE4189}">
  <dimension ref="A1:X249"/>
  <sheetViews>
    <sheetView workbookViewId="0">
      <pane ySplit="36" topLeftCell="A37" activePane="bottomLeft" state="frozen"/>
      <selection pane="bottomLeft" activeCell="E25" sqref="E25"/>
    </sheetView>
  </sheetViews>
  <sheetFormatPr defaultColWidth="9.109375" defaultRowHeight="10.199999999999999" x14ac:dyDescent="0.2"/>
  <cols>
    <col min="1" max="1" width="7" style="1" customWidth="1"/>
    <col min="2" max="2" width="7.6640625" style="1" bestFit="1" customWidth="1"/>
    <col min="3" max="3" width="7.5546875" style="1" bestFit="1" customWidth="1"/>
    <col min="4" max="4" width="7.5546875" style="1" customWidth="1"/>
    <col min="5" max="5" width="12.109375" style="1" customWidth="1"/>
    <col min="6" max="6" width="9.44140625" style="1" customWidth="1"/>
    <col min="7" max="7" width="10" style="1" bestFit="1" customWidth="1"/>
    <col min="8" max="8" width="3" style="1" customWidth="1"/>
    <col min="9" max="9" width="13.5546875" style="1" bestFit="1" customWidth="1"/>
    <col min="10" max="10" width="10.44140625" style="1" bestFit="1" customWidth="1"/>
    <col min="11" max="11" width="3" style="1" customWidth="1"/>
    <col min="12" max="13" width="11.44140625" style="1" customWidth="1"/>
    <col min="14" max="14" width="9.109375" style="1"/>
    <col min="15" max="16" width="3.44140625" style="1" customWidth="1"/>
    <col min="17" max="18" width="11.44140625" style="1" customWidth="1"/>
    <col min="19" max="19" width="4" style="1" customWidth="1"/>
    <col min="20" max="21" width="9.109375" style="1"/>
    <col min="22" max="22" width="4" style="1" customWidth="1"/>
    <col min="23" max="16384" width="9.109375" style="1"/>
  </cols>
  <sheetData>
    <row r="1" spans="1:13" x14ac:dyDescent="0.2">
      <c r="A1" s="1" t="s">
        <v>68</v>
      </c>
      <c r="K1" s="1" t="s">
        <v>107</v>
      </c>
    </row>
    <row r="2" spans="1:13" x14ac:dyDescent="0.2">
      <c r="A2" s="1" t="s">
        <v>154</v>
      </c>
      <c r="K2" s="1" t="s">
        <v>108</v>
      </c>
    </row>
    <row r="3" spans="1:13" x14ac:dyDescent="0.2">
      <c r="A3" s="1" t="s">
        <v>16</v>
      </c>
    </row>
    <row r="5" spans="1:13" x14ac:dyDescent="0.2">
      <c r="A5" s="25" t="s">
        <v>45</v>
      </c>
      <c r="K5" s="46" t="s">
        <v>83</v>
      </c>
    </row>
    <row r="6" spans="1:13" x14ac:dyDescent="0.2">
      <c r="B6" s="1" t="s">
        <v>59</v>
      </c>
      <c r="E6" s="82" t="s">
        <v>174</v>
      </c>
      <c r="K6" s="40" t="s">
        <v>75</v>
      </c>
      <c r="L6" s="41">
        <v>6378206.4000000004</v>
      </c>
      <c r="M6" s="29" t="s">
        <v>79</v>
      </c>
    </row>
    <row r="7" spans="1:13" x14ac:dyDescent="0.2">
      <c r="B7" s="1" t="s">
        <v>48</v>
      </c>
      <c r="E7" s="82">
        <v>6081740479</v>
      </c>
      <c r="K7" s="40" t="s">
        <v>76</v>
      </c>
      <c r="L7" s="41">
        <v>294.9786982</v>
      </c>
      <c r="M7" s="29" t="s">
        <v>81</v>
      </c>
    </row>
    <row r="8" spans="1:13" x14ac:dyDescent="0.2">
      <c r="A8" s="25" t="s">
        <v>46</v>
      </c>
      <c r="E8" s="82"/>
      <c r="K8" s="40" t="s">
        <v>77</v>
      </c>
      <c r="L8" s="41">
        <v>6356583.7999999998</v>
      </c>
      <c r="M8" s="29" t="s">
        <v>80</v>
      </c>
    </row>
    <row r="9" spans="1:13" x14ac:dyDescent="0.2">
      <c r="B9" s="1" t="s">
        <v>60</v>
      </c>
      <c r="E9" s="82" t="s">
        <v>175</v>
      </c>
      <c r="K9" s="40" t="s">
        <v>78</v>
      </c>
      <c r="L9" s="41">
        <f>2/L7-1/L7^2</f>
        <v>6.7686579976096442E-3</v>
      </c>
      <c r="M9" s="29" t="s">
        <v>82</v>
      </c>
    </row>
    <row r="10" spans="1:13" x14ac:dyDescent="0.2">
      <c r="B10" s="1" t="s">
        <v>49</v>
      </c>
      <c r="E10" s="91">
        <v>608174047904</v>
      </c>
    </row>
    <row r="12" spans="1:13" x14ac:dyDescent="0.2">
      <c r="A12" s="25" t="s">
        <v>42</v>
      </c>
    </row>
    <row r="13" spans="1:13" x14ac:dyDescent="0.2">
      <c r="B13" s="1" t="s">
        <v>22</v>
      </c>
      <c r="E13" s="24" t="s">
        <v>173</v>
      </c>
      <c r="F13" s="92">
        <v>0.30480000000000002</v>
      </c>
      <c r="I13" s="1" t="s">
        <v>32</v>
      </c>
    </row>
    <row r="14" spans="1:13" x14ac:dyDescent="0.2">
      <c r="B14" s="1" t="s">
        <v>21</v>
      </c>
      <c r="E14" s="44" t="s">
        <v>71</v>
      </c>
      <c r="I14" s="1" t="s">
        <v>98</v>
      </c>
    </row>
    <row r="16" spans="1:13" x14ac:dyDescent="0.2">
      <c r="A16" s="25" t="s">
        <v>27</v>
      </c>
      <c r="E16" s="1" t="s">
        <v>28</v>
      </c>
    </row>
    <row r="17" spans="1:23" x14ac:dyDescent="0.2">
      <c r="B17" s="1" t="s">
        <v>29</v>
      </c>
      <c r="E17" s="24" t="s">
        <v>24</v>
      </c>
      <c r="F17" s="81">
        <f>1200/3937</f>
        <v>0.30480060960121919</v>
      </c>
      <c r="I17" s="1" t="s">
        <v>64</v>
      </c>
    </row>
    <row r="18" spans="1:23" x14ac:dyDescent="0.2">
      <c r="B18" s="1" t="s">
        <v>30</v>
      </c>
      <c r="E18" s="5">
        <v>0</v>
      </c>
      <c r="F18" s="1" t="str">
        <f>E17</f>
        <v>ftUS</v>
      </c>
    </row>
    <row r="19" spans="1:23" x14ac:dyDescent="0.2">
      <c r="B19" s="1" t="s">
        <v>34</v>
      </c>
      <c r="E19" s="5">
        <v>192</v>
      </c>
      <c r="F19" s="1" t="str">
        <f>E17</f>
        <v>ftUS</v>
      </c>
    </row>
    <row r="20" spans="1:23" x14ac:dyDescent="0.2">
      <c r="B20" s="1" t="s">
        <v>35</v>
      </c>
      <c r="E20" s="36">
        <f>E18+E19</f>
        <v>192</v>
      </c>
      <c r="F20" s="1" t="str">
        <f>E17</f>
        <v>ftUS</v>
      </c>
    </row>
    <row r="22" spans="1:23" x14ac:dyDescent="0.2">
      <c r="A22" s="25" t="s">
        <v>63</v>
      </c>
      <c r="E22" s="82" t="s">
        <v>177</v>
      </c>
      <c r="I22" s="29" t="s">
        <v>85</v>
      </c>
    </row>
    <row r="23" spans="1:23" x14ac:dyDescent="0.2">
      <c r="B23" s="1" t="s">
        <v>23</v>
      </c>
      <c r="E23" s="42" t="s">
        <v>24</v>
      </c>
      <c r="F23" s="81">
        <f>1200/3937</f>
        <v>0.30480060960121919</v>
      </c>
      <c r="I23" s="1" t="s">
        <v>64</v>
      </c>
    </row>
    <row r="24" spans="1:23" x14ac:dyDescent="0.2">
      <c r="B24" s="1" t="s">
        <v>69</v>
      </c>
      <c r="E24" s="45">
        <v>0</v>
      </c>
      <c r="F24" s="29" t="s">
        <v>25</v>
      </c>
      <c r="G24" s="101" t="s">
        <v>179</v>
      </c>
    </row>
    <row r="25" spans="1:23" x14ac:dyDescent="0.2">
      <c r="B25" s="1" t="s">
        <v>70</v>
      </c>
      <c r="E25" s="45">
        <v>-89.222953000000004</v>
      </c>
      <c r="F25" s="29" t="s">
        <v>25</v>
      </c>
      <c r="G25" s="101" t="s">
        <v>180</v>
      </c>
    </row>
    <row r="26" spans="1:23" x14ac:dyDescent="0.2">
      <c r="B26" s="1" t="s">
        <v>39</v>
      </c>
      <c r="E26" s="4">
        <v>-1.05</v>
      </c>
      <c r="F26" s="1" t="s">
        <v>25</v>
      </c>
      <c r="I26" s="1" t="s">
        <v>33</v>
      </c>
    </row>
    <row r="27" spans="1:23" x14ac:dyDescent="0.2">
      <c r="B27" s="1" t="s">
        <v>40</v>
      </c>
      <c r="E27" s="6">
        <v>1.0001899999999999</v>
      </c>
      <c r="F27" s="1" t="s">
        <v>26</v>
      </c>
      <c r="I27" s="1" t="s">
        <v>65</v>
      </c>
    </row>
    <row r="29" spans="1:23" x14ac:dyDescent="0.2">
      <c r="A29" s="25" t="s">
        <v>41</v>
      </c>
      <c r="E29" s="1" t="s">
        <v>74</v>
      </c>
    </row>
    <row r="30" spans="1:23" x14ac:dyDescent="0.2">
      <c r="B30" s="1" t="s">
        <v>61</v>
      </c>
      <c r="E30" s="1">
        <v>0</v>
      </c>
      <c r="I30" s="1" t="s">
        <v>62</v>
      </c>
    </row>
    <row r="31" spans="1:23" x14ac:dyDescent="0.2">
      <c r="W31" s="106" t="s">
        <v>183</v>
      </c>
    </row>
    <row r="33" spans="1:24" x14ac:dyDescent="0.2">
      <c r="W33" s="29" t="s">
        <v>114</v>
      </c>
    </row>
    <row r="34" spans="1:24" x14ac:dyDescent="0.2">
      <c r="E34" s="17" t="s">
        <v>43</v>
      </c>
      <c r="F34" s="18"/>
      <c r="G34" s="18"/>
      <c r="I34" s="13" t="s">
        <v>115</v>
      </c>
      <c r="J34" s="14"/>
      <c r="K34" s="14"/>
      <c r="L34" s="13"/>
      <c r="M34" s="14"/>
      <c r="N34" s="14"/>
      <c r="Q34" s="50" t="s">
        <v>116</v>
      </c>
      <c r="R34" s="50"/>
      <c r="S34" s="50"/>
      <c r="T34" s="50"/>
      <c r="U34" s="50"/>
      <c r="W34" s="20" t="s">
        <v>99</v>
      </c>
      <c r="X34" s="21"/>
    </row>
    <row r="35" spans="1:24" x14ac:dyDescent="0.2">
      <c r="A35" s="29" t="s">
        <v>51</v>
      </c>
      <c r="E35" s="29" t="s">
        <v>90</v>
      </c>
      <c r="I35" s="29"/>
      <c r="L35" s="29" t="s">
        <v>96</v>
      </c>
      <c r="Q35" s="29" t="s">
        <v>97</v>
      </c>
      <c r="W35" s="22">
        <f>MAX(W37:W153)</f>
        <v>1.6672315075993538E-2</v>
      </c>
      <c r="X35" s="22">
        <f>MAX(X37:X153)</f>
        <v>3.7059173453599215E-2</v>
      </c>
    </row>
    <row r="36" spans="1:24" s="2" customFormat="1" x14ac:dyDescent="0.2">
      <c r="A36" s="30" t="str">
        <f>CONCATENATE("MD [",$E13,"]")</f>
        <v>MD [ft]</v>
      </c>
      <c r="B36" s="31" t="s">
        <v>2</v>
      </c>
      <c r="C36" s="30" t="s">
        <v>86</v>
      </c>
      <c r="D36" s="30" t="s">
        <v>84</v>
      </c>
      <c r="E36" s="11" t="str">
        <f>CONCATENATE("n [",$E13,"]")</f>
        <v>n [ft]</v>
      </c>
      <c r="F36" s="11" t="str">
        <f>CONCATENATE("e [",$E13,"]")</f>
        <v>e [ft]</v>
      </c>
      <c r="G36" s="11" t="str">
        <f>CONCATENATE("d [",$E13,"]")</f>
        <v>d [ft]</v>
      </c>
      <c r="I36" s="11" t="s">
        <v>88</v>
      </c>
      <c r="J36" s="11" t="s">
        <v>89</v>
      </c>
      <c r="L36" s="35" t="s">
        <v>94</v>
      </c>
      <c r="M36" s="35" t="s">
        <v>95</v>
      </c>
      <c r="N36" s="35" t="str">
        <f>CONCATENATE("D [",$E17,"]")</f>
        <v>D [ftUS]</v>
      </c>
      <c r="Q36" s="53" t="str">
        <f>CONCATENATE("N [",$E23,"]")</f>
        <v>N [ftUS]</v>
      </c>
      <c r="R36" s="53" t="str">
        <f>CONCATENATE("E [",$E23,"]")</f>
        <v>E [ftUS]</v>
      </c>
      <c r="T36" s="49" t="s">
        <v>113</v>
      </c>
      <c r="U36" s="49" t="s">
        <v>109</v>
      </c>
      <c r="W36" s="23" t="s">
        <v>100</v>
      </c>
      <c r="X36" s="23" t="s">
        <v>101</v>
      </c>
    </row>
    <row r="37" spans="1:24" x14ac:dyDescent="0.2">
      <c r="A37" s="32">
        <v>0</v>
      </c>
      <c r="B37" s="32">
        <v>0</v>
      </c>
      <c r="C37" s="32">
        <v>55.47</v>
      </c>
      <c r="D37" s="43">
        <f>C37+E$26</f>
        <v>54.42</v>
      </c>
      <c r="E37" s="27">
        <v>0</v>
      </c>
      <c r="F37" s="27">
        <v>0</v>
      </c>
      <c r="G37" s="27">
        <v>0</v>
      </c>
      <c r="I37" s="5">
        <f>+L$6*(1-L$9)/(1-L$9*SIN(RADIANS(E24))^2)^1.5</f>
        <v>6335034.5022402359</v>
      </c>
      <c r="J37" s="5">
        <f>+L$6/SQRT(1-L$9*SIN(RADIANS(E24))^2)</f>
        <v>6378206.4000000004</v>
      </c>
      <c r="L37" s="26">
        <f>E24 + DEGREES((E37-0)*F$13/I37)</f>
        <v>0</v>
      </c>
      <c r="M37" s="26">
        <f>E25 + DEGREES((F37-0)*F$13/(J37*COS(RADIANS(E24))))</f>
        <v>-89.222953000000004</v>
      </c>
      <c r="N37" s="5">
        <f>G37*F$13/F$17 - E$20</f>
        <v>-192</v>
      </c>
      <c r="Q37" s="51">
        <v>10229028.35</v>
      </c>
      <c r="R37" s="51">
        <v>924348.56</v>
      </c>
      <c r="T37" s="48">
        <v>1.0001880000000001</v>
      </c>
      <c r="U37" s="48">
        <v>-1.05</v>
      </c>
      <c r="W37" s="39">
        <f>ABS(Q37-GNL!P34)</f>
        <v>9.9999997764825821E-3</v>
      </c>
      <c r="X37" s="39">
        <f>ABS(R37-GNL!Q34)</f>
        <v>9.9999998928979039E-3</v>
      </c>
    </row>
    <row r="38" spans="1:24" x14ac:dyDescent="0.2">
      <c r="A38" s="32">
        <v>3137</v>
      </c>
      <c r="B38" s="32">
        <v>0</v>
      </c>
      <c r="C38" s="32">
        <v>55.47</v>
      </c>
      <c r="D38" s="43">
        <f t="shared" ref="D38:D101" si="0">C38+E$26</f>
        <v>54.42</v>
      </c>
      <c r="E38" s="28">
        <v>0</v>
      </c>
      <c r="F38" s="28">
        <v>0</v>
      </c>
      <c r="G38" s="28">
        <v>3137</v>
      </c>
      <c r="I38" s="5">
        <f>+L$6*(1-L$9)/(1-L$9*SIN(RADIANS(L37))^2)^1.5</f>
        <v>6335034.5022402359</v>
      </c>
      <c r="J38" s="5">
        <f>+L$6/SQRT(1-L$9*SIN(RADIANS(L37))^2)</f>
        <v>6378206.4000000004</v>
      </c>
      <c r="L38" s="26">
        <f>L37 + DEGREES((E38-E37)*F$13/I38)</f>
        <v>0</v>
      </c>
      <c r="M38" s="26">
        <f>M37 + DEGREES((F38-F37)*F$13/(J38*COS(RADIANS(L37))))</f>
        <v>-89.222953000000004</v>
      </c>
      <c r="N38" s="95">
        <f t="shared" ref="N38:N101" si="1">G38*F$13/F$17 - E$20</f>
        <v>2944.9937260000002</v>
      </c>
      <c r="Q38" s="51">
        <v>10229028.35</v>
      </c>
      <c r="R38" s="51">
        <v>924348.56</v>
      </c>
      <c r="W38" s="39">
        <f>ABS(Q38-GNL!P35)</f>
        <v>9.9999997764825821E-3</v>
      </c>
      <c r="X38" s="39">
        <f>ABS(R38-GNL!Q35)</f>
        <v>9.9999998928979039E-3</v>
      </c>
    </row>
    <row r="39" spans="1:24" x14ac:dyDescent="0.2">
      <c r="A39" s="32">
        <v>3150</v>
      </c>
      <c r="B39" s="32">
        <v>0.83</v>
      </c>
      <c r="C39" s="32">
        <v>55.47</v>
      </c>
      <c r="D39" s="43">
        <f t="shared" si="0"/>
        <v>54.42</v>
      </c>
      <c r="E39" s="28">
        <v>0.05</v>
      </c>
      <c r="F39" s="28">
        <v>0.08</v>
      </c>
      <c r="G39" s="28">
        <v>3149.9995453277329</v>
      </c>
      <c r="I39" s="5">
        <f t="shared" ref="I39:I40" si="2">+L$6*(1-L$9)/(1-L$9*SIN(RADIANS(L38))^2)^1.5</f>
        <v>6335034.5022402359</v>
      </c>
      <c r="J39" s="5">
        <f t="shared" ref="J39:J40" si="3">+L$6/SQRT(1-L$9*SIN(RADIANS(L38))^2)</f>
        <v>6378206.4000000004</v>
      </c>
      <c r="L39" s="96">
        <f t="shared" ref="L39:L102" si="4">L38 + DEGREES((E39-E38)*F$13/I39)</f>
        <v>1.3783471573368579E-7</v>
      </c>
      <c r="M39" s="96">
        <f t="shared" ref="M39:M102" si="5">M38 + DEGREES((F39-F38)*F$13/(J39*COS(RADIANS(L38))))</f>
        <v>-89.222952780957186</v>
      </c>
      <c r="N39" s="95">
        <f t="shared" si="1"/>
        <v>2957.9932453286428</v>
      </c>
      <c r="Q39" s="51">
        <v>10229028.4</v>
      </c>
      <c r="R39" s="51">
        <v>924348.64</v>
      </c>
      <c r="T39" s="48"/>
      <c r="U39" s="48"/>
      <c r="W39" s="39">
        <f>ABS(Q39-GNL!P36)</f>
        <v>1.3382719829678535E-2</v>
      </c>
      <c r="X39" s="39">
        <f>ABS(R39-GNL!Q36)</f>
        <v>7.5852805748581886E-3</v>
      </c>
    </row>
    <row r="40" spans="1:24" x14ac:dyDescent="0.2">
      <c r="A40" s="32">
        <v>3175</v>
      </c>
      <c r="B40" s="32">
        <v>0.72</v>
      </c>
      <c r="C40" s="32">
        <v>56.8</v>
      </c>
      <c r="D40" s="43">
        <f t="shared" si="0"/>
        <v>55.75</v>
      </c>
      <c r="E40" s="28">
        <v>0.25</v>
      </c>
      <c r="F40" s="28">
        <v>0.35</v>
      </c>
      <c r="G40" s="28">
        <v>3174.9972547173461</v>
      </c>
      <c r="I40" s="5">
        <f t="shared" si="2"/>
        <v>6335034.5022402359</v>
      </c>
      <c r="J40" s="5">
        <f t="shared" si="3"/>
        <v>6378206.4000000004</v>
      </c>
      <c r="L40" s="96">
        <f t="shared" si="4"/>
        <v>6.8917357866842894E-7</v>
      </c>
      <c r="M40" s="96">
        <f t="shared" si="5"/>
        <v>-89.222952041687691</v>
      </c>
      <c r="N40" s="95">
        <f t="shared" si="1"/>
        <v>2982.9909047228371</v>
      </c>
      <c r="Q40" s="51">
        <v>10229028.59</v>
      </c>
      <c r="R40" s="51">
        <v>924348.92</v>
      </c>
      <c r="W40" s="39">
        <f>ABS(Q40-GNL!P37)</f>
        <v>1.2064823880791664E-2</v>
      </c>
      <c r="X40" s="39">
        <f>ABS(R40-GNL!Q37)</f>
        <v>8.2448412431403995E-3</v>
      </c>
    </row>
    <row r="41" spans="1:24" x14ac:dyDescent="0.2">
      <c r="A41" s="32">
        <v>3200</v>
      </c>
      <c r="B41" s="32">
        <v>0.82</v>
      </c>
      <c r="C41" s="32">
        <v>66.83</v>
      </c>
      <c r="D41" s="43">
        <f t="shared" si="0"/>
        <v>65.78</v>
      </c>
      <c r="E41" s="28">
        <v>0.41</v>
      </c>
      <c r="F41" s="28">
        <v>0.65</v>
      </c>
      <c r="G41" s="28">
        <v>3199.9950054336327</v>
      </c>
      <c r="I41" s="5">
        <f t="shared" ref="I41:I104" si="6">+L$6*(1-L$9)/(1-L$9*SIN(RADIANS(L40))^2)^1.5</f>
        <v>6335034.5022402359</v>
      </c>
      <c r="J41" s="5">
        <f t="shared" ref="J41:J104" si="7">+L$6/SQRT(1-L$9*SIN(RADIANS(L40))^2)</f>
        <v>6378206.4000000004</v>
      </c>
      <c r="L41" s="96">
        <f t="shared" si="4"/>
        <v>1.1302446690162234E-6</v>
      </c>
      <c r="M41" s="96">
        <f t="shared" si="5"/>
        <v>-89.222951220277139</v>
      </c>
      <c r="N41" s="95">
        <f t="shared" si="1"/>
        <v>3007.9886054436224</v>
      </c>
      <c r="Q41" s="51">
        <v>10229028.75</v>
      </c>
      <c r="R41" s="51">
        <v>924349.21</v>
      </c>
      <c r="T41" s="48"/>
      <c r="U41" s="48"/>
      <c r="W41" s="39">
        <f>ABS(Q41-GNL!P38)</f>
        <v>8.4890127182006836E-3</v>
      </c>
      <c r="X41" s="39">
        <f>ABS(R41-GNL!Q38)</f>
        <v>1.419638772495091E-2</v>
      </c>
    </row>
    <row r="42" spans="1:24" x14ac:dyDescent="0.2">
      <c r="A42" s="32">
        <v>3225</v>
      </c>
      <c r="B42" s="32">
        <v>0.87</v>
      </c>
      <c r="C42" s="32">
        <v>68.67</v>
      </c>
      <c r="D42" s="43">
        <f t="shared" si="0"/>
        <v>67.62</v>
      </c>
      <c r="E42" s="28">
        <v>0.56000000000000005</v>
      </c>
      <c r="F42" s="28">
        <v>0.99</v>
      </c>
      <c r="G42" s="28">
        <v>3224.9922863508482</v>
      </c>
      <c r="I42" s="5">
        <f t="shared" si="6"/>
        <v>6335034.5022402359</v>
      </c>
      <c r="J42" s="5">
        <f t="shared" si="7"/>
        <v>6378206.4000000004</v>
      </c>
      <c r="L42" s="96">
        <f t="shared" si="4"/>
        <v>1.5437488162172811E-6</v>
      </c>
      <c r="M42" s="96">
        <f t="shared" si="5"/>
        <v>-89.222950289345178</v>
      </c>
      <c r="N42" s="95">
        <f t="shared" si="1"/>
        <v>3032.9858363662756</v>
      </c>
      <c r="Q42" s="51">
        <v>10229028.890000001</v>
      </c>
      <c r="R42" s="51">
        <v>924349.55</v>
      </c>
      <c r="T42" s="48"/>
      <c r="U42" s="48"/>
      <c r="W42" s="39">
        <f>ABS(Q42-GNL!P39)</f>
        <v>7.9378467053174973E-3</v>
      </c>
      <c r="X42" s="39">
        <f>ABS(R42-GNL!Q39)</f>
        <v>1.5517338062636554E-2</v>
      </c>
    </row>
    <row r="43" spans="1:24" x14ac:dyDescent="0.2">
      <c r="A43" s="32">
        <v>3250</v>
      </c>
      <c r="B43" s="32">
        <v>0.87</v>
      </c>
      <c r="C43" s="32">
        <v>70.62</v>
      </c>
      <c r="D43" s="43">
        <f t="shared" si="0"/>
        <v>69.570000000000007</v>
      </c>
      <c r="E43" s="28">
        <v>0.69</v>
      </c>
      <c r="F43" s="28">
        <v>1.34</v>
      </c>
      <c r="G43" s="28">
        <v>3249.9894049008853</v>
      </c>
      <c r="I43" s="5">
        <f t="shared" si="6"/>
        <v>6335034.5022402359</v>
      </c>
      <c r="J43" s="5">
        <f t="shared" si="7"/>
        <v>6378206.4000000004</v>
      </c>
      <c r="L43" s="96">
        <f t="shared" si="4"/>
        <v>1.9021190771248639E-6</v>
      </c>
      <c r="M43" s="96">
        <f t="shared" si="5"/>
        <v>-89.222949331032865</v>
      </c>
      <c r="N43" s="95">
        <f t="shared" si="1"/>
        <v>3057.9829049220757</v>
      </c>
      <c r="Q43" s="51">
        <v>10229029.02</v>
      </c>
      <c r="R43" s="51">
        <v>924349.91</v>
      </c>
      <c r="T43" s="48"/>
      <c r="U43" s="48"/>
      <c r="W43" s="39">
        <f>ABS(Q43-GNL!P40)</f>
        <v>9.9798552691936493E-3</v>
      </c>
      <c r="X43" s="39">
        <f>ABS(R43-GNL!Q40)</f>
        <v>1.1422927025705576E-2</v>
      </c>
    </row>
    <row r="44" spans="1:24" x14ac:dyDescent="0.2">
      <c r="A44" s="32">
        <v>3275</v>
      </c>
      <c r="B44" s="32">
        <v>0.83</v>
      </c>
      <c r="C44" s="32">
        <v>70.150000000000006</v>
      </c>
      <c r="D44" s="43">
        <f t="shared" si="0"/>
        <v>69.100000000000009</v>
      </c>
      <c r="E44" s="28">
        <v>0.83</v>
      </c>
      <c r="F44" s="28">
        <v>1.69</v>
      </c>
      <c r="G44" s="28">
        <v>3274.9866533984591</v>
      </c>
      <c r="I44" s="5">
        <f t="shared" si="6"/>
        <v>6335034.5022402359</v>
      </c>
      <c r="J44" s="5">
        <f t="shared" si="7"/>
        <v>6378206.4000000004</v>
      </c>
      <c r="L44" s="96">
        <f t="shared" si="4"/>
        <v>2.2880562811791842E-6</v>
      </c>
      <c r="M44" s="96">
        <f t="shared" si="5"/>
        <v>-89.222948372720552</v>
      </c>
      <c r="N44" s="95">
        <f t="shared" si="1"/>
        <v>3082.9801034251527</v>
      </c>
      <c r="Q44" s="51">
        <v>10229029.15</v>
      </c>
      <c r="R44" s="51">
        <v>924350.26</v>
      </c>
      <c r="T44" s="48"/>
      <c r="U44" s="48"/>
      <c r="W44" s="39">
        <f>ABS(Q44-GNL!P41)</f>
        <v>4.4682491570711136E-3</v>
      </c>
      <c r="X44" s="39">
        <f>ABS(R44-GNL!Q41)</f>
        <v>1.0844169417396188E-2</v>
      </c>
    </row>
    <row r="45" spans="1:24" x14ac:dyDescent="0.2">
      <c r="A45" s="33">
        <v>3300</v>
      </c>
      <c r="B45" s="33">
        <v>0.78</v>
      </c>
      <c r="C45" s="33">
        <v>65.7</v>
      </c>
      <c r="D45" s="43">
        <f t="shared" si="0"/>
        <v>64.650000000000006</v>
      </c>
      <c r="E45" s="28">
        <v>0.96</v>
      </c>
      <c r="F45" s="28">
        <v>2.0099999999999998</v>
      </c>
      <c r="G45" s="28">
        <v>3299.9841876262476</v>
      </c>
      <c r="I45" s="5">
        <f t="shared" si="6"/>
        <v>6335034.5022402359</v>
      </c>
      <c r="J45" s="5">
        <f t="shared" si="7"/>
        <v>6378206.4000000004</v>
      </c>
      <c r="L45" s="96">
        <f t="shared" si="4"/>
        <v>2.6464265420867672E-6</v>
      </c>
      <c r="M45" s="96">
        <f t="shared" si="5"/>
        <v>-89.222947496549295</v>
      </c>
      <c r="N45" s="95">
        <f t="shared" si="1"/>
        <v>3107.9775876578728</v>
      </c>
      <c r="Q45" s="51">
        <v>10229029.279999999</v>
      </c>
      <c r="R45" s="51">
        <v>924350.58</v>
      </c>
      <c r="T45" s="48"/>
      <c r="U45" s="48"/>
      <c r="W45" s="39">
        <f>ABS(Q45-GNL!P42)</f>
        <v>6.0022622346878052E-3</v>
      </c>
      <c r="X45" s="39">
        <f>ABS(R45-GNL!Q42)</f>
        <v>1.6306263278238475E-2</v>
      </c>
    </row>
    <row r="46" spans="1:24" x14ac:dyDescent="0.2">
      <c r="A46" s="33">
        <v>3325</v>
      </c>
      <c r="B46" s="33">
        <v>0.57999999999999996</v>
      </c>
      <c r="C46" s="33">
        <v>60.97</v>
      </c>
      <c r="D46" s="43">
        <f t="shared" si="0"/>
        <v>59.92</v>
      </c>
      <c r="E46" s="28">
        <v>1.1000000000000001</v>
      </c>
      <c r="F46" s="28">
        <v>2.27</v>
      </c>
      <c r="G46" s="28">
        <v>3324.9824162220448</v>
      </c>
      <c r="I46" s="5">
        <f t="shared" si="6"/>
        <v>6335034.5022402359</v>
      </c>
      <c r="J46" s="5">
        <f t="shared" si="7"/>
        <v>6378206.4000000004</v>
      </c>
      <c r="L46" s="96">
        <f t="shared" si="4"/>
        <v>3.0323637461410877E-6</v>
      </c>
      <c r="M46" s="96">
        <f t="shared" si="5"/>
        <v>-89.222946784660138</v>
      </c>
      <c r="N46" s="95">
        <f t="shared" si="1"/>
        <v>3132.9757662572129</v>
      </c>
      <c r="Q46" s="51">
        <v>10229029.41</v>
      </c>
      <c r="R46" s="51">
        <v>924350.85</v>
      </c>
      <c r="T46" s="48"/>
      <c r="U46" s="48"/>
      <c r="W46" s="39">
        <f>ABS(Q46-GNL!P43)</f>
        <v>7.4548628181219101E-3</v>
      </c>
      <c r="X46" s="39">
        <f>ABS(R46-GNL!Q43)</f>
        <v>1.2081499211490154E-2</v>
      </c>
    </row>
    <row r="47" spans="1:24" x14ac:dyDescent="0.2">
      <c r="A47" s="33">
        <v>3350</v>
      </c>
      <c r="B47" s="33">
        <v>0.52</v>
      </c>
      <c r="C47" s="33">
        <v>66.2</v>
      </c>
      <c r="D47" s="43">
        <f t="shared" si="0"/>
        <v>65.150000000000006</v>
      </c>
      <c r="E47" s="28">
        <v>1.21</v>
      </c>
      <c r="F47" s="28">
        <v>2.48</v>
      </c>
      <c r="G47" s="28">
        <v>3349.9812648475672</v>
      </c>
      <c r="I47" s="5">
        <f t="shared" si="6"/>
        <v>6335034.5022402359</v>
      </c>
      <c r="J47" s="5">
        <f t="shared" si="7"/>
        <v>6378206.4000000004</v>
      </c>
      <c r="L47" s="96">
        <f t="shared" si="4"/>
        <v>3.3356001207551963E-6</v>
      </c>
      <c r="M47" s="96">
        <f t="shared" si="5"/>
        <v>-89.222946209672742</v>
      </c>
      <c r="N47" s="95">
        <f t="shared" si="1"/>
        <v>3157.974564885038</v>
      </c>
      <c r="Q47" s="51">
        <v>10229029.52</v>
      </c>
      <c r="R47" s="51">
        <v>924351.06</v>
      </c>
      <c r="T47" s="48"/>
      <c r="U47" s="48"/>
      <c r="W47" s="39">
        <f>ABS(Q47-GNL!P44)</f>
        <v>4.6578887850046158E-3</v>
      </c>
      <c r="X47" s="39">
        <f>ABS(R47-GNL!Q44)</f>
        <v>1.6556052025407553E-2</v>
      </c>
    </row>
    <row r="48" spans="1:24" x14ac:dyDescent="0.2">
      <c r="A48" s="33">
        <v>3375</v>
      </c>
      <c r="B48" s="33">
        <v>0.42</v>
      </c>
      <c r="C48" s="33">
        <v>67.5</v>
      </c>
      <c r="D48" s="43">
        <f t="shared" si="0"/>
        <v>66.45</v>
      </c>
      <c r="E48" s="28">
        <v>1.29</v>
      </c>
      <c r="F48" s="28">
        <v>2.67</v>
      </c>
      <c r="G48" s="28">
        <v>3374.9804206257872</v>
      </c>
      <c r="I48" s="5">
        <f t="shared" si="6"/>
        <v>6335034.5022402359</v>
      </c>
      <c r="J48" s="5">
        <f t="shared" si="7"/>
        <v>6378206.4000000004</v>
      </c>
      <c r="L48" s="96">
        <f t="shared" si="4"/>
        <v>3.5561356659290937E-6</v>
      </c>
      <c r="M48" s="96">
        <f t="shared" si="5"/>
        <v>-89.22294568944605</v>
      </c>
      <c r="N48" s="95">
        <f t="shared" si="1"/>
        <v>3182.9736706649464</v>
      </c>
      <c r="Q48" s="52">
        <v>10229029.6</v>
      </c>
      <c r="R48" s="52">
        <v>924351.25</v>
      </c>
      <c r="T48" s="48"/>
      <c r="U48" s="48"/>
      <c r="W48" s="39">
        <f>ABS(Q48-GNL!P45)</f>
        <v>5.5179670453071594E-3</v>
      </c>
      <c r="X48" s="39">
        <f>ABS(R48-GNL!Q45)</f>
        <v>1.5042734681628644E-2</v>
      </c>
    </row>
    <row r="49" spans="1:24" x14ac:dyDescent="0.2">
      <c r="A49" s="33">
        <v>3400</v>
      </c>
      <c r="B49" s="33">
        <v>0.32</v>
      </c>
      <c r="C49" s="33">
        <v>75.180000000000007</v>
      </c>
      <c r="D49" s="43">
        <f t="shared" si="0"/>
        <v>74.13000000000001</v>
      </c>
      <c r="E49" s="28">
        <v>1.35</v>
      </c>
      <c r="F49" s="28">
        <v>2.82</v>
      </c>
      <c r="G49" s="28">
        <v>3399.9798977081246</v>
      </c>
      <c r="I49" s="5">
        <f t="shared" si="6"/>
        <v>6335034.5022402359</v>
      </c>
      <c r="J49" s="5">
        <f t="shared" si="7"/>
        <v>6378206.4000000004</v>
      </c>
      <c r="L49" s="96">
        <f t="shared" si="4"/>
        <v>3.7215373248095167E-6</v>
      </c>
      <c r="M49" s="96">
        <f t="shared" si="5"/>
        <v>-89.222945278740767</v>
      </c>
      <c r="N49" s="95">
        <f t="shared" si="1"/>
        <v>3207.9730977483296</v>
      </c>
      <c r="Q49" s="52">
        <v>10229029.65</v>
      </c>
      <c r="R49" s="52">
        <v>924351.41</v>
      </c>
      <c r="T49" s="48"/>
      <c r="U49" s="48"/>
      <c r="W49" s="39">
        <f>ABS(Q49-GNL!P46)</f>
        <v>8.4496587514877319E-3</v>
      </c>
      <c r="X49" s="39">
        <f>ABS(R49-GNL!Q46)</f>
        <v>7.2156324749812484E-3</v>
      </c>
    </row>
    <row r="50" spans="1:24" x14ac:dyDescent="0.2">
      <c r="A50" s="32">
        <v>3425</v>
      </c>
      <c r="B50" s="32">
        <v>0.2</v>
      </c>
      <c r="C50" s="32">
        <v>54.48</v>
      </c>
      <c r="D50" s="43">
        <f t="shared" si="0"/>
        <v>53.43</v>
      </c>
      <c r="E50" s="28">
        <v>1.4</v>
      </c>
      <c r="F50" s="28">
        <v>2.92</v>
      </c>
      <c r="G50" s="28">
        <v>3424.9796409815149</v>
      </c>
      <c r="I50" s="5">
        <f t="shared" si="6"/>
        <v>6335034.5022402359</v>
      </c>
      <c r="J50" s="5">
        <f t="shared" si="7"/>
        <v>6378206.4000000004</v>
      </c>
      <c r="L50" s="96">
        <f t="shared" si="4"/>
        <v>3.8593720405432023E-6</v>
      </c>
      <c r="M50" s="96">
        <f t="shared" si="5"/>
        <v>-89.222945004937245</v>
      </c>
      <c r="N50" s="95">
        <f t="shared" si="1"/>
        <v>3232.9727910222337</v>
      </c>
      <c r="Q50" s="52">
        <v>10229029.689999999</v>
      </c>
      <c r="R50" s="52">
        <v>924351.51</v>
      </c>
      <c r="T50" s="48"/>
      <c r="U50" s="48"/>
      <c r="W50" s="39">
        <f>ABS(Q50-GNL!P47)</f>
        <v>1.1664958670735359E-2</v>
      </c>
      <c r="X50" s="39">
        <f>ABS(R50-GNL!Q47)</f>
        <v>1.0238847928121686E-2</v>
      </c>
    </row>
    <row r="51" spans="1:24" x14ac:dyDescent="0.2">
      <c r="A51" s="32">
        <v>3450</v>
      </c>
      <c r="B51" s="32">
        <v>0.08</v>
      </c>
      <c r="C51" s="32">
        <v>28.03</v>
      </c>
      <c r="D51" s="43">
        <f t="shared" si="0"/>
        <v>26.98</v>
      </c>
      <c r="E51" s="28">
        <v>1.44</v>
      </c>
      <c r="F51" s="28">
        <v>2.97</v>
      </c>
      <c r="G51" s="28">
        <v>3449.9795639067825</v>
      </c>
      <c r="I51" s="5">
        <f t="shared" si="6"/>
        <v>6335034.5022402359</v>
      </c>
      <c r="J51" s="5">
        <f t="shared" si="7"/>
        <v>6378206.4000000004</v>
      </c>
      <c r="L51" s="96">
        <f t="shared" si="4"/>
        <v>3.9696398131301512E-6</v>
      </c>
      <c r="M51" s="96">
        <f t="shared" si="5"/>
        <v>-89.222944868035484</v>
      </c>
      <c r="N51" s="95">
        <f t="shared" si="1"/>
        <v>3257.9726639476548</v>
      </c>
      <c r="Q51" s="52">
        <v>10229029.73</v>
      </c>
      <c r="R51" s="52">
        <v>924351.55</v>
      </c>
      <c r="T51" s="48"/>
      <c r="U51" s="48"/>
      <c r="W51" s="39">
        <f>ABS(Q51-GNL!P48)</f>
        <v>1.2428894639015198E-2</v>
      </c>
      <c r="X51" s="39">
        <f>ABS(R51-GNL!Q48)</f>
        <v>1.3962459983304143E-2</v>
      </c>
    </row>
    <row r="52" spans="1:24" x14ac:dyDescent="0.2">
      <c r="A52" s="32">
        <v>3475</v>
      </c>
      <c r="B52" s="32">
        <v>0.13</v>
      </c>
      <c r="C52" s="32">
        <v>354.18</v>
      </c>
      <c r="D52" s="43">
        <f t="shared" si="0"/>
        <v>353.13</v>
      </c>
      <c r="E52" s="28">
        <v>1.48</v>
      </c>
      <c r="F52" s="28">
        <v>2.97</v>
      </c>
      <c r="G52" s="28">
        <v>3474.9795233708596</v>
      </c>
      <c r="I52" s="5">
        <f t="shared" si="6"/>
        <v>6335034.5022402359</v>
      </c>
      <c r="J52" s="5">
        <f t="shared" si="7"/>
        <v>6378206.4000000004</v>
      </c>
      <c r="L52" s="96">
        <f t="shared" si="4"/>
        <v>4.0799075857171002E-6</v>
      </c>
      <c r="M52" s="96">
        <f t="shared" si="5"/>
        <v>-89.222944868035484</v>
      </c>
      <c r="N52" s="95">
        <f t="shared" si="1"/>
        <v>3282.9725734118133</v>
      </c>
      <c r="Q52" s="52">
        <v>10229029.779999999</v>
      </c>
      <c r="R52" s="52">
        <v>924351.56</v>
      </c>
      <c r="T52" s="48"/>
      <c r="U52" s="48"/>
      <c r="W52" s="39">
        <f>ABS(Q52-GNL!P49)</f>
        <v>6.0584452003240585E-3</v>
      </c>
      <c r="X52" s="39">
        <f>ABS(R52-GNL!Q49)</f>
        <v>9.2893759720027447E-3</v>
      </c>
    </row>
    <row r="53" spans="1:24" x14ac:dyDescent="0.2">
      <c r="A53" s="32">
        <v>3500</v>
      </c>
      <c r="B53" s="32">
        <v>7.0000000000000007E-2</v>
      </c>
      <c r="C53" s="32">
        <v>289.58</v>
      </c>
      <c r="D53" s="43">
        <f t="shared" si="0"/>
        <v>288.52999999999997</v>
      </c>
      <c r="E53" s="28">
        <v>1.51</v>
      </c>
      <c r="F53" s="28">
        <v>2.95</v>
      </c>
      <c r="G53" s="28">
        <v>3499.9794907472096</v>
      </c>
      <c r="I53" s="5">
        <f t="shared" si="6"/>
        <v>6335034.5022402359</v>
      </c>
      <c r="J53" s="5">
        <f t="shared" si="7"/>
        <v>6378206.4000000004</v>
      </c>
      <c r="L53" s="96">
        <f t="shared" si="4"/>
        <v>4.1626084151573121E-6</v>
      </c>
      <c r="M53" s="96">
        <f t="shared" si="5"/>
        <v>-89.222944922796188</v>
      </c>
      <c r="N53" s="95">
        <f t="shared" si="1"/>
        <v>3307.9724907882287</v>
      </c>
      <c r="Q53" s="52">
        <v>10229029.810000001</v>
      </c>
      <c r="R53" s="52">
        <v>924351.54</v>
      </c>
      <c r="T53" s="48"/>
      <c r="U53" s="48"/>
      <c r="W53" s="39">
        <f>ABS(Q53-GNL!P50)</f>
        <v>9.3979071825742722E-3</v>
      </c>
      <c r="X53" s="39">
        <f>ABS(R53-GNL!Q50)</f>
        <v>1.202165603172034E-2</v>
      </c>
    </row>
    <row r="54" spans="1:24" x14ac:dyDescent="0.2">
      <c r="A54" s="32">
        <v>3525</v>
      </c>
      <c r="B54" s="32">
        <v>0.12</v>
      </c>
      <c r="C54" s="32">
        <v>353.72</v>
      </c>
      <c r="D54" s="43">
        <f t="shared" si="0"/>
        <v>352.67</v>
      </c>
      <c r="E54" s="28">
        <v>1.54</v>
      </c>
      <c r="F54" s="28">
        <v>2.94</v>
      </c>
      <c r="G54" s="28">
        <v>3524.9794616005779</v>
      </c>
      <c r="I54" s="5">
        <f t="shared" si="6"/>
        <v>6335034.5022402359</v>
      </c>
      <c r="J54" s="5">
        <f t="shared" si="7"/>
        <v>6378206.4000000004</v>
      </c>
      <c r="L54" s="96">
        <f t="shared" si="4"/>
        <v>4.245309244597524E-6</v>
      </c>
      <c r="M54" s="96">
        <f t="shared" si="5"/>
        <v>-89.22294495017654</v>
      </c>
      <c r="N54" s="95">
        <f t="shared" si="1"/>
        <v>3332.9724116416551</v>
      </c>
      <c r="Q54" s="52">
        <v>10229029.84</v>
      </c>
      <c r="R54" s="52">
        <v>924351.52</v>
      </c>
      <c r="T54" s="48"/>
      <c r="U54" s="48"/>
      <c r="W54" s="39">
        <f>ABS(Q54-GNL!P51)</f>
        <v>1.0544396936893463E-2</v>
      </c>
      <c r="X54" s="39">
        <f>ABS(R54-GNL!Q51)</f>
        <v>1.4766152482479811E-2</v>
      </c>
    </row>
    <row r="55" spans="1:24" x14ac:dyDescent="0.2">
      <c r="A55" s="32">
        <v>3550</v>
      </c>
      <c r="B55" s="32">
        <v>0.18</v>
      </c>
      <c r="C55" s="32">
        <v>356.23</v>
      </c>
      <c r="D55" s="43">
        <f t="shared" si="0"/>
        <v>355.18</v>
      </c>
      <c r="E55" s="28">
        <v>1.61</v>
      </c>
      <c r="F55" s="28">
        <v>2.93</v>
      </c>
      <c r="G55" s="28">
        <v>3549.9793748109687</v>
      </c>
      <c r="I55" s="5">
        <f t="shared" si="6"/>
        <v>6335034.5022402359</v>
      </c>
      <c r="J55" s="5">
        <f t="shared" si="7"/>
        <v>6378206.4000000004</v>
      </c>
      <c r="L55" s="96">
        <f t="shared" si="4"/>
        <v>4.4382778466246841E-6</v>
      </c>
      <c r="M55" s="96">
        <f t="shared" si="5"/>
        <v>-89.222944977556892</v>
      </c>
      <c r="N55" s="95">
        <f t="shared" si="1"/>
        <v>3357.9722748522195</v>
      </c>
      <c r="Q55" s="52">
        <v>10229029.91</v>
      </c>
      <c r="R55" s="52">
        <v>924351.52</v>
      </c>
      <c r="T55" s="48"/>
      <c r="U55" s="48"/>
      <c r="W55" s="39">
        <f>ABS(Q55-GNL!P52)</f>
        <v>5.7642161846160889E-3</v>
      </c>
      <c r="X55" s="39">
        <f>ABS(R55-GNL!Q52)</f>
        <v>9.3193381326273084E-3</v>
      </c>
    </row>
    <row r="56" spans="1:24" x14ac:dyDescent="0.2">
      <c r="A56" s="32">
        <v>3575</v>
      </c>
      <c r="B56" s="32">
        <v>0.13</v>
      </c>
      <c r="C56" s="32">
        <v>333.68</v>
      </c>
      <c r="D56" s="43">
        <f t="shared" si="0"/>
        <v>332.63</v>
      </c>
      <c r="E56" s="28">
        <v>1.67</v>
      </c>
      <c r="F56" s="28">
        <v>2.91</v>
      </c>
      <c r="G56" s="28">
        <v>3574.9792848080428</v>
      </c>
      <c r="I56" s="5">
        <f t="shared" si="6"/>
        <v>6335034.5022402359</v>
      </c>
      <c r="J56" s="5">
        <f t="shared" si="7"/>
        <v>6378206.4000000004</v>
      </c>
      <c r="L56" s="96">
        <f t="shared" si="4"/>
        <v>4.6036795055051062E-6</v>
      </c>
      <c r="M56" s="96">
        <f t="shared" si="5"/>
        <v>-89.222945032317597</v>
      </c>
      <c r="N56" s="95">
        <f t="shared" si="1"/>
        <v>3382.9721348494741</v>
      </c>
      <c r="Q56" s="52">
        <v>10229029.970000001</v>
      </c>
      <c r="R56" s="52">
        <v>924351.5</v>
      </c>
      <c r="T56" s="48"/>
      <c r="U56" s="48"/>
      <c r="W56" s="39">
        <f>ABS(Q56-GNL!P53)</f>
        <v>1.0382486507296562E-2</v>
      </c>
      <c r="X56" s="39">
        <f>ABS(R56-GNL!Q53)</f>
        <v>1.4159395941533148E-2</v>
      </c>
    </row>
    <row r="57" spans="1:24" x14ac:dyDescent="0.2">
      <c r="A57" s="32">
        <v>3600</v>
      </c>
      <c r="B57" s="32">
        <v>0.23</v>
      </c>
      <c r="C57" s="32">
        <v>12.47</v>
      </c>
      <c r="D57" s="43">
        <f t="shared" si="0"/>
        <v>11.42</v>
      </c>
      <c r="E57" s="28">
        <v>1.75</v>
      </c>
      <c r="F57" s="28">
        <v>2.91</v>
      </c>
      <c r="G57" s="28">
        <v>3599.9791666349788</v>
      </c>
      <c r="I57" s="5">
        <f t="shared" si="6"/>
        <v>6335034.5022402359</v>
      </c>
      <c r="J57" s="5">
        <f t="shared" si="7"/>
        <v>6378206.4000000004</v>
      </c>
      <c r="L57" s="96">
        <f t="shared" si="4"/>
        <v>4.8242150506790041E-6</v>
      </c>
      <c r="M57" s="96">
        <f t="shared" si="5"/>
        <v>-89.222945032317597</v>
      </c>
      <c r="N57" s="95">
        <f t="shared" si="1"/>
        <v>3407.9719666766464</v>
      </c>
      <c r="Q57" s="52">
        <v>10229030.050000001</v>
      </c>
      <c r="R57" s="52">
        <v>924351.5</v>
      </c>
      <c r="T57" s="48"/>
      <c r="U57" s="48"/>
      <c r="W57" s="39">
        <f>ABS(Q57-GNL!P54)</f>
        <v>4.812091588973999E-3</v>
      </c>
      <c r="X57" s="39">
        <f>ABS(R57-GNL!Q54)</f>
        <v>1.2418872094713151E-2</v>
      </c>
    </row>
    <row r="58" spans="1:24" x14ac:dyDescent="0.2">
      <c r="A58" s="32">
        <v>3625</v>
      </c>
      <c r="B58" s="32">
        <v>0.22</v>
      </c>
      <c r="C58" s="32">
        <v>5.18</v>
      </c>
      <c r="D58" s="43">
        <f t="shared" si="0"/>
        <v>4.13</v>
      </c>
      <c r="E58" s="28">
        <v>1.85</v>
      </c>
      <c r="F58" s="28">
        <v>2.92</v>
      </c>
      <c r="G58" s="28">
        <v>3624.9789743569222</v>
      </c>
      <c r="I58" s="5">
        <f t="shared" si="6"/>
        <v>6335034.5022402359</v>
      </c>
      <c r="J58" s="5">
        <f t="shared" si="7"/>
        <v>6378206.4000000004</v>
      </c>
      <c r="L58" s="96">
        <f t="shared" si="4"/>
        <v>5.0998844821463761E-6</v>
      </c>
      <c r="M58" s="96">
        <f t="shared" si="5"/>
        <v>-89.222945004937245</v>
      </c>
      <c r="N58" s="95">
        <f t="shared" si="1"/>
        <v>3432.9717243989744</v>
      </c>
      <c r="Q58" s="52">
        <v>10229030.140000001</v>
      </c>
      <c r="R58" s="52">
        <v>924351.52</v>
      </c>
      <c r="T58" s="48"/>
      <c r="U58" s="48"/>
      <c r="W58" s="39">
        <f>ABS(Q58-GNL!P55)</f>
        <v>1.1624855920672417E-2</v>
      </c>
      <c r="X58" s="39">
        <f>ABS(R58-GNL!Q55)</f>
        <v>7.5899220537394285E-3</v>
      </c>
    </row>
    <row r="59" spans="1:24" x14ac:dyDescent="0.2">
      <c r="A59" s="32">
        <v>3650</v>
      </c>
      <c r="B59" s="32">
        <v>0.22</v>
      </c>
      <c r="C59" s="32">
        <v>352.23</v>
      </c>
      <c r="D59" s="43">
        <f t="shared" si="0"/>
        <v>351.18</v>
      </c>
      <c r="E59" s="28">
        <v>1.94</v>
      </c>
      <c r="F59" s="28">
        <v>2.92</v>
      </c>
      <c r="G59" s="28">
        <v>3649.9787916260311</v>
      </c>
      <c r="I59" s="5">
        <f t="shared" si="6"/>
        <v>6335034.5022402359</v>
      </c>
      <c r="J59" s="5">
        <f t="shared" si="7"/>
        <v>6378206.4000000004</v>
      </c>
      <c r="L59" s="96">
        <f t="shared" si="4"/>
        <v>5.3479869704670102E-6</v>
      </c>
      <c r="M59" s="96">
        <f t="shared" si="5"/>
        <v>-89.222945004937245</v>
      </c>
      <c r="N59" s="95">
        <f t="shared" si="1"/>
        <v>3457.9714916684484</v>
      </c>
      <c r="Q59" s="52">
        <v>10229030.24</v>
      </c>
      <c r="R59" s="52">
        <v>924351.51</v>
      </c>
      <c r="T59" s="48"/>
      <c r="U59" s="48"/>
      <c r="W59" s="39">
        <f>ABS(Q59-GNL!P56)</f>
        <v>6.9987867027521133E-3</v>
      </c>
      <c r="X59" s="39">
        <f>ABS(R59-GNL!Q56)</f>
        <v>1.5433912049047649E-2</v>
      </c>
    </row>
    <row r="60" spans="1:24" x14ac:dyDescent="0.2">
      <c r="A60" s="32">
        <v>3675</v>
      </c>
      <c r="B60" s="32">
        <v>0.27</v>
      </c>
      <c r="C60" s="32">
        <v>349.2</v>
      </c>
      <c r="D60" s="43">
        <f t="shared" si="0"/>
        <v>348.15</v>
      </c>
      <c r="E60" s="28">
        <v>2.0499999999999998</v>
      </c>
      <c r="F60" s="28">
        <v>2.9</v>
      </c>
      <c r="G60" s="28">
        <v>3674.9785623802522</v>
      </c>
      <c r="I60" s="5">
        <f t="shared" si="6"/>
        <v>6335034.5022402378</v>
      </c>
      <c r="J60" s="5">
        <f t="shared" si="7"/>
        <v>6378206.4000000004</v>
      </c>
      <c r="L60" s="96">
        <f t="shared" si="4"/>
        <v>5.6512233450811183E-6</v>
      </c>
      <c r="M60" s="96">
        <f t="shared" si="5"/>
        <v>-89.222945059697949</v>
      </c>
      <c r="N60" s="95">
        <f t="shared" si="1"/>
        <v>3482.9712124231273</v>
      </c>
      <c r="Q60" s="52">
        <v>10229030.34</v>
      </c>
      <c r="R60" s="52">
        <v>924351.5</v>
      </c>
      <c r="T60" s="48"/>
      <c r="U60" s="48"/>
      <c r="W60" s="39">
        <f>ABS(Q60-GNL!P57)</f>
        <v>1.243545301258564E-2</v>
      </c>
      <c r="X60" s="39">
        <f>ABS(R60-GNL!Q57)</f>
        <v>7.9040566924959421E-3</v>
      </c>
    </row>
    <row r="61" spans="1:24" x14ac:dyDescent="0.2">
      <c r="A61" s="32">
        <v>3700</v>
      </c>
      <c r="B61" s="32">
        <v>0.28000000000000003</v>
      </c>
      <c r="C61" s="32">
        <v>352.58</v>
      </c>
      <c r="D61" s="43">
        <f t="shared" si="0"/>
        <v>351.53</v>
      </c>
      <c r="E61" s="28">
        <v>2.16</v>
      </c>
      <c r="F61" s="28">
        <v>2.88</v>
      </c>
      <c r="G61" s="28">
        <v>3699.9782745573325</v>
      </c>
      <c r="I61" s="5">
        <f t="shared" si="6"/>
        <v>6335034.5022402378</v>
      </c>
      <c r="J61" s="5">
        <f t="shared" si="7"/>
        <v>6378206.4000000004</v>
      </c>
      <c r="L61" s="96">
        <f t="shared" si="4"/>
        <v>5.9544597196952281E-6</v>
      </c>
      <c r="M61" s="96">
        <f t="shared" si="5"/>
        <v>-89.222945114458653</v>
      </c>
      <c r="N61" s="95">
        <f t="shared" si="1"/>
        <v>3507.9708746007836</v>
      </c>
      <c r="Q61" s="52">
        <v>10229030.460000001</v>
      </c>
      <c r="R61" s="52">
        <v>924351.48</v>
      </c>
      <c r="T61" s="48"/>
      <c r="U61" s="48"/>
      <c r="W61" s="39">
        <f>ABS(Q61-GNL!P58)</f>
        <v>1.089351624250412E-2</v>
      </c>
      <c r="X61" s="39">
        <f>ABS(R61-GNL!Q58)</f>
        <v>8.9741174597293139E-3</v>
      </c>
    </row>
    <row r="62" spans="1:24" x14ac:dyDescent="0.2">
      <c r="A62" s="32">
        <v>3725</v>
      </c>
      <c r="B62" s="32">
        <v>0.32</v>
      </c>
      <c r="C62" s="32">
        <v>4.55</v>
      </c>
      <c r="D62" s="43">
        <f t="shared" si="0"/>
        <v>3.5</v>
      </c>
      <c r="E62" s="28">
        <v>2.29</v>
      </c>
      <c r="F62" s="28">
        <v>2.87</v>
      </c>
      <c r="G62" s="28">
        <v>3724.9779338285475</v>
      </c>
      <c r="I62" s="5">
        <f t="shared" si="6"/>
        <v>6335034.5022402378</v>
      </c>
      <c r="J62" s="5">
        <f t="shared" si="7"/>
        <v>6378206.4000000004</v>
      </c>
      <c r="L62" s="96">
        <f t="shared" si="4"/>
        <v>6.3128299806028112E-6</v>
      </c>
      <c r="M62" s="96">
        <f t="shared" si="5"/>
        <v>-89.222945141839006</v>
      </c>
      <c r="N62" s="95">
        <f t="shared" si="1"/>
        <v>3532.9704838726807</v>
      </c>
      <c r="Q62" s="52">
        <v>10229030.59</v>
      </c>
      <c r="R62" s="52">
        <v>924351.47</v>
      </c>
      <c r="T62" s="48"/>
      <c r="U62" s="48"/>
      <c r="W62" s="39">
        <f>ABS(Q62-GNL!P59)</f>
        <v>1.1085290461778641E-2</v>
      </c>
      <c r="X62" s="39">
        <f>ABS(R62-GNL!Q59)</f>
        <v>1.6623073955997825E-2</v>
      </c>
    </row>
    <row r="63" spans="1:24" x14ac:dyDescent="0.2">
      <c r="A63" s="32">
        <v>3750</v>
      </c>
      <c r="B63" s="32">
        <v>0.25</v>
      </c>
      <c r="C63" s="32">
        <v>0.23</v>
      </c>
      <c r="D63" s="43">
        <f t="shared" si="0"/>
        <v>-0.82000000000000006</v>
      </c>
      <c r="E63" s="28">
        <v>2.42</v>
      </c>
      <c r="F63" s="28">
        <v>2.88</v>
      </c>
      <c r="G63" s="28">
        <v>3749.9776232809895</v>
      </c>
      <c r="I63" s="5">
        <f t="shared" si="6"/>
        <v>6335034.5022402378</v>
      </c>
      <c r="J63" s="5">
        <f t="shared" si="7"/>
        <v>6378206.4000000004</v>
      </c>
      <c r="L63" s="96">
        <f t="shared" si="4"/>
        <v>6.6712002415103942E-6</v>
      </c>
      <c r="M63" s="96">
        <f t="shared" si="5"/>
        <v>-89.222945114458653</v>
      </c>
      <c r="N63" s="95">
        <f t="shared" si="1"/>
        <v>3557.9701233257429</v>
      </c>
      <c r="Q63" s="52">
        <v>10229030.720000001</v>
      </c>
      <c r="R63" s="52">
        <v>924351.48</v>
      </c>
      <c r="T63" s="48"/>
      <c r="U63" s="48"/>
      <c r="W63" s="39">
        <f>ABS(Q63-GNL!P60)</f>
        <v>5.2421130239963531E-3</v>
      </c>
      <c r="X63" s="39">
        <f>ABS(R63-GNL!Q60)</f>
        <v>1.2381270993500948E-2</v>
      </c>
    </row>
    <row r="64" spans="1:24" x14ac:dyDescent="0.2">
      <c r="A64" s="32">
        <v>3775</v>
      </c>
      <c r="B64" s="32">
        <v>0.56999999999999995</v>
      </c>
      <c r="C64" s="32">
        <v>15.48</v>
      </c>
      <c r="D64" s="43">
        <f t="shared" si="0"/>
        <v>14.43</v>
      </c>
      <c r="E64" s="28">
        <v>2.59</v>
      </c>
      <c r="F64" s="28">
        <v>2.91</v>
      </c>
      <c r="G64" s="28">
        <v>3774.9769570832473</v>
      </c>
      <c r="I64" s="5">
        <f t="shared" si="6"/>
        <v>6335034.5022402378</v>
      </c>
      <c r="J64" s="5">
        <f t="shared" si="7"/>
        <v>6378206.4000000004</v>
      </c>
      <c r="L64" s="96">
        <f t="shared" si="4"/>
        <v>7.1398382750049253E-6</v>
      </c>
      <c r="M64" s="96">
        <f t="shared" si="5"/>
        <v>-89.222945032317597</v>
      </c>
      <c r="N64" s="95">
        <f t="shared" si="1"/>
        <v>3582.9694071293338</v>
      </c>
      <c r="Q64" s="52">
        <v>10229030.890000001</v>
      </c>
      <c r="R64" s="52">
        <v>924351.51</v>
      </c>
      <c r="T64" s="48"/>
      <c r="U64" s="48"/>
      <c r="W64" s="39">
        <f>ABS(Q64-GNL!P61)</f>
        <v>9.6575729548931122E-3</v>
      </c>
      <c r="X64" s="39">
        <f>ABS(R64-GNL!Q61)</f>
        <v>1.5796494670212269E-2</v>
      </c>
    </row>
    <row r="65" spans="1:24" x14ac:dyDescent="0.2">
      <c r="A65" s="32">
        <v>3800</v>
      </c>
      <c r="B65" s="32">
        <v>0.38</v>
      </c>
      <c r="C65" s="32">
        <v>5.03</v>
      </c>
      <c r="D65" s="43">
        <f t="shared" si="0"/>
        <v>3.9800000000000004</v>
      </c>
      <c r="E65" s="28">
        <v>2.8</v>
      </c>
      <c r="F65" s="28">
        <v>2.94</v>
      </c>
      <c r="G65" s="28">
        <v>3799.9760910770078</v>
      </c>
      <c r="I65" s="5">
        <f t="shared" si="6"/>
        <v>6335034.5022402378</v>
      </c>
      <c r="J65" s="5">
        <f t="shared" si="7"/>
        <v>6378206.4000000004</v>
      </c>
      <c r="L65" s="96">
        <f t="shared" si="4"/>
        <v>7.7187440810864063E-6</v>
      </c>
      <c r="M65" s="96">
        <f t="shared" si="5"/>
        <v>-89.22294495017654</v>
      </c>
      <c r="N65" s="95">
        <f t="shared" si="1"/>
        <v>3607.9684911248264</v>
      </c>
      <c r="Q65" s="52">
        <v>10229031.09</v>
      </c>
      <c r="R65" s="52">
        <v>924351.55</v>
      </c>
      <c r="T65" s="48"/>
      <c r="U65" s="48"/>
      <c r="W65" s="39">
        <f>ABS(Q65-GNL!P62)</f>
        <v>1.2120315805077553E-2</v>
      </c>
      <c r="X65" s="39">
        <f>ABS(R65-GNL!Q62)</f>
        <v>1.6262709395959973E-2</v>
      </c>
    </row>
    <row r="66" spans="1:24" x14ac:dyDescent="0.2">
      <c r="A66" s="32">
        <v>3825</v>
      </c>
      <c r="B66" s="32">
        <v>0.4</v>
      </c>
      <c r="C66" s="32">
        <v>3.67</v>
      </c>
      <c r="D66" s="43">
        <f t="shared" si="0"/>
        <v>2.62</v>
      </c>
      <c r="E66" s="28">
        <v>2.97</v>
      </c>
      <c r="F66" s="28">
        <v>2.95</v>
      </c>
      <c r="G66" s="28">
        <v>3824.9755118527978</v>
      </c>
      <c r="I66" s="5">
        <f t="shared" si="6"/>
        <v>6335034.5022402378</v>
      </c>
      <c r="J66" s="5">
        <f t="shared" si="7"/>
        <v>6378206.4000000004</v>
      </c>
      <c r="L66" s="96">
        <f t="shared" si="4"/>
        <v>8.1873821145809383E-6</v>
      </c>
      <c r="M66" s="96">
        <f t="shared" si="5"/>
        <v>-89.222944922796188</v>
      </c>
      <c r="N66" s="95">
        <f t="shared" si="1"/>
        <v>3632.9678619017745</v>
      </c>
      <c r="Q66" s="52">
        <v>10229031.26</v>
      </c>
      <c r="R66" s="52">
        <v>924351.57</v>
      </c>
      <c r="T66" s="48"/>
      <c r="U66" s="48"/>
      <c r="W66" s="39">
        <f>ABS(Q66-GNL!P63)</f>
        <v>1.1821940541267395E-2</v>
      </c>
      <c r="X66" s="39">
        <f>ABS(R66-GNL!Q63)</f>
        <v>9.1196366120129824E-3</v>
      </c>
    </row>
    <row r="67" spans="1:24" x14ac:dyDescent="0.2">
      <c r="A67" s="32">
        <v>3850</v>
      </c>
      <c r="B67" s="32">
        <v>0.42</v>
      </c>
      <c r="C67" s="32">
        <v>8.48</v>
      </c>
      <c r="D67" s="43">
        <f t="shared" si="0"/>
        <v>7.4300000000000006</v>
      </c>
      <c r="E67" s="28">
        <v>3.14</v>
      </c>
      <c r="F67" s="28">
        <v>2.97</v>
      </c>
      <c r="G67" s="28">
        <v>3849.9748724021761</v>
      </c>
      <c r="I67" s="5">
        <f t="shared" si="6"/>
        <v>6335034.5022402378</v>
      </c>
      <c r="J67" s="5">
        <f t="shared" si="7"/>
        <v>6378206.4000000004</v>
      </c>
      <c r="L67" s="96">
        <f t="shared" si="4"/>
        <v>8.6560201480754702E-6</v>
      </c>
      <c r="M67" s="96">
        <f t="shared" si="5"/>
        <v>-89.222944868035484</v>
      </c>
      <c r="N67" s="95">
        <f t="shared" si="1"/>
        <v>3657.9671724524319</v>
      </c>
      <c r="Q67" s="52">
        <v>10229031.439999999</v>
      </c>
      <c r="R67" s="52">
        <v>924351.59</v>
      </c>
      <c r="T67" s="48"/>
      <c r="U67" s="48"/>
      <c r="W67" s="39">
        <f>ABS(Q67-GNL!P64)</f>
        <v>9.569019079208374E-3</v>
      </c>
      <c r="X67" s="39">
        <f>ABS(R67-GNL!Q64)</f>
        <v>8.2210415275767446E-3</v>
      </c>
    </row>
    <row r="68" spans="1:24" x14ac:dyDescent="0.2">
      <c r="A68" s="32">
        <v>3875</v>
      </c>
      <c r="B68" s="32">
        <v>0.42</v>
      </c>
      <c r="C68" s="32">
        <v>6.85</v>
      </c>
      <c r="D68" s="43">
        <f t="shared" si="0"/>
        <v>5.8</v>
      </c>
      <c r="E68" s="28">
        <v>3.33</v>
      </c>
      <c r="F68" s="28">
        <v>2.99</v>
      </c>
      <c r="G68" s="28">
        <v>3874.9742008143658</v>
      </c>
      <c r="I68" s="5">
        <f t="shared" si="6"/>
        <v>6335034.5022402378</v>
      </c>
      <c r="J68" s="5">
        <f t="shared" si="7"/>
        <v>6378206.4000000004</v>
      </c>
      <c r="L68" s="96">
        <f t="shared" si="4"/>
        <v>9.1797920678634763E-6</v>
      </c>
      <c r="M68" s="96">
        <f t="shared" si="5"/>
        <v>-89.222944813274779</v>
      </c>
      <c r="N68" s="95">
        <f t="shared" si="1"/>
        <v>3682.9664508659644</v>
      </c>
      <c r="Q68" s="52">
        <v>10229031.619999999</v>
      </c>
      <c r="R68" s="52">
        <v>924351.61</v>
      </c>
      <c r="T68" s="48"/>
      <c r="U68" s="48"/>
      <c r="W68" s="39">
        <f>ABS(Q68-GNL!P65)</f>
        <v>1.1204920709133148E-2</v>
      </c>
      <c r="X68" s="39">
        <f>ABS(R68-GNL!Q65)</f>
        <v>1.2666204711422324E-2</v>
      </c>
    </row>
    <row r="69" spans="1:24" x14ac:dyDescent="0.2">
      <c r="A69" s="32">
        <v>3900</v>
      </c>
      <c r="B69" s="32">
        <v>0.38</v>
      </c>
      <c r="C69" s="32">
        <v>357.23</v>
      </c>
      <c r="D69" s="43">
        <f t="shared" si="0"/>
        <v>356.18</v>
      </c>
      <c r="E69" s="28">
        <v>3.5</v>
      </c>
      <c r="F69" s="28">
        <v>3</v>
      </c>
      <c r="G69" s="28">
        <v>3899.973593922798</v>
      </c>
      <c r="I69" s="5">
        <f t="shared" si="6"/>
        <v>6335034.5022402378</v>
      </c>
      <c r="J69" s="5">
        <f t="shared" si="7"/>
        <v>6378206.4000000013</v>
      </c>
      <c r="L69" s="96">
        <f t="shared" si="4"/>
        <v>9.6484301013580083E-6</v>
      </c>
      <c r="M69" s="96">
        <f t="shared" si="5"/>
        <v>-89.222944785894427</v>
      </c>
      <c r="N69" s="95">
        <f t="shared" si="1"/>
        <v>3707.9657939756107</v>
      </c>
      <c r="Q69" s="52">
        <v>10229031.800000001</v>
      </c>
      <c r="R69" s="52">
        <v>924351.62</v>
      </c>
      <c r="T69" s="48"/>
      <c r="U69" s="48"/>
      <c r="W69" s="39">
        <f>ABS(Q69-GNL!P66)</f>
        <v>5.0178356468677521E-3</v>
      </c>
      <c r="X69" s="39">
        <f>ABS(R69-GNL!Q66)</f>
        <v>9.5897079445421696E-3</v>
      </c>
    </row>
    <row r="70" spans="1:24" x14ac:dyDescent="0.2">
      <c r="A70" s="32">
        <v>3925</v>
      </c>
      <c r="B70" s="32">
        <v>0.33</v>
      </c>
      <c r="C70" s="32">
        <v>354.12</v>
      </c>
      <c r="D70" s="43">
        <f t="shared" si="0"/>
        <v>353.07</v>
      </c>
      <c r="E70" s="28">
        <v>3.65</v>
      </c>
      <c r="F70" s="28">
        <v>2.98</v>
      </c>
      <c r="G70" s="28">
        <v>3924.9731134978492</v>
      </c>
      <c r="I70" s="5">
        <f t="shared" si="6"/>
        <v>6335034.5022402378</v>
      </c>
      <c r="J70" s="5">
        <f t="shared" si="7"/>
        <v>6378206.4000000013</v>
      </c>
      <c r="L70" s="96">
        <f t="shared" si="4"/>
        <v>1.0061934248559065E-5</v>
      </c>
      <c r="M70" s="96">
        <f t="shared" si="5"/>
        <v>-89.222944840655131</v>
      </c>
      <c r="N70" s="95">
        <f t="shared" si="1"/>
        <v>3732.9652635516227</v>
      </c>
      <c r="Q70" s="52">
        <v>10229031.949999999</v>
      </c>
      <c r="R70" s="52">
        <v>924351.61</v>
      </c>
      <c r="T70" s="48"/>
      <c r="U70" s="48"/>
      <c r="W70" s="39">
        <f>ABS(Q70-GNL!P67)</f>
        <v>9.4678811728954315E-3</v>
      </c>
      <c r="X70" s="39">
        <f>ABS(R70-GNL!Q67)</f>
        <v>8.2056846003979445E-3</v>
      </c>
    </row>
    <row r="71" spans="1:24" x14ac:dyDescent="0.2">
      <c r="A71" s="32">
        <v>3950</v>
      </c>
      <c r="B71" s="32">
        <v>0.28000000000000003</v>
      </c>
      <c r="C71" s="32">
        <v>341.05</v>
      </c>
      <c r="D71" s="43">
        <f t="shared" si="0"/>
        <v>340</v>
      </c>
      <c r="E71" s="28">
        <v>3.78</v>
      </c>
      <c r="F71" s="28">
        <v>2.95</v>
      </c>
      <c r="G71" s="28">
        <v>3949.9727615305451</v>
      </c>
      <c r="I71" s="5">
        <f t="shared" si="6"/>
        <v>6335034.5022402378</v>
      </c>
      <c r="J71" s="5">
        <f t="shared" si="7"/>
        <v>6378206.4000000013</v>
      </c>
      <c r="L71" s="96">
        <f t="shared" si="4"/>
        <v>1.0420304509466647E-5</v>
      </c>
      <c r="M71" s="96">
        <f t="shared" si="5"/>
        <v>-89.222944922796188</v>
      </c>
      <c r="N71" s="95">
        <f t="shared" si="1"/>
        <v>3757.9648615850224</v>
      </c>
      <c r="Q71" s="52">
        <v>10229032.08</v>
      </c>
      <c r="R71" s="52">
        <v>924351.58</v>
      </c>
      <c r="T71" s="48"/>
      <c r="U71" s="48"/>
      <c r="W71" s="39">
        <f>ABS(Q71-GNL!P68)</f>
        <v>8.8831614702939987E-3</v>
      </c>
      <c r="X71" s="39">
        <f>ABS(R71-GNL!Q68)</f>
        <v>1.0987789137288928E-2</v>
      </c>
    </row>
    <row r="72" spans="1:24" x14ac:dyDescent="0.2">
      <c r="A72" s="32">
        <v>3975</v>
      </c>
      <c r="B72" s="32">
        <v>0.27</v>
      </c>
      <c r="C72" s="32">
        <v>1.1200000000000001</v>
      </c>
      <c r="D72" s="43">
        <f t="shared" si="0"/>
        <v>7.0000000000000062E-2</v>
      </c>
      <c r="E72" s="28">
        <v>3.9</v>
      </c>
      <c r="F72" s="28">
        <v>2.93</v>
      </c>
      <c r="G72" s="28">
        <v>3974.97247936753</v>
      </c>
      <c r="I72" s="5">
        <f t="shared" si="6"/>
        <v>6335034.5022402378</v>
      </c>
      <c r="J72" s="5">
        <f t="shared" si="7"/>
        <v>6378206.4000000013</v>
      </c>
      <c r="L72" s="96">
        <f t="shared" si="4"/>
        <v>1.0751107827227493E-5</v>
      </c>
      <c r="M72" s="96">
        <f t="shared" si="5"/>
        <v>-89.222944977556892</v>
      </c>
      <c r="N72" s="95">
        <f t="shared" si="1"/>
        <v>3782.9645294225716</v>
      </c>
      <c r="Q72" s="52">
        <v>10229032.199999999</v>
      </c>
      <c r="R72" s="52">
        <v>924351.56</v>
      </c>
      <c r="T72" s="48"/>
      <c r="U72" s="48"/>
      <c r="W72" s="39">
        <f>ABS(Q72-GNL!P69)</f>
        <v>5.5738277733325958E-3</v>
      </c>
      <c r="X72" s="39">
        <f>ABS(R72-GNL!Q69)</f>
        <v>1.2298348709009588E-2</v>
      </c>
    </row>
    <row r="73" spans="1:24" x14ac:dyDescent="0.2">
      <c r="A73" s="32">
        <v>4000</v>
      </c>
      <c r="B73" s="32">
        <v>0.33</v>
      </c>
      <c r="C73" s="32">
        <v>358.2</v>
      </c>
      <c r="D73" s="43">
        <f t="shared" si="0"/>
        <v>357.15</v>
      </c>
      <c r="E73" s="28">
        <v>4.03</v>
      </c>
      <c r="F73" s="28">
        <v>2.93</v>
      </c>
      <c r="G73" s="28">
        <v>3999.9721356782438</v>
      </c>
      <c r="I73" s="5">
        <f t="shared" si="6"/>
        <v>6335034.5022402378</v>
      </c>
      <c r="J73" s="5">
        <f t="shared" si="7"/>
        <v>6378206.4000000013</v>
      </c>
      <c r="L73" s="96">
        <f t="shared" si="4"/>
        <v>1.1109478088135077E-5</v>
      </c>
      <c r="M73" s="96">
        <f t="shared" si="5"/>
        <v>-89.222944977556892</v>
      </c>
      <c r="N73" s="95">
        <f t="shared" si="1"/>
        <v>3807.9641357339729</v>
      </c>
      <c r="Q73" s="52">
        <v>10229032.33</v>
      </c>
      <c r="R73" s="52">
        <v>924351.56</v>
      </c>
      <c r="T73" s="48"/>
      <c r="U73" s="48"/>
      <c r="W73" s="39">
        <f>ABS(Q73-GNL!P70)</f>
        <v>6.4504779875278473E-3</v>
      </c>
      <c r="X73" s="39">
        <f>ABS(R73-GNL!Q70)</f>
        <v>1.1188118602149189E-2</v>
      </c>
    </row>
    <row r="74" spans="1:24" x14ac:dyDescent="0.2">
      <c r="A74" s="32">
        <v>4025</v>
      </c>
      <c r="B74" s="32">
        <v>0.35</v>
      </c>
      <c r="C74" s="32">
        <v>342.93</v>
      </c>
      <c r="D74" s="43">
        <f t="shared" si="0"/>
        <v>341.88</v>
      </c>
      <c r="E74" s="28">
        <v>4.17</v>
      </c>
      <c r="F74" s="28">
        <v>2.9</v>
      </c>
      <c r="G74" s="28">
        <v>4024.9717005558387</v>
      </c>
      <c r="I74" s="5">
        <f t="shared" si="6"/>
        <v>6335034.5022402378</v>
      </c>
      <c r="J74" s="5">
        <f t="shared" si="7"/>
        <v>6378206.4000000013</v>
      </c>
      <c r="L74" s="96">
        <f t="shared" si="4"/>
        <v>1.1495415292189395E-5</v>
      </c>
      <c r="M74" s="96">
        <f t="shared" si="5"/>
        <v>-89.222945059697949</v>
      </c>
      <c r="N74" s="95">
        <f t="shared" si="1"/>
        <v>3832.9636506124384</v>
      </c>
      <c r="Q74" s="52">
        <v>10229032.470000001</v>
      </c>
      <c r="R74" s="52">
        <v>924351.53</v>
      </c>
      <c r="T74" s="48"/>
      <c r="U74" s="48"/>
      <c r="W74" s="39">
        <f>ABS(Q74-GNL!P71)</f>
        <v>1.143026165664196E-2</v>
      </c>
      <c r="X74" s="39">
        <f>ABS(R74-GNL!Q71)</f>
        <v>1.650810323189944E-2</v>
      </c>
    </row>
    <row r="75" spans="1:24" x14ac:dyDescent="0.2">
      <c r="A75" s="32">
        <v>4050</v>
      </c>
      <c r="B75" s="32">
        <v>0.33</v>
      </c>
      <c r="C75" s="32">
        <v>358.65</v>
      </c>
      <c r="D75" s="43">
        <f t="shared" si="0"/>
        <v>357.59999999999997</v>
      </c>
      <c r="E75" s="28">
        <v>4.32</v>
      </c>
      <c r="F75" s="28">
        <v>2.87</v>
      </c>
      <c r="G75" s="28">
        <v>4049.9712657410178</v>
      </c>
      <c r="I75" s="5">
        <f t="shared" si="6"/>
        <v>6335034.5022402378</v>
      </c>
      <c r="J75" s="5">
        <f t="shared" si="7"/>
        <v>6378206.4000000013</v>
      </c>
      <c r="L75" s="96">
        <f t="shared" si="4"/>
        <v>1.1908919439390453E-5</v>
      </c>
      <c r="M75" s="96">
        <f t="shared" si="5"/>
        <v>-89.222945141839006</v>
      </c>
      <c r="N75" s="95">
        <f t="shared" si="1"/>
        <v>3857.9631657984864</v>
      </c>
      <c r="Q75" s="52">
        <v>10229032.619999999</v>
      </c>
      <c r="R75" s="52">
        <v>924351.51</v>
      </c>
      <c r="T75" s="48"/>
      <c r="U75" s="48"/>
      <c r="W75" s="39">
        <f>ABS(Q75-GNL!P72)</f>
        <v>6.4255930483341217E-3</v>
      </c>
      <c r="X75" s="39">
        <f>ABS(R75-GNL!Q72)</f>
        <v>1.2393420678563416E-2</v>
      </c>
    </row>
    <row r="76" spans="1:24" x14ac:dyDescent="0.2">
      <c r="A76" s="32">
        <v>4075</v>
      </c>
      <c r="B76" s="32">
        <v>0.33</v>
      </c>
      <c r="C76" s="32">
        <v>5.52</v>
      </c>
      <c r="D76" s="43">
        <f t="shared" si="0"/>
        <v>4.47</v>
      </c>
      <c r="E76" s="28">
        <v>4.46</v>
      </c>
      <c r="F76" s="28">
        <v>2.88</v>
      </c>
      <c r="G76" s="28">
        <v>4074.9708520740796</v>
      </c>
      <c r="I76" s="5">
        <f t="shared" si="6"/>
        <v>6335034.5022402387</v>
      </c>
      <c r="J76" s="5">
        <f t="shared" si="7"/>
        <v>6378206.4000000022</v>
      </c>
      <c r="L76" s="96">
        <f t="shared" si="4"/>
        <v>1.2294856643444773E-5</v>
      </c>
      <c r="M76" s="96">
        <f t="shared" si="5"/>
        <v>-89.222945114458653</v>
      </c>
      <c r="N76" s="95">
        <f t="shared" si="1"/>
        <v>3882.9627021323759</v>
      </c>
      <c r="Q76" s="52">
        <v>10229032.76</v>
      </c>
      <c r="R76" s="52">
        <v>924351.52</v>
      </c>
      <c r="T76" s="48"/>
      <c r="U76" s="48"/>
      <c r="W76" s="39">
        <f>ABS(Q76-GNL!P73)</f>
        <v>1.0087337344884872E-2</v>
      </c>
      <c r="X76" s="39">
        <f>ABS(R76-GNL!Q73)</f>
        <v>7.6235969318076968E-3</v>
      </c>
    </row>
    <row r="77" spans="1:24" x14ac:dyDescent="0.2">
      <c r="A77" s="32">
        <v>4100</v>
      </c>
      <c r="B77" s="32">
        <v>0.33</v>
      </c>
      <c r="C77" s="32">
        <v>344.7</v>
      </c>
      <c r="D77" s="43">
        <f t="shared" si="0"/>
        <v>343.65</v>
      </c>
      <c r="E77" s="28">
        <v>4.5999999999999996</v>
      </c>
      <c r="F77" s="28">
        <v>2.86</v>
      </c>
      <c r="G77" s="28">
        <v>4099.9704464400675</v>
      </c>
      <c r="I77" s="5">
        <f t="shared" si="6"/>
        <v>6335034.5022402387</v>
      </c>
      <c r="J77" s="5">
        <f t="shared" si="7"/>
        <v>6378206.4000000022</v>
      </c>
      <c r="L77" s="96">
        <f t="shared" si="4"/>
        <v>1.2680793847499093E-5</v>
      </c>
      <c r="M77" s="96">
        <f t="shared" si="5"/>
        <v>-89.222945169219358</v>
      </c>
      <c r="N77" s="95">
        <f t="shared" si="1"/>
        <v>3907.9622464991753</v>
      </c>
      <c r="Q77" s="52">
        <v>10229032.9</v>
      </c>
      <c r="R77" s="52">
        <v>924351.5</v>
      </c>
      <c r="T77" s="48"/>
      <c r="U77" s="48"/>
      <c r="W77" s="39">
        <f>ABS(Q77-GNL!P74)</f>
        <v>1.1216970160603523E-2</v>
      </c>
      <c r="X77" s="39">
        <f>ABS(R77-GNL!Q74)</f>
        <v>1.554933178704232E-2</v>
      </c>
    </row>
    <row r="78" spans="1:24" x14ac:dyDescent="0.2">
      <c r="A78" s="32">
        <v>4125</v>
      </c>
      <c r="B78" s="32">
        <v>0.32</v>
      </c>
      <c r="C78" s="32">
        <v>2.13</v>
      </c>
      <c r="D78" s="43">
        <f t="shared" si="0"/>
        <v>1.0799999999999998</v>
      </c>
      <c r="E78" s="28">
        <v>4.74</v>
      </c>
      <c r="F78" s="28">
        <v>2.84</v>
      </c>
      <c r="G78" s="28">
        <v>4124.9700503733156</v>
      </c>
      <c r="I78" s="5">
        <f t="shared" si="6"/>
        <v>6335034.5022402387</v>
      </c>
      <c r="J78" s="5">
        <f t="shared" si="7"/>
        <v>6378206.4000000022</v>
      </c>
      <c r="L78" s="96">
        <f t="shared" si="4"/>
        <v>1.3066731051553415E-5</v>
      </c>
      <c r="M78" s="96">
        <f t="shared" si="5"/>
        <v>-89.222945223980062</v>
      </c>
      <c r="N78" s="95">
        <f t="shared" si="1"/>
        <v>3932.961800433216</v>
      </c>
      <c r="Q78" s="52">
        <v>10229033.039999999</v>
      </c>
      <c r="R78" s="52">
        <v>924351.49</v>
      </c>
      <c r="T78" s="48"/>
      <c r="U78" s="48"/>
      <c r="W78" s="39">
        <f>ABS(Q78-GNL!P75)</f>
        <v>1.0450234636664391E-2</v>
      </c>
      <c r="X78" s="39">
        <f>ABS(R78-GNL!Q75)</f>
        <v>9.1436152579262853E-3</v>
      </c>
    </row>
    <row r="79" spans="1:24" x14ac:dyDescent="0.2">
      <c r="A79" s="32">
        <v>4150</v>
      </c>
      <c r="B79" s="32">
        <v>0.33</v>
      </c>
      <c r="C79" s="32">
        <v>17.62</v>
      </c>
      <c r="D79" s="43">
        <f t="shared" si="0"/>
        <v>16.57</v>
      </c>
      <c r="E79" s="28">
        <v>4.88</v>
      </c>
      <c r="F79" s="28">
        <v>2.86</v>
      </c>
      <c r="G79" s="28">
        <v>4149.9696530207693</v>
      </c>
      <c r="I79" s="5">
        <f t="shared" si="6"/>
        <v>6335034.5022402387</v>
      </c>
      <c r="J79" s="5">
        <f t="shared" si="7"/>
        <v>6378206.4000000022</v>
      </c>
      <c r="L79" s="96">
        <f t="shared" si="4"/>
        <v>1.3452668255607733E-5</v>
      </c>
      <c r="M79" s="96">
        <f t="shared" si="5"/>
        <v>-89.222945169219358</v>
      </c>
      <c r="N79" s="95">
        <f t="shared" si="1"/>
        <v>3957.961353081464</v>
      </c>
      <c r="Q79" s="52">
        <v>10229033.18</v>
      </c>
      <c r="R79" s="52">
        <v>924351.51</v>
      </c>
      <c r="T79" s="48"/>
      <c r="U79" s="48"/>
      <c r="W79" s="39">
        <f>ABS(Q79-GNL!P76)</f>
        <v>8.8573917746543884E-3</v>
      </c>
      <c r="X79" s="39">
        <f>ABS(R79-GNL!Q76)</f>
        <v>1.3535787467844784E-2</v>
      </c>
    </row>
    <row r="80" spans="1:24" x14ac:dyDescent="0.2">
      <c r="A80" s="32">
        <v>4175</v>
      </c>
      <c r="B80" s="32">
        <v>0.28000000000000003</v>
      </c>
      <c r="C80" s="32">
        <v>16.93</v>
      </c>
      <c r="D80" s="43">
        <f t="shared" si="0"/>
        <v>15.879999999999999</v>
      </c>
      <c r="E80" s="28">
        <v>5.01</v>
      </c>
      <c r="F80" s="28">
        <v>2.9</v>
      </c>
      <c r="G80" s="28">
        <v>4174.9692980239033</v>
      </c>
      <c r="I80" s="5">
        <f t="shared" si="6"/>
        <v>6335034.5022402387</v>
      </c>
      <c r="J80" s="5">
        <f t="shared" si="7"/>
        <v>6378206.4000000022</v>
      </c>
      <c r="L80" s="96">
        <f t="shared" si="4"/>
        <v>1.3811038516515315E-5</v>
      </c>
      <c r="M80" s="96">
        <f t="shared" si="5"/>
        <v>-89.222945059697949</v>
      </c>
      <c r="N80" s="95">
        <f t="shared" si="1"/>
        <v>3982.9609480853078</v>
      </c>
      <c r="Q80" s="52">
        <v>10229033.310000001</v>
      </c>
      <c r="R80" s="52">
        <v>924351.55</v>
      </c>
      <c r="T80" s="48"/>
      <c r="U80" s="48"/>
      <c r="W80" s="39">
        <f>ABS(Q80-GNL!P77)</f>
        <v>5.9367269277572632E-3</v>
      </c>
      <c r="X80" s="39">
        <f>ABS(R80-GNL!Q77)</f>
        <v>1.31245709490031E-2</v>
      </c>
    </row>
    <row r="81" spans="1:24" x14ac:dyDescent="0.2">
      <c r="A81" s="32">
        <v>4200</v>
      </c>
      <c r="B81" s="32">
        <v>0.28000000000000003</v>
      </c>
      <c r="C81" s="32">
        <v>33.85</v>
      </c>
      <c r="D81" s="43">
        <f t="shared" si="0"/>
        <v>32.800000000000004</v>
      </c>
      <c r="E81" s="28">
        <v>5.12</v>
      </c>
      <c r="F81" s="28">
        <v>2.95</v>
      </c>
      <c r="G81" s="28">
        <v>4199.9690038068547</v>
      </c>
      <c r="I81" s="5">
        <f t="shared" si="6"/>
        <v>6335034.5022402406</v>
      </c>
      <c r="J81" s="5">
        <f t="shared" si="7"/>
        <v>6378206.4000000022</v>
      </c>
      <c r="L81" s="96">
        <f t="shared" si="4"/>
        <v>1.4114274891129425E-5</v>
      </c>
      <c r="M81" s="96">
        <f t="shared" si="5"/>
        <v>-89.222944922796188</v>
      </c>
      <c r="N81" s="95">
        <f t="shared" si="1"/>
        <v>4007.9606038688471</v>
      </c>
      <c r="Q81" s="52">
        <v>10229033.42</v>
      </c>
      <c r="R81" s="52">
        <v>924351.6</v>
      </c>
      <c r="T81" s="48"/>
      <c r="U81" s="48"/>
      <c r="W81" s="39">
        <f>ABS(Q81-GNL!P78)</f>
        <v>5.1280055195093155E-3</v>
      </c>
      <c r="X81" s="39">
        <f>ABS(R81-GNL!Q78)</f>
        <v>1.4949049334973097E-2</v>
      </c>
    </row>
    <row r="82" spans="1:24" x14ac:dyDescent="0.2">
      <c r="A82" s="32">
        <v>4225</v>
      </c>
      <c r="B82" s="32">
        <v>0.22</v>
      </c>
      <c r="C82" s="32">
        <v>66.38</v>
      </c>
      <c r="D82" s="43">
        <f t="shared" si="0"/>
        <v>65.33</v>
      </c>
      <c r="E82" s="28">
        <v>5.19</v>
      </c>
      <c r="F82" s="28">
        <v>3.03</v>
      </c>
      <c r="G82" s="28">
        <v>4224.9687769488555</v>
      </c>
      <c r="I82" s="5">
        <f t="shared" si="6"/>
        <v>6335034.5022402406</v>
      </c>
      <c r="J82" s="5">
        <f t="shared" si="7"/>
        <v>6378206.4000000022</v>
      </c>
      <c r="L82" s="96">
        <f t="shared" si="4"/>
        <v>1.4307243493156585E-5</v>
      </c>
      <c r="M82" s="96">
        <f t="shared" si="5"/>
        <v>-89.22294470375337</v>
      </c>
      <c r="N82" s="95">
        <f t="shared" si="1"/>
        <v>4032.9603270113021</v>
      </c>
      <c r="Q82" s="52">
        <v>10229033.49</v>
      </c>
      <c r="R82" s="52">
        <v>924351.68</v>
      </c>
      <c r="T82" s="48"/>
      <c r="U82" s="48"/>
      <c r="W82" s="39">
        <f>ABS(Q82-GNL!P79)</f>
        <v>5.1038134843111038E-3</v>
      </c>
      <c r="X82" s="39">
        <f>ABS(R82-GNL!Q79)</f>
        <v>1.2965353555046022E-2</v>
      </c>
    </row>
    <row r="83" spans="1:24" x14ac:dyDescent="0.2">
      <c r="A83" s="32">
        <v>4250</v>
      </c>
      <c r="B83" s="32">
        <v>0.13</v>
      </c>
      <c r="C83" s="32">
        <v>90.82</v>
      </c>
      <c r="D83" s="43">
        <f t="shared" si="0"/>
        <v>89.77</v>
      </c>
      <c r="E83" s="28">
        <v>5.21</v>
      </c>
      <c r="F83" s="28">
        <v>3.1</v>
      </c>
      <c r="G83" s="28">
        <v>4249.9686610200515</v>
      </c>
      <c r="I83" s="5">
        <f t="shared" si="6"/>
        <v>6335034.5022402406</v>
      </c>
      <c r="J83" s="5">
        <f t="shared" si="7"/>
        <v>6378206.4000000022</v>
      </c>
      <c r="L83" s="96">
        <f t="shared" si="4"/>
        <v>1.4362377379450058E-5</v>
      </c>
      <c r="M83" s="96">
        <f t="shared" si="5"/>
        <v>-89.222944512090905</v>
      </c>
      <c r="N83" s="95">
        <f t="shared" si="1"/>
        <v>4057.9601610827303</v>
      </c>
      <c r="Q83" s="52">
        <v>10229033.5</v>
      </c>
      <c r="R83" s="52">
        <v>924351.75</v>
      </c>
      <c r="T83" s="48"/>
      <c r="U83" s="48"/>
      <c r="W83" s="39">
        <f>ABS(Q83-GNL!P80)</f>
        <v>1.3932112604379654E-2</v>
      </c>
      <c r="X83" s="39">
        <f>ABS(R83-GNL!Q80)</f>
        <v>1.5312938950955868E-2</v>
      </c>
    </row>
    <row r="84" spans="1:24" x14ac:dyDescent="0.2">
      <c r="A84" s="32">
        <v>4275</v>
      </c>
      <c r="B84" s="32">
        <v>0.22</v>
      </c>
      <c r="C84" s="32">
        <v>147.27000000000001</v>
      </c>
      <c r="D84" s="43">
        <f t="shared" si="0"/>
        <v>146.22</v>
      </c>
      <c r="E84" s="28">
        <v>5.17</v>
      </c>
      <c r="F84" s="28">
        <v>3.15</v>
      </c>
      <c r="G84" s="28">
        <v>4274.9685580768801</v>
      </c>
      <c r="I84" s="5">
        <f t="shared" si="6"/>
        <v>6335034.5022402406</v>
      </c>
      <c r="J84" s="5">
        <f t="shared" si="7"/>
        <v>6378206.4000000022</v>
      </c>
      <c r="L84" s="96">
        <f t="shared" si="4"/>
        <v>1.4252109606863109E-5</v>
      </c>
      <c r="M84" s="96">
        <f t="shared" si="5"/>
        <v>-89.222944375189144</v>
      </c>
      <c r="N84" s="95">
        <f t="shared" si="1"/>
        <v>4082.9600081397648</v>
      </c>
      <c r="Q84" s="52">
        <v>10229033.460000001</v>
      </c>
      <c r="R84" s="52">
        <v>924351.81</v>
      </c>
      <c r="T84" s="48"/>
      <c r="U84" s="48"/>
      <c r="W84" s="39">
        <f>ABS(Q84-GNL!P81)</f>
        <v>1.3142665848135948E-2</v>
      </c>
      <c r="X84" s="39">
        <f>ABS(R84-GNL!Q81)</f>
        <v>9.6325130434706807E-3</v>
      </c>
    </row>
    <row r="85" spans="1:24" x14ac:dyDescent="0.2">
      <c r="A85" s="32">
        <v>4300</v>
      </c>
      <c r="B85" s="32">
        <v>0.28000000000000003</v>
      </c>
      <c r="C85" s="32">
        <v>173.22</v>
      </c>
      <c r="D85" s="43">
        <f t="shared" si="0"/>
        <v>172.17</v>
      </c>
      <c r="E85" s="28">
        <v>5.07</v>
      </c>
      <c r="F85" s="28">
        <v>3.19</v>
      </c>
      <c r="G85" s="28">
        <v>4299.9683268353938</v>
      </c>
      <c r="I85" s="5">
        <f t="shared" si="6"/>
        <v>6335034.5022402406</v>
      </c>
      <c r="J85" s="5">
        <f t="shared" si="7"/>
        <v>6378206.4000000022</v>
      </c>
      <c r="L85" s="96">
        <f t="shared" si="4"/>
        <v>1.3976440175395739E-5</v>
      </c>
      <c r="M85" s="96">
        <f t="shared" si="5"/>
        <v>-89.222944265667735</v>
      </c>
      <c r="N85" s="95">
        <f t="shared" si="1"/>
        <v>4107.9597268987409</v>
      </c>
      <c r="Q85" s="52">
        <v>10229033.359999999</v>
      </c>
      <c r="R85" s="52">
        <v>924351.84</v>
      </c>
      <c r="T85" s="48"/>
      <c r="U85" s="48"/>
      <c r="W85" s="39">
        <f>ABS(Q85-GNL!P82)</f>
        <v>1.2088805437088013E-2</v>
      </c>
      <c r="X85" s="39">
        <f>ABS(R85-GNL!Q82)</f>
        <v>1.280113379471004E-2</v>
      </c>
    </row>
    <row r="86" spans="1:24" x14ac:dyDescent="0.2">
      <c r="A86" s="32">
        <v>4325</v>
      </c>
      <c r="B86" s="32">
        <v>0.5</v>
      </c>
      <c r="C86" s="32">
        <v>191.95</v>
      </c>
      <c r="D86" s="43">
        <f t="shared" si="0"/>
        <v>190.89999999999998</v>
      </c>
      <c r="E86" s="28">
        <v>4.9000000000000004</v>
      </c>
      <c r="F86" s="28">
        <v>3.18</v>
      </c>
      <c r="G86" s="28">
        <v>4324.9677417362336</v>
      </c>
      <c r="I86" s="5">
        <f t="shared" si="6"/>
        <v>6335034.5022402406</v>
      </c>
      <c r="J86" s="5">
        <f t="shared" si="7"/>
        <v>6378206.4000000022</v>
      </c>
      <c r="L86" s="96">
        <f t="shared" si="4"/>
        <v>1.3507802141901209E-5</v>
      </c>
      <c r="M86" s="96">
        <f t="shared" si="5"/>
        <v>-89.222944293048087</v>
      </c>
      <c r="N86" s="95">
        <f t="shared" si="1"/>
        <v>4132.9590918007507</v>
      </c>
      <c r="Q86" s="52">
        <v>10229033.199999999</v>
      </c>
      <c r="R86" s="52">
        <v>924351.83</v>
      </c>
      <c r="T86" s="48"/>
      <c r="U86" s="48"/>
      <c r="W86" s="39">
        <f>ABS(Q86-GNL!P83)</f>
        <v>4.6805664896965027E-3</v>
      </c>
      <c r="X86" s="39">
        <f>ABS(R86-GNL!Q83)</f>
        <v>7.4236947111785412E-3</v>
      </c>
    </row>
    <row r="87" spans="1:24" x14ac:dyDescent="0.2">
      <c r="A87" s="32">
        <v>4350</v>
      </c>
      <c r="B87" s="32">
        <v>0.28000000000000003</v>
      </c>
      <c r="C87" s="32">
        <v>44.52</v>
      </c>
      <c r="D87" s="43">
        <f t="shared" si="0"/>
        <v>43.470000000000006</v>
      </c>
      <c r="E87" s="28">
        <v>4.84</v>
      </c>
      <c r="F87" s="28">
        <v>3.2</v>
      </c>
      <c r="G87" s="28">
        <v>4349.9674746666333</v>
      </c>
      <c r="I87" s="5">
        <f t="shared" si="6"/>
        <v>6335034.5022402387</v>
      </c>
      <c r="J87" s="5">
        <f t="shared" si="7"/>
        <v>6378206.4000000022</v>
      </c>
      <c r="L87" s="96">
        <f t="shared" si="4"/>
        <v>1.3342400483020785E-5</v>
      </c>
      <c r="M87" s="96">
        <f t="shared" si="5"/>
        <v>-89.222944238287383</v>
      </c>
      <c r="N87" s="95">
        <f t="shared" si="1"/>
        <v>4157.9587747316846</v>
      </c>
      <c r="Q87" s="52">
        <v>10229033.130000001</v>
      </c>
      <c r="R87" s="52">
        <v>924351.85</v>
      </c>
      <c r="T87" s="48"/>
      <c r="U87" s="48"/>
      <c r="W87" s="39">
        <f>ABS(Q87-GNL!P84)</f>
        <v>1.1505033820867538E-2</v>
      </c>
      <c r="X87" s="39">
        <f>ABS(R87-GNL!Q84)</f>
        <v>7.6726573752239347E-3</v>
      </c>
    </row>
    <row r="88" spans="1:24" x14ac:dyDescent="0.2">
      <c r="A88" s="32">
        <v>4375</v>
      </c>
      <c r="B88" s="32">
        <v>0.28000000000000003</v>
      </c>
      <c r="C88" s="32">
        <v>128.77000000000001</v>
      </c>
      <c r="D88" s="43">
        <f t="shared" si="0"/>
        <v>127.72000000000001</v>
      </c>
      <c r="E88" s="28">
        <v>4.8499999999999996</v>
      </c>
      <c r="F88" s="28">
        <v>3.29</v>
      </c>
      <c r="G88" s="28">
        <v>4374.9672656798875</v>
      </c>
      <c r="I88" s="5">
        <f t="shared" si="6"/>
        <v>6335034.5022402387</v>
      </c>
      <c r="J88" s="5">
        <f t="shared" si="7"/>
        <v>6378206.4000000022</v>
      </c>
      <c r="L88" s="96">
        <f t="shared" si="4"/>
        <v>1.3369967426167521E-5</v>
      </c>
      <c r="M88" s="96">
        <f t="shared" si="5"/>
        <v>-89.222943991864213</v>
      </c>
      <c r="N88" s="95">
        <f t="shared" si="1"/>
        <v>4182.9585157453566</v>
      </c>
      <c r="Q88" s="52">
        <v>10229033.140000001</v>
      </c>
      <c r="R88" s="52">
        <v>924351.94</v>
      </c>
      <c r="T88" s="48"/>
      <c r="U88" s="48"/>
      <c r="W88" s="39">
        <f>ABS(Q88-GNL!P85)</f>
        <v>6.808944046497345E-3</v>
      </c>
      <c r="X88" s="39">
        <f>ABS(R88-GNL!Q85)</f>
        <v>8.1478456268087029E-3</v>
      </c>
    </row>
    <row r="89" spans="1:24" x14ac:dyDescent="0.2">
      <c r="A89" s="32">
        <v>4400</v>
      </c>
      <c r="B89" s="32">
        <v>0.53</v>
      </c>
      <c r="C89" s="32">
        <v>223.58</v>
      </c>
      <c r="D89" s="43">
        <f t="shared" si="0"/>
        <v>222.53</v>
      </c>
      <c r="E89" s="28">
        <v>4.72</v>
      </c>
      <c r="F89" s="28">
        <v>3.26</v>
      </c>
      <c r="G89" s="28">
        <v>4399.9668254350163</v>
      </c>
      <c r="I89" s="5">
        <f t="shared" si="6"/>
        <v>6335034.5022402387</v>
      </c>
      <c r="J89" s="5">
        <f t="shared" si="7"/>
        <v>6378206.4000000022</v>
      </c>
      <c r="L89" s="96">
        <f t="shared" si="4"/>
        <v>1.3011597165259939E-5</v>
      </c>
      <c r="M89" s="96">
        <f t="shared" si="5"/>
        <v>-89.222944074005269</v>
      </c>
      <c r="N89" s="95">
        <f t="shared" si="1"/>
        <v>4207.9580255013661</v>
      </c>
      <c r="Q89" s="52">
        <v>10229033.02</v>
      </c>
      <c r="R89" s="52">
        <v>924351.9</v>
      </c>
      <c r="T89" s="48"/>
      <c r="U89" s="48"/>
      <c r="W89" s="39">
        <f>ABS(Q89-GNL!P86)</f>
        <v>4.771871492266655E-3</v>
      </c>
      <c r="X89" s="39">
        <f>ABS(R89-GNL!Q86)</f>
        <v>1.6059456742368639E-2</v>
      </c>
    </row>
    <row r="90" spans="1:24" x14ac:dyDescent="0.2">
      <c r="A90" s="32">
        <v>4452</v>
      </c>
      <c r="B90" s="32">
        <v>0.35</v>
      </c>
      <c r="C90" s="32">
        <v>225.7</v>
      </c>
      <c r="D90" s="43">
        <f t="shared" si="0"/>
        <v>224.64999999999998</v>
      </c>
      <c r="E90" s="28">
        <v>4.43</v>
      </c>
      <c r="F90" s="28">
        <v>2.99</v>
      </c>
      <c r="G90" s="28">
        <v>4451.9652710719774</v>
      </c>
      <c r="I90" s="5">
        <f t="shared" si="6"/>
        <v>6335034.5022402387</v>
      </c>
      <c r="J90" s="5">
        <f t="shared" si="7"/>
        <v>6378206.4000000022</v>
      </c>
      <c r="L90" s="96">
        <f t="shared" si="4"/>
        <v>1.2212155814004561E-5</v>
      </c>
      <c r="M90" s="96">
        <f t="shared" si="5"/>
        <v>-89.222944813274765</v>
      </c>
      <c r="N90" s="95">
        <f t="shared" si="1"/>
        <v>4259.9563671414353</v>
      </c>
      <c r="Q90" s="52">
        <v>10229032.73</v>
      </c>
      <c r="R90" s="52">
        <v>924351.62</v>
      </c>
      <c r="T90" s="48"/>
      <c r="U90" s="48"/>
      <c r="W90" s="39">
        <f>ABS(Q90-GNL!P87)</f>
        <v>9.5701590180397034E-3</v>
      </c>
      <c r="X90" s="39">
        <f>ABS(R90-GNL!Q87)</f>
        <v>1.6543357516638935E-2</v>
      </c>
    </row>
    <row r="91" spans="1:24" x14ac:dyDescent="0.2">
      <c r="A91" s="32">
        <v>4500</v>
      </c>
      <c r="B91" s="32">
        <v>0.27</v>
      </c>
      <c r="C91" s="32">
        <v>220.78</v>
      </c>
      <c r="D91" s="43">
        <f t="shared" si="0"/>
        <v>219.73</v>
      </c>
      <c r="E91" s="28">
        <v>4.24</v>
      </c>
      <c r="F91" s="28">
        <v>2.81</v>
      </c>
      <c r="G91" s="28">
        <v>4499.9645654535334</v>
      </c>
      <c r="I91" s="5">
        <f t="shared" si="6"/>
        <v>6335034.5022402387</v>
      </c>
      <c r="J91" s="5">
        <f t="shared" si="7"/>
        <v>6378206.4000000022</v>
      </c>
      <c r="L91" s="96">
        <f t="shared" si="4"/>
        <v>1.1688383894216557E-5</v>
      </c>
      <c r="M91" s="96">
        <f t="shared" si="5"/>
        <v>-89.222945306121105</v>
      </c>
      <c r="N91" s="95">
        <f t="shared" si="1"/>
        <v>4307.955565524403</v>
      </c>
      <c r="Q91" s="52">
        <v>10229032.539999999</v>
      </c>
      <c r="R91" s="52">
        <v>924351.45</v>
      </c>
      <c r="T91" s="48"/>
      <c r="U91" s="48"/>
      <c r="W91" s="39">
        <f>ABS(Q91-GNL!P88)</f>
        <v>1.1503163725137711E-2</v>
      </c>
      <c r="X91" s="39">
        <f>ABS(R91-GNL!Q88)</f>
        <v>7.7147206757217646E-3</v>
      </c>
    </row>
    <row r="92" spans="1:24" x14ac:dyDescent="0.2">
      <c r="A92" s="32">
        <v>4550</v>
      </c>
      <c r="B92" s="32">
        <v>0.08</v>
      </c>
      <c r="C92" s="32">
        <v>306.22000000000003</v>
      </c>
      <c r="D92" s="43">
        <f t="shared" si="0"/>
        <v>305.17</v>
      </c>
      <c r="E92" s="28">
        <v>4.17</v>
      </c>
      <c r="F92" s="28">
        <v>2.71</v>
      </c>
      <c r="G92" s="28">
        <v>4549.9643597930462</v>
      </c>
      <c r="I92" s="5">
        <f t="shared" si="6"/>
        <v>6335034.5022402387</v>
      </c>
      <c r="J92" s="5">
        <f t="shared" si="7"/>
        <v>6378206.4000000022</v>
      </c>
      <c r="L92" s="96">
        <f t="shared" si="4"/>
        <v>1.1495415292189397E-5</v>
      </c>
      <c r="M92" s="96">
        <f t="shared" si="5"/>
        <v>-89.222945579924627</v>
      </c>
      <c r="N92" s="95">
        <f t="shared" si="1"/>
        <v>4357.9552598643277</v>
      </c>
      <c r="Q92" s="52">
        <v>10229032.470000001</v>
      </c>
      <c r="R92" s="52">
        <v>924351.34</v>
      </c>
      <c r="T92" s="48"/>
      <c r="U92" s="48"/>
      <c r="W92" s="39">
        <f>ABS(Q92-GNL!P89)</f>
        <v>1.2908210977911949E-2</v>
      </c>
      <c r="X92" s="39">
        <f>ABS(R92-GNL!Q89)</f>
        <v>1.2586064753122628E-2</v>
      </c>
    </row>
    <row r="93" spans="1:24" x14ac:dyDescent="0.2">
      <c r="A93" s="32">
        <v>4600</v>
      </c>
      <c r="B93" s="32">
        <v>0.08</v>
      </c>
      <c r="C93" s="32">
        <v>207.42</v>
      </c>
      <c r="D93" s="43">
        <f t="shared" si="0"/>
        <v>206.36999999999998</v>
      </c>
      <c r="E93" s="28">
        <v>4.16</v>
      </c>
      <c r="F93" s="28">
        <v>2.66</v>
      </c>
      <c r="G93" s="28">
        <v>4599.964329785962</v>
      </c>
      <c r="I93" s="5">
        <f t="shared" si="6"/>
        <v>6335034.5022402378</v>
      </c>
      <c r="J93" s="5">
        <f t="shared" si="7"/>
        <v>6378206.4000000013</v>
      </c>
      <c r="L93" s="96">
        <f t="shared" si="4"/>
        <v>1.146784834904266E-5</v>
      </c>
      <c r="M93" s="96">
        <f t="shared" si="5"/>
        <v>-89.222945716826388</v>
      </c>
      <c r="N93" s="95">
        <f t="shared" si="1"/>
        <v>4407.9551298573033</v>
      </c>
      <c r="Q93" s="52">
        <v>10229032.460000001</v>
      </c>
      <c r="R93" s="52">
        <v>924351.3</v>
      </c>
      <c r="T93" s="48"/>
      <c r="U93" s="48"/>
      <c r="W93" s="39">
        <f>ABS(Q93-GNL!P90)</f>
        <v>1.2547146528959274E-2</v>
      </c>
      <c r="X93" s="39">
        <f>ABS(R93-GNL!Q90)</f>
        <v>8.3419842412695289E-3</v>
      </c>
    </row>
    <row r="94" spans="1:24" x14ac:dyDescent="0.2">
      <c r="A94" s="32">
        <v>4650</v>
      </c>
      <c r="B94" s="32">
        <v>0.18</v>
      </c>
      <c r="C94" s="32">
        <v>190.18</v>
      </c>
      <c r="D94" s="43">
        <f t="shared" si="0"/>
        <v>189.13</v>
      </c>
      <c r="E94" s="28">
        <v>4.05</v>
      </c>
      <c r="F94" s="28">
        <v>2.63</v>
      </c>
      <c r="G94" s="28">
        <v>4649.9641963812855</v>
      </c>
      <c r="I94" s="5">
        <f t="shared" si="6"/>
        <v>6335034.5022402378</v>
      </c>
      <c r="J94" s="5">
        <f t="shared" si="7"/>
        <v>6378206.4000000013</v>
      </c>
      <c r="L94" s="96">
        <f t="shared" si="4"/>
        <v>1.1164611974428551E-5</v>
      </c>
      <c r="M94" s="96">
        <f t="shared" si="5"/>
        <v>-89.222945798967444</v>
      </c>
      <c r="N94" s="95">
        <f t="shared" si="1"/>
        <v>4457.9548964528931</v>
      </c>
      <c r="Q94" s="52">
        <v>10229032.35</v>
      </c>
      <c r="R94" s="52">
        <v>924351.27</v>
      </c>
      <c r="T94" s="48"/>
      <c r="U94" s="48"/>
      <c r="W94" s="39">
        <f>ABS(Q94-GNL!P91)</f>
        <v>1.423872634768486E-2</v>
      </c>
      <c r="X94" s="39">
        <f>ABS(R94-GNL!Q91)</f>
        <v>8.3803923334926367E-3</v>
      </c>
    </row>
    <row r="95" spans="1:24" x14ac:dyDescent="0.2">
      <c r="A95" s="32">
        <v>4700</v>
      </c>
      <c r="B95" s="32">
        <v>0.27</v>
      </c>
      <c r="C95" s="32">
        <v>195.47</v>
      </c>
      <c r="D95" s="43">
        <f t="shared" si="0"/>
        <v>194.42</v>
      </c>
      <c r="E95" s="28">
        <v>3.86</v>
      </c>
      <c r="F95" s="28">
        <v>2.59</v>
      </c>
      <c r="G95" s="28">
        <v>4699.9638062354306</v>
      </c>
      <c r="I95" s="5">
        <f t="shared" si="6"/>
        <v>6335034.5022402378</v>
      </c>
      <c r="J95" s="5">
        <f t="shared" si="7"/>
        <v>6378206.4000000013</v>
      </c>
      <c r="L95" s="96">
        <f t="shared" si="4"/>
        <v>1.0640840054640545E-5</v>
      </c>
      <c r="M95" s="96">
        <f t="shared" si="5"/>
        <v>-89.222945908488853</v>
      </c>
      <c r="N95" s="95">
        <f t="shared" si="1"/>
        <v>4507.9544063078183</v>
      </c>
      <c r="Q95" s="52">
        <v>10229032.16</v>
      </c>
      <c r="R95" s="52">
        <v>924351.22</v>
      </c>
      <c r="T95" s="48"/>
      <c r="U95" s="48"/>
      <c r="W95" s="39">
        <f>ABS(Q95-GNL!P92)</f>
        <v>1.3358835130929947E-2</v>
      </c>
      <c r="X95" s="39">
        <f>ABS(R95-GNL!Q92)</f>
        <v>1.3067041640169919E-2</v>
      </c>
    </row>
    <row r="96" spans="1:24" x14ac:dyDescent="0.2">
      <c r="A96" s="32">
        <v>4750</v>
      </c>
      <c r="B96" s="32">
        <v>0.08</v>
      </c>
      <c r="C96" s="32">
        <v>151.69999999999999</v>
      </c>
      <c r="D96" s="43">
        <f t="shared" si="0"/>
        <v>150.64999999999998</v>
      </c>
      <c r="E96" s="28">
        <v>3.72</v>
      </c>
      <c r="F96" s="28">
        <v>2.58</v>
      </c>
      <c r="G96" s="28">
        <v>4749.9635653394971</v>
      </c>
      <c r="I96" s="5">
        <f t="shared" si="6"/>
        <v>6335034.5022402378</v>
      </c>
      <c r="J96" s="5">
        <f t="shared" si="7"/>
        <v>6378206.4000000013</v>
      </c>
      <c r="L96" s="96">
        <f t="shared" si="4"/>
        <v>1.0254902850586225E-5</v>
      </c>
      <c r="M96" s="96">
        <f t="shared" si="5"/>
        <v>-89.222945935869205</v>
      </c>
      <c r="N96" s="95">
        <f t="shared" si="1"/>
        <v>4557.9540654123666</v>
      </c>
      <c r="Q96" s="52">
        <v>10229032.02</v>
      </c>
      <c r="R96" s="52">
        <v>924351.21</v>
      </c>
      <c r="T96" s="48"/>
      <c r="U96" s="48"/>
      <c r="W96" s="39">
        <f>ABS(Q96-GNL!P93)</f>
        <v>9.0562906116247177E-3</v>
      </c>
      <c r="X96" s="39">
        <f>ABS(R96-GNL!Q93)</f>
        <v>8.1893344176933169E-3</v>
      </c>
    </row>
    <row r="97" spans="1:24" x14ac:dyDescent="0.2">
      <c r="A97" s="32">
        <v>4800</v>
      </c>
      <c r="B97" s="32">
        <v>0.08</v>
      </c>
      <c r="C97" s="32">
        <v>231.32</v>
      </c>
      <c r="D97" s="43">
        <f t="shared" si="0"/>
        <v>230.26999999999998</v>
      </c>
      <c r="E97" s="28">
        <v>3.66</v>
      </c>
      <c r="F97" s="28">
        <v>2.57</v>
      </c>
      <c r="G97" s="28">
        <v>4799.9635299197835</v>
      </c>
      <c r="I97" s="5">
        <f t="shared" si="6"/>
        <v>6335034.5022402378</v>
      </c>
      <c r="J97" s="5">
        <f t="shared" si="7"/>
        <v>6378206.4000000013</v>
      </c>
      <c r="L97" s="96">
        <f t="shared" si="4"/>
        <v>1.0089501191705801E-5</v>
      </c>
      <c r="M97" s="96">
        <f t="shared" si="5"/>
        <v>-89.222945963249558</v>
      </c>
      <c r="N97" s="95">
        <f t="shared" si="1"/>
        <v>4607.9539299927237</v>
      </c>
      <c r="Q97" s="52">
        <v>10229031.970000001</v>
      </c>
      <c r="R97" s="52">
        <v>924351.2</v>
      </c>
      <c r="T97" s="48"/>
      <c r="U97" s="48"/>
      <c r="W97" s="39">
        <f>ABS(Q97-GNL!P94)</f>
        <v>6.4964853227138519E-3</v>
      </c>
      <c r="X97" s="39">
        <f>ABS(R97-GNL!Q94)</f>
        <v>7.486367947421968E-3</v>
      </c>
    </row>
    <row r="98" spans="1:24" x14ac:dyDescent="0.2">
      <c r="A98" s="32">
        <v>4850</v>
      </c>
      <c r="B98" s="32">
        <v>0.08</v>
      </c>
      <c r="C98" s="32">
        <v>309.37</v>
      </c>
      <c r="D98" s="43">
        <f t="shared" si="0"/>
        <v>308.32</v>
      </c>
      <c r="E98" s="28">
        <v>3.66</v>
      </c>
      <c r="F98" s="28">
        <v>2.52</v>
      </c>
      <c r="G98" s="28">
        <v>4849.9634940633341</v>
      </c>
      <c r="I98" s="5">
        <f t="shared" si="6"/>
        <v>6335034.5022402378</v>
      </c>
      <c r="J98" s="5">
        <f t="shared" si="7"/>
        <v>6378206.4000000013</v>
      </c>
      <c r="L98" s="96">
        <f t="shared" si="4"/>
        <v>1.0089501191705801E-5</v>
      </c>
      <c r="M98" s="96">
        <f t="shared" si="5"/>
        <v>-89.222946100151319</v>
      </c>
      <c r="N98" s="95">
        <f t="shared" si="1"/>
        <v>4657.9537941363469</v>
      </c>
      <c r="Q98" s="52">
        <v>10229031.970000001</v>
      </c>
      <c r="R98" s="52">
        <v>924351.14</v>
      </c>
      <c r="T98" s="48"/>
      <c r="U98" s="48"/>
      <c r="W98" s="39">
        <f>ABS(Q98-GNL!P95)</f>
        <v>6.8231187760829926E-3</v>
      </c>
      <c r="X98" s="39">
        <f>ABS(R98-GNL!Q95)</f>
        <v>1.3241419335827231E-2</v>
      </c>
    </row>
    <row r="99" spans="1:24" x14ac:dyDescent="0.2">
      <c r="A99" s="32">
        <v>4900</v>
      </c>
      <c r="B99" s="32">
        <v>0.08</v>
      </c>
      <c r="C99" s="32">
        <v>294.97000000000003</v>
      </c>
      <c r="D99" s="43">
        <f t="shared" si="0"/>
        <v>293.92</v>
      </c>
      <c r="E99" s="28">
        <v>3.7</v>
      </c>
      <c r="F99" s="28">
        <v>2.46</v>
      </c>
      <c r="G99" s="28">
        <v>4899.9634458349601</v>
      </c>
      <c r="I99" s="5">
        <f t="shared" si="6"/>
        <v>6335034.5022402378</v>
      </c>
      <c r="J99" s="5">
        <f t="shared" si="7"/>
        <v>6378206.4000000013</v>
      </c>
      <c r="L99" s="96">
        <f t="shared" si="4"/>
        <v>1.0199768964292749E-5</v>
      </c>
      <c r="M99" s="96">
        <f t="shared" si="5"/>
        <v>-89.222946264433432</v>
      </c>
      <c r="N99" s="95">
        <f t="shared" si="1"/>
        <v>4707.9536459080691</v>
      </c>
      <c r="Q99" s="52">
        <v>10229032</v>
      </c>
      <c r="R99" s="52">
        <v>924351.08</v>
      </c>
      <c r="T99" s="48"/>
      <c r="U99" s="48"/>
      <c r="W99" s="39">
        <f>ABS(Q99-GNL!P96)</f>
        <v>1.3707708567380905E-2</v>
      </c>
      <c r="X99" s="39">
        <f>ABS(R99-GNL!Q96)</f>
        <v>1.4601615606807172E-2</v>
      </c>
    </row>
    <row r="100" spans="1:24" x14ac:dyDescent="0.2">
      <c r="A100" s="32">
        <v>4950</v>
      </c>
      <c r="B100" s="32">
        <v>0.08</v>
      </c>
      <c r="C100" s="32">
        <v>177.18</v>
      </c>
      <c r="D100" s="43">
        <f t="shared" si="0"/>
        <v>176.13</v>
      </c>
      <c r="E100" s="28">
        <v>3.68</v>
      </c>
      <c r="F100" s="28">
        <v>2.4300000000000002</v>
      </c>
      <c r="G100" s="28">
        <v>4949.9634209169608</v>
      </c>
      <c r="I100" s="5">
        <f t="shared" si="6"/>
        <v>6335034.5022402378</v>
      </c>
      <c r="J100" s="5">
        <f t="shared" si="7"/>
        <v>6378206.4000000013</v>
      </c>
      <c r="L100" s="96">
        <f t="shared" si="4"/>
        <v>1.0144635077999275E-5</v>
      </c>
      <c r="M100" s="96">
        <f t="shared" si="5"/>
        <v>-89.222946346574489</v>
      </c>
      <c r="N100" s="95">
        <f t="shared" si="1"/>
        <v>4757.9535209901196</v>
      </c>
      <c r="Q100" s="52">
        <v>10229031.98</v>
      </c>
      <c r="R100" s="52">
        <v>924351.05</v>
      </c>
      <c r="T100" s="48"/>
      <c r="U100" s="48"/>
      <c r="W100" s="39">
        <f>ABS(Q100-GNL!P97)</f>
        <v>1.3575240969657898E-2</v>
      </c>
      <c r="X100" s="39">
        <f>ABS(R100-GNL!Q97)</f>
        <v>1.4669563621282578E-2</v>
      </c>
    </row>
    <row r="101" spans="1:24" x14ac:dyDescent="0.2">
      <c r="A101" s="32">
        <v>5000</v>
      </c>
      <c r="B101" s="32">
        <v>0.27</v>
      </c>
      <c r="C101" s="32">
        <v>237.65</v>
      </c>
      <c r="D101" s="43">
        <f t="shared" si="0"/>
        <v>236.6</v>
      </c>
      <c r="E101" s="28">
        <v>3.58</v>
      </c>
      <c r="F101" s="28">
        <v>2.33</v>
      </c>
      <c r="G101" s="28">
        <v>4999.9631925906469</v>
      </c>
      <c r="I101" s="5">
        <f t="shared" si="6"/>
        <v>6335034.5022402378</v>
      </c>
      <c r="J101" s="5">
        <f t="shared" si="7"/>
        <v>6378206.4000000013</v>
      </c>
      <c r="L101" s="96">
        <f t="shared" si="4"/>
        <v>9.8689656465319028E-6</v>
      </c>
      <c r="M101" s="96">
        <f t="shared" si="5"/>
        <v>-89.222946620378011</v>
      </c>
      <c r="N101" s="95">
        <f t="shared" si="1"/>
        <v>4807.9531926642621</v>
      </c>
      <c r="Q101" s="52">
        <v>10229031.890000001</v>
      </c>
      <c r="R101" s="52">
        <v>924350.95</v>
      </c>
      <c r="T101" s="48"/>
      <c r="U101" s="48"/>
      <c r="W101" s="39">
        <f>ABS(Q101-GNL!P98)</f>
        <v>5.6540388613939285E-3</v>
      </c>
      <c r="X101" s="39">
        <f>ABS(R101-GNL!Q98)</f>
        <v>1.6843854100443423E-2</v>
      </c>
    </row>
    <row r="102" spans="1:24" x14ac:dyDescent="0.2">
      <c r="A102" s="32">
        <v>5050</v>
      </c>
      <c r="B102" s="32">
        <v>0.35</v>
      </c>
      <c r="C102" s="32">
        <v>228.17</v>
      </c>
      <c r="D102" s="43">
        <f t="shared" ref="D102:D153" si="8">C102+E$26</f>
        <v>227.11999999999998</v>
      </c>
      <c r="E102" s="28">
        <v>3.41</v>
      </c>
      <c r="F102" s="28">
        <v>2.12</v>
      </c>
      <c r="G102" s="28">
        <v>5049.9624599635863</v>
      </c>
      <c r="I102" s="5">
        <f t="shared" si="6"/>
        <v>6335034.5022402378</v>
      </c>
      <c r="J102" s="5">
        <f t="shared" si="7"/>
        <v>6378206.4000000013</v>
      </c>
      <c r="L102" s="96">
        <f t="shared" si="4"/>
        <v>9.4003276130373708E-6</v>
      </c>
      <c r="M102" s="96">
        <f t="shared" si="5"/>
        <v>-89.222947195365407</v>
      </c>
      <c r="N102" s="95">
        <f t="shared" ref="N102:N165" si="9">G102*F$13/F$17 - E$20</f>
        <v>4857.9523600386674</v>
      </c>
      <c r="Q102" s="52">
        <v>10229031.720000001</v>
      </c>
      <c r="R102" s="52">
        <v>924350.74</v>
      </c>
      <c r="T102" s="48"/>
      <c r="U102" s="48"/>
      <c r="W102" s="39">
        <f>ABS(Q102-GNL!P99)</f>
        <v>1.0735444724559784E-2</v>
      </c>
      <c r="X102" s="39">
        <f>ABS(R102-GNL!Q99)</f>
        <v>1.3487084186635911E-2</v>
      </c>
    </row>
    <row r="103" spans="1:24" x14ac:dyDescent="0.2">
      <c r="A103" s="32">
        <v>5100</v>
      </c>
      <c r="B103" s="32">
        <v>0</v>
      </c>
      <c r="C103" s="32">
        <v>243.63</v>
      </c>
      <c r="D103" s="43">
        <f t="shared" si="8"/>
        <v>242.57999999999998</v>
      </c>
      <c r="E103" s="28">
        <v>3.31</v>
      </c>
      <c r="F103" s="28">
        <v>2.0099999999999998</v>
      </c>
      <c r="G103" s="28">
        <v>5099.9621490005502</v>
      </c>
      <c r="I103" s="5">
        <f t="shared" si="6"/>
        <v>6335034.5022402378</v>
      </c>
      <c r="J103" s="5">
        <f t="shared" si="7"/>
        <v>6378206.4000000013</v>
      </c>
      <c r="L103" s="96">
        <f t="shared" ref="L103:L166" si="10">L102 + DEGREES((E103-E102)*F$13/I103)</f>
        <v>9.1246581815699988E-6</v>
      </c>
      <c r="M103" s="96">
        <f t="shared" ref="M103:M166" si="11">M102 + DEGREES((F103-F102)*F$13/(J103*COS(RADIANS(L102))))</f>
        <v>-89.222947496549281</v>
      </c>
      <c r="N103" s="95">
        <f t="shared" si="9"/>
        <v>4907.9519490762532</v>
      </c>
      <c r="Q103" s="52">
        <v>10229031.619999999</v>
      </c>
      <c r="R103" s="52">
        <v>924350.63</v>
      </c>
      <c r="T103" s="48"/>
      <c r="U103" s="48"/>
      <c r="W103" s="39">
        <f>ABS(Q103-GNL!P100)</f>
        <v>8.8668428361415863E-3</v>
      </c>
      <c r="X103" s="39">
        <f>ABS(R103-GNL!Q100)</f>
        <v>9.6732419915497303E-3</v>
      </c>
    </row>
    <row r="104" spans="1:24" x14ac:dyDescent="0.2">
      <c r="A104" s="32">
        <v>5150</v>
      </c>
      <c r="B104" s="32">
        <v>0.27</v>
      </c>
      <c r="C104" s="32">
        <v>160.66999999999999</v>
      </c>
      <c r="D104" s="43">
        <f t="shared" si="8"/>
        <v>159.61999999999998</v>
      </c>
      <c r="E104" s="28">
        <v>3.2</v>
      </c>
      <c r="F104" s="28">
        <v>2.0499999999999998</v>
      </c>
      <c r="G104" s="28">
        <v>5149.9619639456732</v>
      </c>
      <c r="I104" s="5">
        <f t="shared" si="6"/>
        <v>6335034.5022402378</v>
      </c>
      <c r="J104" s="5">
        <f t="shared" si="7"/>
        <v>6378206.4000000013</v>
      </c>
      <c r="L104" s="96">
        <f t="shared" si="10"/>
        <v>8.8214218069558907E-6</v>
      </c>
      <c r="M104" s="96">
        <f t="shared" si="11"/>
        <v>-89.222947387027872</v>
      </c>
      <c r="N104" s="95">
        <f t="shared" si="9"/>
        <v>4957.9516640217462</v>
      </c>
      <c r="Q104" s="52">
        <v>10229031.51</v>
      </c>
      <c r="R104" s="52">
        <v>924350.67</v>
      </c>
      <c r="T104" s="48"/>
      <c r="U104" s="48"/>
      <c r="W104" s="39">
        <f>ABS(Q104-GNL!P101)</f>
        <v>7.6778437942266464E-3</v>
      </c>
      <c r="X104" s="39">
        <f>ABS(R104-GNL!Q101)</f>
        <v>8.6764455772936344E-3</v>
      </c>
    </row>
    <row r="105" spans="1:24" x14ac:dyDescent="0.2">
      <c r="A105" s="32">
        <v>5200</v>
      </c>
      <c r="B105" s="32">
        <v>0.35</v>
      </c>
      <c r="C105" s="32">
        <v>96.32</v>
      </c>
      <c r="D105" s="43">
        <f t="shared" si="8"/>
        <v>95.27</v>
      </c>
      <c r="E105" s="28">
        <v>3.07</v>
      </c>
      <c r="F105" s="28">
        <v>2.2400000000000002</v>
      </c>
      <c r="G105" s="28">
        <v>5199.9613640861908</v>
      </c>
      <c r="I105" s="5">
        <f t="shared" ref="I105:I153" si="12">+L$6*(1-L$9)/(1-L$9*SIN(RADIANS(L104))^2)^1.5</f>
        <v>6335034.5022402378</v>
      </c>
      <c r="J105" s="5">
        <f t="shared" ref="J105:J153" si="13">+L$6/SQRT(1-L$9*SIN(RADIANS(L104))^2)</f>
        <v>6378206.4000000004</v>
      </c>
      <c r="L105" s="96">
        <f t="shared" si="10"/>
        <v>8.4630515460483068E-6</v>
      </c>
      <c r="M105" s="96">
        <f t="shared" si="11"/>
        <v>-89.22294686680118</v>
      </c>
      <c r="N105" s="95">
        <f t="shared" si="9"/>
        <v>5007.9509641634631</v>
      </c>
      <c r="Q105" s="52">
        <v>10229031.380000001</v>
      </c>
      <c r="R105" s="52">
        <v>924350.86</v>
      </c>
      <c r="T105" s="48"/>
      <c r="U105" s="48"/>
      <c r="W105" s="39">
        <f>ABS(Q105-GNL!P102)</f>
        <v>9.6744541078805923E-3</v>
      </c>
      <c r="X105" s="39">
        <f>ABS(R105-GNL!Q102)</f>
        <v>9.4956057146191597E-3</v>
      </c>
    </row>
    <row r="106" spans="1:24" x14ac:dyDescent="0.2">
      <c r="A106" s="32">
        <v>5250</v>
      </c>
      <c r="B106" s="32">
        <v>0.43</v>
      </c>
      <c r="C106" s="32">
        <v>114.6</v>
      </c>
      <c r="D106" s="43">
        <f t="shared" si="8"/>
        <v>113.55</v>
      </c>
      <c r="E106" s="28">
        <v>2.98</v>
      </c>
      <c r="F106" s="28">
        <v>2.57</v>
      </c>
      <c r="G106" s="28">
        <v>5249.9602210004214</v>
      </c>
      <c r="I106" s="5">
        <f t="shared" si="12"/>
        <v>6335034.5022402378</v>
      </c>
      <c r="J106" s="5">
        <f t="shared" si="13"/>
        <v>6378206.4000000004</v>
      </c>
      <c r="L106" s="96">
        <f t="shared" si="10"/>
        <v>8.2149490577276727E-6</v>
      </c>
      <c r="M106" s="96">
        <f t="shared" si="11"/>
        <v>-89.222945963249572</v>
      </c>
      <c r="N106" s="95">
        <f t="shared" si="9"/>
        <v>5057.94972107998</v>
      </c>
      <c r="Q106" s="52">
        <v>10229031.289999999</v>
      </c>
      <c r="R106" s="52">
        <v>924351.18</v>
      </c>
      <c r="T106" s="48"/>
      <c r="U106" s="48"/>
      <c r="W106" s="39">
        <f>ABS(Q106-GNL!P103)</f>
        <v>4.7425776720046997E-3</v>
      </c>
      <c r="X106" s="39">
        <f>ABS(R106-GNL!Q103)</f>
        <v>1.1934899957850575E-2</v>
      </c>
    </row>
    <row r="107" spans="1:24" x14ac:dyDescent="0.2">
      <c r="A107" s="32">
        <v>5300</v>
      </c>
      <c r="B107" s="32">
        <v>0.53</v>
      </c>
      <c r="C107" s="32">
        <v>144.13</v>
      </c>
      <c r="D107" s="43">
        <f t="shared" si="8"/>
        <v>143.07999999999998</v>
      </c>
      <c r="E107" s="28">
        <v>2.72</v>
      </c>
      <c r="F107" s="28">
        <v>2.88</v>
      </c>
      <c r="G107" s="28">
        <v>5299.9585352152171</v>
      </c>
      <c r="I107" s="5">
        <f t="shared" si="12"/>
        <v>6335034.5022402378</v>
      </c>
      <c r="J107" s="5">
        <f t="shared" si="13"/>
        <v>6378206.4000000004</v>
      </c>
      <c r="L107" s="96">
        <f t="shared" si="10"/>
        <v>7.4982085359125075E-6</v>
      </c>
      <c r="M107" s="96">
        <f t="shared" si="11"/>
        <v>-89.222945114458668</v>
      </c>
      <c r="N107" s="95">
        <f t="shared" si="9"/>
        <v>5107.9479352981471</v>
      </c>
      <c r="Q107" s="52">
        <v>10229031.02</v>
      </c>
      <c r="R107" s="52">
        <v>924351.49</v>
      </c>
      <c r="T107" s="48"/>
      <c r="U107" s="48"/>
      <c r="W107" s="39">
        <f>ABS(Q107-GNL!P104)</f>
        <v>9.1942586004734039E-3</v>
      </c>
      <c r="X107" s="39">
        <f>ABS(R107-GNL!Q104)</f>
        <v>8.0864448100328445E-3</v>
      </c>
    </row>
    <row r="108" spans="1:24" x14ac:dyDescent="0.2">
      <c r="A108" s="32">
        <v>5350</v>
      </c>
      <c r="B108" s="32">
        <v>0.53</v>
      </c>
      <c r="C108" s="32">
        <v>142.03</v>
      </c>
      <c r="D108" s="43">
        <f t="shared" si="8"/>
        <v>140.97999999999999</v>
      </c>
      <c r="E108" s="28">
        <v>2.36</v>
      </c>
      <c r="F108" s="28">
        <v>3.16</v>
      </c>
      <c r="G108" s="28">
        <v>5349.956396533501</v>
      </c>
      <c r="I108" s="5">
        <f t="shared" si="12"/>
        <v>6335034.5022402378</v>
      </c>
      <c r="J108" s="5">
        <f t="shared" si="13"/>
        <v>6378206.4000000004</v>
      </c>
      <c r="L108" s="96">
        <f t="shared" si="10"/>
        <v>6.5057985826299695E-6</v>
      </c>
      <c r="M108" s="96">
        <f t="shared" si="11"/>
        <v>-89.22294434780882</v>
      </c>
      <c r="N108" s="95">
        <f t="shared" si="9"/>
        <v>5157.945696620709</v>
      </c>
      <c r="Q108" s="52">
        <v>10229030.65</v>
      </c>
      <c r="R108" s="52">
        <v>924351.76</v>
      </c>
      <c r="T108" s="48"/>
      <c r="U108" s="48"/>
      <c r="W108" s="39">
        <f>ABS(Q108-GNL!P105)</f>
        <v>9.4258598983287811E-3</v>
      </c>
      <c r="X108" s="39">
        <f>ABS(R108-GNL!Q105)</f>
        <v>1.5918301185593009E-2</v>
      </c>
    </row>
    <row r="109" spans="1:24" x14ac:dyDescent="0.2">
      <c r="A109" s="32">
        <v>5413</v>
      </c>
      <c r="B109" s="32">
        <v>0.53</v>
      </c>
      <c r="C109" s="32">
        <v>137.47</v>
      </c>
      <c r="D109" s="43">
        <f t="shared" si="8"/>
        <v>136.41999999999999</v>
      </c>
      <c r="E109" s="28">
        <v>1.92</v>
      </c>
      <c r="F109" s="28">
        <v>3.55</v>
      </c>
      <c r="G109" s="28">
        <v>5412.9537040349151</v>
      </c>
      <c r="I109" s="5">
        <f t="shared" si="12"/>
        <v>6335034.5022402378</v>
      </c>
      <c r="J109" s="5">
        <f t="shared" si="13"/>
        <v>6378206.4000000004</v>
      </c>
      <c r="L109" s="96">
        <f t="shared" si="10"/>
        <v>5.2928530841735353E-6</v>
      </c>
      <c r="M109" s="96">
        <f t="shared" si="11"/>
        <v>-89.222943279975098</v>
      </c>
      <c r="N109" s="95">
        <f t="shared" si="9"/>
        <v>5220.9428781275074</v>
      </c>
      <c r="Q109" s="52">
        <v>10229030.210000001</v>
      </c>
      <c r="R109" s="52">
        <v>924352.14</v>
      </c>
      <c r="T109" s="48"/>
      <c r="U109" s="48"/>
      <c r="W109" s="39">
        <f>ABS(Q109-GNL!P106)</f>
        <v>4.9161277711391449E-3</v>
      </c>
      <c r="X109" s="39">
        <f>ABS(R109-GNL!Q106)</f>
        <v>1.2223566067405045E-2</v>
      </c>
    </row>
    <row r="110" spans="1:24" x14ac:dyDescent="0.2">
      <c r="A110" s="32">
        <v>5466</v>
      </c>
      <c r="B110" s="32">
        <v>0.35</v>
      </c>
      <c r="C110" s="32">
        <v>122.68</v>
      </c>
      <c r="D110" s="43">
        <f t="shared" si="8"/>
        <v>121.63000000000001</v>
      </c>
      <c r="E110" s="28">
        <v>1.66</v>
      </c>
      <c r="F110" s="28">
        <v>3.85</v>
      </c>
      <c r="G110" s="28">
        <v>5465.9521359754399</v>
      </c>
      <c r="I110" s="5">
        <f t="shared" si="12"/>
        <v>6335034.5022402378</v>
      </c>
      <c r="J110" s="5">
        <f t="shared" si="13"/>
        <v>6378206.4000000004</v>
      </c>
      <c r="L110" s="96">
        <f t="shared" si="10"/>
        <v>4.5761125623583692E-6</v>
      </c>
      <c r="M110" s="96">
        <f t="shared" si="11"/>
        <v>-89.222942458564546</v>
      </c>
      <c r="N110" s="95">
        <f t="shared" si="9"/>
        <v>5273.9412040711686</v>
      </c>
      <c r="Q110" s="52">
        <v>10229029.939999999</v>
      </c>
      <c r="R110" s="52">
        <v>924352.44</v>
      </c>
      <c r="T110" s="48"/>
      <c r="U110" s="48"/>
      <c r="W110" s="39">
        <f>ABS(Q110-GNL!P107)</f>
        <v>6.8197678774595261E-3</v>
      </c>
      <c r="X110" s="39">
        <f>ABS(R110-GNL!Q107)</f>
        <v>1.4233590452931821E-2</v>
      </c>
    </row>
    <row r="111" spans="1:24" x14ac:dyDescent="0.2">
      <c r="A111" s="32">
        <v>5512</v>
      </c>
      <c r="B111" s="32">
        <v>0.43</v>
      </c>
      <c r="C111" s="32">
        <v>188.78</v>
      </c>
      <c r="D111" s="43">
        <f t="shared" si="8"/>
        <v>187.73</v>
      </c>
      <c r="E111" s="28">
        <v>1.41</v>
      </c>
      <c r="F111" s="28">
        <v>3.95</v>
      </c>
      <c r="G111" s="28">
        <v>5511.9512756734503</v>
      </c>
      <c r="I111" s="5">
        <f t="shared" si="12"/>
        <v>6335034.5022402359</v>
      </c>
      <c r="J111" s="5">
        <f t="shared" si="13"/>
        <v>6378206.4000000004</v>
      </c>
      <c r="L111" s="96">
        <f t="shared" si="10"/>
        <v>3.8869389836899402E-6</v>
      </c>
      <c r="M111" s="96">
        <f t="shared" si="11"/>
        <v>-89.222942184761024</v>
      </c>
      <c r="N111" s="95">
        <f t="shared" si="9"/>
        <v>5319.9402517708995</v>
      </c>
      <c r="Q111" s="52">
        <v>10229029.689999999</v>
      </c>
      <c r="R111" s="52">
        <v>924352.53</v>
      </c>
      <c r="T111" s="48"/>
      <c r="U111" s="48"/>
      <c r="W111" s="39">
        <f>ABS(Q111-GNL!P108)</f>
        <v>1.0322554036974907E-2</v>
      </c>
      <c r="X111" s="39">
        <f>ABS(R111-GNL!Q108)</f>
        <v>1.6160737373866141E-2</v>
      </c>
    </row>
    <row r="112" spans="1:24" x14ac:dyDescent="0.2">
      <c r="A112" s="32">
        <v>5608</v>
      </c>
      <c r="B112" s="32">
        <v>2.98</v>
      </c>
      <c r="C112" s="32">
        <v>271.39999999999998</v>
      </c>
      <c r="D112" s="43">
        <f t="shared" si="8"/>
        <v>270.34999999999997</v>
      </c>
      <c r="E112" s="28">
        <v>1.07</v>
      </c>
      <c r="F112" s="28">
        <v>1.41</v>
      </c>
      <c r="G112" s="28">
        <v>5607.9062954939409</v>
      </c>
      <c r="I112" s="5">
        <f t="shared" si="12"/>
        <v>6335034.5022402359</v>
      </c>
      <c r="J112" s="5">
        <f t="shared" si="13"/>
        <v>6378206.4000000004</v>
      </c>
      <c r="L112" s="96">
        <f t="shared" si="10"/>
        <v>2.949662916700877E-6</v>
      </c>
      <c r="M112" s="96">
        <f t="shared" si="11"/>
        <v>-89.222949139370414</v>
      </c>
      <c r="N112" s="95">
        <f t="shared" si="9"/>
        <v>5415.8950796813506</v>
      </c>
      <c r="Q112" s="52">
        <v>10229029.4</v>
      </c>
      <c r="R112" s="52">
        <v>924349.98</v>
      </c>
      <c r="T112" s="48"/>
      <c r="U112" s="48"/>
      <c r="W112" s="39">
        <f>ABS(Q112-GNL!P109)</f>
        <v>5.1588453352451324E-3</v>
      </c>
      <c r="X112" s="39">
        <f>ABS(R112-GNL!Q109)</f>
        <v>1.5485981479287148E-2</v>
      </c>
    </row>
    <row r="113" spans="1:24" x14ac:dyDescent="0.2">
      <c r="A113" s="32">
        <v>5705</v>
      </c>
      <c r="B113" s="32">
        <v>7.12</v>
      </c>
      <c r="C113" s="32">
        <v>272.82</v>
      </c>
      <c r="D113" s="43">
        <f t="shared" si="8"/>
        <v>271.77</v>
      </c>
      <c r="E113" s="28">
        <v>1.27</v>
      </c>
      <c r="F113" s="28">
        <v>-7.13</v>
      </c>
      <c r="G113" s="28">
        <v>5704.5087803803463</v>
      </c>
      <c r="I113" s="5">
        <f t="shared" si="12"/>
        <v>6335034.5022402359</v>
      </c>
      <c r="J113" s="5">
        <f t="shared" si="13"/>
        <v>6378206.4000000004</v>
      </c>
      <c r="L113" s="96">
        <f t="shared" si="10"/>
        <v>3.5010017796356201E-6</v>
      </c>
      <c r="M113" s="96">
        <f t="shared" si="11"/>
        <v>-89.222972522190972</v>
      </c>
      <c r="N113" s="95">
        <f t="shared" si="9"/>
        <v>5512.497371362786</v>
      </c>
      <c r="Q113" s="52">
        <v>10229029.75</v>
      </c>
      <c r="R113" s="52">
        <v>924341.45</v>
      </c>
      <c r="T113" s="48"/>
      <c r="U113" s="48"/>
      <c r="W113" s="39">
        <f>ABS(Q113-GNL!P110)</f>
        <v>1.273886114358902E-2</v>
      </c>
      <c r="X113" s="39">
        <f>ABS(R113-GNL!Q110)</f>
        <v>1.5359936864115298E-2</v>
      </c>
    </row>
    <row r="114" spans="1:24" x14ac:dyDescent="0.2">
      <c r="A114" s="32">
        <v>5801</v>
      </c>
      <c r="B114" s="32">
        <v>9.23</v>
      </c>
      <c r="C114" s="32">
        <v>265.43</v>
      </c>
      <c r="D114" s="43">
        <f t="shared" si="8"/>
        <v>264.38</v>
      </c>
      <c r="E114" s="28">
        <v>0.7</v>
      </c>
      <c r="F114" s="28">
        <v>-20.74</v>
      </c>
      <c r="G114" s="28">
        <v>5799.5305107852246</v>
      </c>
      <c r="I114" s="5">
        <f t="shared" si="12"/>
        <v>6335034.5022402359</v>
      </c>
      <c r="J114" s="5">
        <f t="shared" si="13"/>
        <v>6378206.4000000004</v>
      </c>
      <c r="L114" s="96">
        <f t="shared" si="10"/>
        <v>1.929686020271602E-6</v>
      </c>
      <c r="M114" s="96">
        <f t="shared" si="11"/>
        <v>-89.223009786849957</v>
      </c>
      <c r="N114" s="95">
        <f t="shared" si="9"/>
        <v>5607.5189117242035</v>
      </c>
      <c r="Q114" s="52">
        <v>10229029.43</v>
      </c>
      <c r="R114" s="52">
        <v>924327.83</v>
      </c>
      <c r="T114" s="48"/>
      <c r="U114" s="48"/>
      <c r="W114" s="39">
        <f>ABS(Q114-GNL!P111)</f>
        <v>1.189832016825676E-2</v>
      </c>
      <c r="X114" s="39">
        <f>ABS(R114-GNL!Q111)</f>
        <v>1.3992315507493913E-2</v>
      </c>
    </row>
    <row r="115" spans="1:24" x14ac:dyDescent="0.2">
      <c r="A115" s="32">
        <v>5897</v>
      </c>
      <c r="B115" s="32">
        <v>11.07</v>
      </c>
      <c r="C115" s="32">
        <v>259.45</v>
      </c>
      <c r="D115" s="43">
        <f t="shared" si="8"/>
        <v>258.39999999999998</v>
      </c>
      <c r="E115" s="28">
        <v>-1.91</v>
      </c>
      <c r="F115" s="28">
        <v>-37.43</v>
      </c>
      <c r="G115" s="28">
        <v>5894.0266682667734</v>
      </c>
      <c r="I115" s="5">
        <f t="shared" si="12"/>
        <v>6335034.5022402359</v>
      </c>
      <c r="J115" s="5">
        <f t="shared" si="13"/>
        <v>6378206.4000000004</v>
      </c>
      <c r="L115" s="96">
        <f t="shared" si="10"/>
        <v>-5.2652861410267974E-6</v>
      </c>
      <c r="M115" s="96">
        <f t="shared" si="11"/>
        <v>-89.223055484657337</v>
      </c>
      <c r="N115" s="95">
        <f t="shared" si="9"/>
        <v>5702.0148802134372</v>
      </c>
      <c r="Q115" s="52">
        <v>10229027.130000001</v>
      </c>
      <c r="R115" s="52">
        <v>924311.09</v>
      </c>
      <c r="T115" s="48"/>
      <c r="U115" s="48"/>
      <c r="W115" s="39">
        <f>ABS(Q115-GNL!P112)</f>
        <v>1.0305335745215416E-2</v>
      </c>
      <c r="X115" s="39">
        <f>ABS(R115-GNL!Q112)</f>
        <v>1.3753150473348796E-2</v>
      </c>
    </row>
    <row r="116" spans="1:24" x14ac:dyDescent="0.2">
      <c r="A116" s="32">
        <v>5995</v>
      </c>
      <c r="B116" s="32">
        <v>13.88</v>
      </c>
      <c r="C116" s="32">
        <v>250.32</v>
      </c>
      <c r="D116" s="43">
        <f t="shared" si="8"/>
        <v>249.26999999999998</v>
      </c>
      <c r="E116" s="28">
        <v>-7.96</v>
      </c>
      <c r="F116" s="28">
        <v>-57.65</v>
      </c>
      <c r="G116" s="28">
        <v>5989.7126471883012</v>
      </c>
      <c r="I116" s="5">
        <f t="shared" si="12"/>
        <v>6335034.5022402378</v>
      </c>
      <c r="J116" s="5">
        <f t="shared" si="13"/>
        <v>6378206.4000000004</v>
      </c>
      <c r="L116" s="96">
        <f t="shared" si="10"/>
        <v>-2.1943286744802778E-5</v>
      </c>
      <c r="M116" s="96">
        <f t="shared" si="11"/>
        <v>-89.223110847728947</v>
      </c>
      <c r="N116" s="95">
        <f t="shared" si="9"/>
        <v>5797.7006677630079</v>
      </c>
      <c r="Q116" s="52">
        <v>10229021.449999999</v>
      </c>
      <c r="R116" s="52">
        <v>924290.76</v>
      </c>
      <c r="T116" s="48"/>
      <c r="U116" s="48"/>
      <c r="W116" s="39">
        <f>ABS(Q116-GNL!P113)</f>
        <v>6.392844021320343E-3</v>
      </c>
      <c r="X116" s="39">
        <f>ABS(R116-GNL!Q113)</f>
        <v>1.6603081021457911E-2</v>
      </c>
    </row>
    <row r="117" spans="1:24" x14ac:dyDescent="0.2">
      <c r="A117" s="32">
        <v>6091</v>
      </c>
      <c r="B117" s="32">
        <v>16.27</v>
      </c>
      <c r="C117" s="32">
        <v>240.12</v>
      </c>
      <c r="D117" s="43">
        <f t="shared" si="8"/>
        <v>239.07</v>
      </c>
      <c r="E117" s="28">
        <v>-18.95</v>
      </c>
      <c r="F117" s="28">
        <v>-79.959999999999994</v>
      </c>
      <c r="G117" s="28">
        <v>6082.4186259944418</v>
      </c>
      <c r="I117" s="5">
        <f t="shared" si="12"/>
        <v>6335034.5022402462</v>
      </c>
      <c r="J117" s="5">
        <f t="shared" si="13"/>
        <v>6378206.4000000032</v>
      </c>
      <c r="L117" s="96">
        <f t="shared" si="10"/>
        <v>-5.2239357263066867E-5</v>
      </c>
      <c r="M117" s="96">
        <f t="shared" si="11"/>
        <v>-89.223171933294111</v>
      </c>
      <c r="N117" s="95">
        <f t="shared" si="9"/>
        <v>5890.4064611571903</v>
      </c>
      <c r="Q117" s="52">
        <v>10229010.859999999</v>
      </c>
      <c r="R117" s="52">
        <v>924268.25</v>
      </c>
      <c r="T117" s="48"/>
      <c r="U117" s="48"/>
      <c r="W117" s="39">
        <f>ABS(Q117-GNL!P114)</f>
        <v>1.3724138960242271E-2</v>
      </c>
      <c r="X117" s="39">
        <f>ABS(R117-GNL!Q114)</f>
        <v>1.281738979741931E-2</v>
      </c>
    </row>
    <row r="118" spans="1:24" x14ac:dyDescent="0.2">
      <c r="A118" s="32">
        <v>6186</v>
      </c>
      <c r="B118" s="32">
        <v>17.829999999999998</v>
      </c>
      <c r="C118" s="32">
        <v>236.25</v>
      </c>
      <c r="D118" s="43">
        <f t="shared" si="8"/>
        <v>235.2</v>
      </c>
      <c r="E118" s="28">
        <v>-34.090000000000003</v>
      </c>
      <c r="F118" s="28">
        <v>-103.32</v>
      </c>
      <c r="G118" s="28">
        <v>6173.2434610784576</v>
      </c>
      <c r="I118" s="5">
        <f t="shared" si="12"/>
        <v>6335034.502240289</v>
      </c>
      <c r="J118" s="5">
        <f t="shared" si="13"/>
        <v>6378206.400000019</v>
      </c>
      <c r="L118" s="96">
        <f t="shared" si="10"/>
        <v>-9.3975709187226597E-5</v>
      </c>
      <c r="M118" s="96">
        <f t="shared" si="11"/>
        <v>-89.223235893796229</v>
      </c>
      <c r="N118" s="95">
        <f t="shared" si="9"/>
        <v>5981.2311145915364</v>
      </c>
      <c r="Q118" s="52">
        <v>10228996.15</v>
      </c>
      <c r="R118" s="52">
        <v>924244.61</v>
      </c>
      <c r="T118" s="48"/>
      <c r="U118" s="48"/>
      <c r="W118" s="39">
        <f>ABS(Q118-GNL!P115)</f>
        <v>9.5261707901954651E-3</v>
      </c>
      <c r="X118" s="39">
        <f>ABS(R118-GNL!Q115)</f>
        <v>1.4326322940178216E-2</v>
      </c>
    </row>
    <row r="119" spans="1:24" x14ac:dyDescent="0.2">
      <c r="A119" s="32">
        <v>6281</v>
      </c>
      <c r="B119" s="32">
        <v>17.829999999999998</v>
      </c>
      <c r="C119" s="32">
        <v>230.27</v>
      </c>
      <c r="D119" s="43">
        <f t="shared" si="8"/>
        <v>229.22</v>
      </c>
      <c r="E119" s="28">
        <v>-51.9</v>
      </c>
      <c r="F119" s="28">
        <v>-126.28</v>
      </c>
      <c r="G119" s="28">
        <v>6263.6882264721671</v>
      </c>
      <c r="I119" s="5">
        <f t="shared" si="12"/>
        <v>6335034.5022404091</v>
      </c>
      <c r="J119" s="5">
        <f t="shared" si="13"/>
        <v>6378206.4000000581</v>
      </c>
      <c r="L119" s="96">
        <f t="shared" si="10"/>
        <v>-1.4307243493156413E-4</v>
      </c>
      <c r="M119" s="96">
        <f t="shared" si="11"/>
        <v>-89.223298759084273</v>
      </c>
      <c r="N119" s="95">
        <f t="shared" si="9"/>
        <v>6071.6756990957147</v>
      </c>
      <c r="Q119" s="52">
        <v>10228978.77</v>
      </c>
      <c r="R119" s="52">
        <v>924221.33</v>
      </c>
      <c r="T119" s="48"/>
      <c r="U119" s="48"/>
      <c r="W119" s="39">
        <f>ABS(Q119-GNL!P116)</f>
        <v>8.2602333277463913E-3</v>
      </c>
      <c r="X119" s="39">
        <f>ABS(R119-GNL!Q116)</f>
        <v>9.5124637009575963E-3</v>
      </c>
    </row>
    <row r="120" spans="1:24" x14ac:dyDescent="0.2">
      <c r="A120" s="32">
        <v>6341</v>
      </c>
      <c r="B120" s="32">
        <v>17.7</v>
      </c>
      <c r="C120" s="32">
        <v>223.8</v>
      </c>
      <c r="D120" s="43">
        <f t="shared" si="8"/>
        <v>222.75</v>
      </c>
      <c r="E120" s="28">
        <v>-64.59</v>
      </c>
      <c r="F120" s="28">
        <v>-139.43</v>
      </c>
      <c r="G120" s="28">
        <v>6320.83281905268</v>
      </c>
      <c r="I120" s="5">
        <f t="shared" si="12"/>
        <v>6335034.5022406364</v>
      </c>
      <c r="J120" s="5">
        <f t="shared" si="13"/>
        <v>6378206.4000001345</v>
      </c>
      <c r="L120" s="96">
        <f t="shared" si="10"/>
        <v>-1.7805488578477138E-4</v>
      </c>
      <c r="M120" s="96">
        <f t="shared" si="11"/>
        <v>-89.22333476424707</v>
      </c>
      <c r="N120" s="95">
        <f t="shared" si="9"/>
        <v>6128.8201773870423</v>
      </c>
      <c r="Q120" s="52">
        <v>10228966.310000001</v>
      </c>
      <c r="R120" s="52">
        <v>924207.95</v>
      </c>
      <c r="T120" s="48"/>
      <c r="U120" s="48"/>
      <c r="W120" s="39">
        <f>ABS(Q120-GNL!P117)</f>
        <v>1.0235927999019623E-2</v>
      </c>
      <c r="X120" s="39">
        <f>ABS(R120-GNL!Q117)</f>
        <v>8.1759038148447871E-3</v>
      </c>
    </row>
    <row r="121" spans="1:24" x14ac:dyDescent="0.2">
      <c r="A121" s="32">
        <v>6436</v>
      </c>
      <c r="B121" s="32">
        <v>19.2</v>
      </c>
      <c r="C121" s="32">
        <v>223</v>
      </c>
      <c r="D121" s="43">
        <f t="shared" si="8"/>
        <v>221.95</v>
      </c>
      <c r="E121" s="28">
        <v>-86.82</v>
      </c>
      <c r="F121" s="28">
        <v>-159.66999999999999</v>
      </c>
      <c r="G121" s="28">
        <v>6410.9474104217297</v>
      </c>
      <c r="I121" s="5">
        <f t="shared" si="12"/>
        <v>6335034.502240858</v>
      </c>
      <c r="J121" s="5">
        <f t="shared" si="13"/>
        <v>6378206.400000209</v>
      </c>
      <c r="L121" s="96">
        <f t="shared" si="10"/>
        <v>-2.3933620039996202E-4</v>
      </c>
      <c r="M121" s="96">
        <f t="shared" si="11"/>
        <v>-89.223390182079385</v>
      </c>
      <c r="N121" s="95">
        <f t="shared" si="9"/>
        <v>6218.9345885269095</v>
      </c>
      <c r="Q121" s="52">
        <v>10228944.460000001</v>
      </c>
      <c r="R121" s="52">
        <v>924187.29</v>
      </c>
      <c r="T121" s="48"/>
      <c r="U121" s="48"/>
      <c r="W121" s="39">
        <f>ABS(Q121-GNL!P118)</f>
        <v>6.9400183856487274E-3</v>
      </c>
      <c r="X121" s="39">
        <f>ABS(R121-GNL!Q118)</f>
        <v>1.3878126046620309E-2</v>
      </c>
    </row>
    <row r="122" spans="1:24" x14ac:dyDescent="0.2">
      <c r="A122" s="32">
        <v>6534</v>
      </c>
      <c r="B122" s="32">
        <v>22.9</v>
      </c>
      <c r="C122" s="32">
        <v>220.9</v>
      </c>
      <c r="D122" s="43">
        <f t="shared" si="8"/>
        <v>219.85</v>
      </c>
      <c r="E122" s="28">
        <v>-113.45</v>
      </c>
      <c r="F122" s="28">
        <v>-182.67</v>
      </c>
      <c r="G122" s="28">
        <v>6502.3930296205381</v>
      </c>
      <c r="I122" s="5">
        <f t="shared" si="12"/>
        <v>6335034.5022413582</v>
      </c>
      <c r="J122" s="5">
        <f t="shared" si="13"/>
        <v>6378206.4000003776</v>
      </c>
      <c r="L122" s="96">
        <f t="shared" si="10"/>
        <v>-3.1274696999971009E-4</v>
      </c>
      <c r="M122" s="96">
        <f t="shared" si="11"/>
        <v>-89.223453156888837</v>
      </c>
      <c r="N122" s="95">
        <f t="shared" si="9"/>
        <v>6310.3800248344796</v>
      </c>
      <c r="Q122" s="52">
        <v>10228918.25</v>
      </c>
      <c r="R122" s="52">
        <v>924163.8</v>
      </c>
      <c r="T122" s="48"/>
      <c r="U122" s="48"/>
      <c r="W122" s="39">
        <f>ABS(Q122-GNL!P119)</f>
        <v>5.2940808236598969E-3</v>
      </c>
      <c r="X122" s="39">
        <f>ABS(R122-GNL!Q119)</f>
        <v>1.698213757481426E-2</v>
      </c>
    </row>
    <row r="123" spans="1:24" x14ac:dyDescent="0.2">
      <c r="A123" s="32">
        <v>6627</v>
      </c>
      <c r="B123" s="32">
        <v>25.6</v>
      </c>
      <c r="C123" s="32">
        <v>218.9</v>
      </c>
      <c r="D123" s="43">
        <f t="shared" si="8"/>
        <v>217.85</v>
      </c>
      <c r="E123" s="28">
        <v>-143.21</v>
      </c>
      <c r="F123" s="28">
        <v>-206.6</v>
      </c>
      <c r="G123" s="28">
        <v>6587.1805024314299</v>
      </c>
      <c r="I123" s="5">
        <f t="shared" si="12"/>
        <v>6335034.5022421516</v>
      </c>
      <c r="J123" s="5">
        <f t="shared" si="13"/>
        <v>6378206.400000643</v>
      </c>
      <c r="L123" s="96">
        <f t="shared" si="10"/>
        <v>-3.9478619280437506E-4</v>
      </c>
      <c r="M123" s="96">
        <f t="shared" si="11"/>
        <v>-89.223518678071017</v>
      </c>
      <c r="N123" s="95">
        <f t="shared" si="9"/>
        <v>6395.1673280704263</v>
      </c>
      <c r="Q123" s="52">
        <v>10228888.92</v>
      </c>
      <c r="R123" s="52">
        <v>924139.33</v>
      </c>
      <c r="T123" s="48"/>
      <c r="U123" s="48"/>
      <c r="W123" s="39">
        <f>ABS(Q123-GNL!P120)</f>
        <v>1.0850759223103523E-2</v>
      </c>
      <c r="X123" s="39">
        <f>ABS(R123-GNL!Q120)</f>
        <v>1.3406011858023703E-2</v>
      </c>
    </row>
    <row r="124" spans="1:24" x14ac:dyDescent="0.2">
      <c r="A124" s="32">
        <v>6645</v>
      </c>
      <c r="B124" s="32">
        <v>26.19</v>
      </c>
      <c r="C124" s="32">
        <v>218.74</v>
      </c>
      <c r="D124" s="43">
        <f t="shared" si="8"/>
        <v>217.69</v>
      </c>
      <c r="E124" s="28">
        <v>-149.43</v>
      </c>
      <c r="F124" s="28">
        <v>-211.41</v>
      </c>
      <c r="G124" s="28">
        <v>6603.373158981417</v>
      </c>
      <c r="I124" s="5">
        <f t="shared" si="12"/>
        <v>6335034.5022432888</v>
      </c>
      <c r="J124" s="5">
        <f t="shared" si="13"/>
        <v>6378206.4000010248</v>
      </c>
      <c r="L124" s="96">
        <f t="shared" si="10"/>
        <v>-4.1193283144163733E-4</v>
      </c>
      <c r="M124" s="96">
        <f t="shared" si="11"/>
        <v>-89.223531848020301</v>
      </c>
      <c r="N124" s="95">
        <f t="shared" si="9"/>
        <v>6411.3599522350996</v>
      </c>
      <c r="Q124" s="52">
        <v>10228882.800000001</v>
      </c>
      <c r="R124" s="52">
        <v>924134.40000000002</v>
      </c>
      <c r="T124" s="48"/>
      <c r="U124" s="48"/>
      <c r="W124" s="39">
        <f>ABS(Q124-GNL!P121)</f>
        <v>4.9999859184026718E-3</v>
      </c>
      <c r="X124" s="39">
        <f>ABS(R124-GNL!Q121)</f>
        <v>1.472334424033761E-2</v>
      </c>
    </row>
    <row r="125" spans="1:24" x14ac:dyDescent="0.2">
      <c r="A125" s="32">
        <v>6727</v>
      </c>
      <c r="B125" s="32">
        <v>28</v>
      </c>
      <c r="C125" s="32">
        <v>216.4</v>
      </c>
      <c r="D125" s="43">
        <f t="shared" si="8"/>
        <v>215.35</v>
      </c>
      <c r="E125" s="28">
        <v>-179.45</v>
      </c>
      <c r="F125" s="28">
        <v>-233.62</v>
      </c>
      <c r="G125" s="28">
        <v>6676.3729358378041</v>
      </c>
      <c r="I125" s="5">
        <f t="shared" si="12"/>
        <v>6335034.5022435598</v>
      </c>
      <c r="J125" s="5">
        <f t="shared" si="13"/>
        <v>6378206.4000011161</v>
      </c>
      <c r="L125" s="96">
        <f t="shared" si="10"/>
        <v>-4.9468879476809884E-4</v>
      </c>
      <c r="M125" s="96">
        <f t="shared" si="11"/>
        <v>-89.223592659781957</v>
      </c>
      <c r="N125" s="95">
        <f t="shared" si="9"/>
        <v>6484.359583091933</v>
      </c>
      <c r="Q125" s="52">
        <v>10228853.18</v>
      </c>
      <c r="R125" s="52">
        <v>924111.65</v>
      </c>
      <c r="T125" s="48"/>
      <c r="U125" s="48"/>
      <c r="W125" s="39">
        <f>ABS(Q125-GNL!P122)</f>
        <v>9.0772174298763275E-3</v>
      </c>
      <c r="X125" s="39">
        <f>ABS(R125-GNL!Q122)</f>
        <v>1.1798306833952665E-2</v>
      </c>
    </row>
    <row r="126" spans="1:24" x14ac:dyDescent="0.2">
      <c r="A126" s="32">
        <v>6823</v>
      </c>
      <c r="B126" s="32">
        <v>32.1</v>
      </c>
      <c r="C126" s="32">
        <v>213.7</v>
      </c>
      <c r="D126" s="43">
        <f t="shared" si="8"/>
        <v>212.64999999999998</v>
      </c>
      <c r="E126" s="28">
        <v>-219.33</v>
      </c>
      <c r="F126" s="28">
        <v>-260.43</v>
      </c>
      <c r="G126" s="28">
        <v>6759.4555675220763</v>
      </c>
      <c r="I126" s="5">
        <f t="shared" si="12"/>
        <v>6335034.5022450313</v>
      </c>
      <c r="J126" s="5">
        <f t="shared" si="13"/>
        <v>6378206.4000016088</v>
      </c>
      <c r="L126" s="96">
        <f t="shared" si="10"/>
        <v>-6.0462576403720353E-4</v>
      </c>
      <c r="M126" s="96">
        <f t="shared" si="11"/>
        <v>-89.223666066505501</v>
      </c>
      <c r="N126" s="95">
        <f t="shared" si="9"/>
        <v>6567.442048610942</v>
      </c>
      <c r="Q126" s="52">
        <v>10228813.789999999</v>
      </c>
      <c r="R126" s="52">
        <v>924084.11</v>
      </c>
      <c r="T126" s="48"/>
      <c r="U126" s="48"/>
      <c r="W126" s="39">
        <f>ABS(Q126-GNL!P123)</f>
        <v>1.4377597719430923E-2</v>
      </c>
      <c r="X126" s="39">
        <f>ABS(R126-GNL!Q123)</f>
        <v>8.683833759278059E-3</v>
      </c>
    </row>
    <row r="127" spans="1:24" x14ac:dyDescent="0.2">
      <c r="A127" s="32">
        <v>6919</v>
      </c>
      <c r="B127" s="32">
        <v>34.6</v>
      </c>
      <c r="C127" s="32">
        <v>212</v>
      </c>
      <c r="D127" s="43">
        <f t="shared" si="8"/>
        <v>210.95</v>
      </c>
      <c r="E127" s="28">
        <v>-264.19</v>
      </c>
      <c r="F127" s="28">
        <v>-288.20999999999998</v>
      </c>
      <c r="G127" s="28">
        <v>6839.6424635839212</v>
      </c>
      <c r="I127" s="5">
        <f t="shared" si="12"/>
        <v>6335034.5022473987</v>
      </c>
      <c r="J127" s="5">
        <f t="shared" si="13"/>
        <v>6378206.4000024041</v>
      </c>
      <c r="L127" s="96">
        <f t="shared" si="10"/>
        <v>-7.2829107099332661E-4</v>
      </c>
      <c r="M127" s="96">
        <f t="shared" si="11"/>
        <v>-89.223742129123181</v>
      </c>
      <c r="N127" s="95">
        <f t="shared" si="9"/>
        <v>6647.628784298995</v>
      </c>
      <c r="Q127" s="52">
        <v>10228769.439999999</v>
      </c>
      <c r="R127" s="52">
        <v>924055.5</v>
      </c>
      <c r="T127" s="48"/>
      <c r="U127" s="48"/>
      <c r="W127" s="39">
        <f>ABS(Q127-GNL!P124)</f>
        <v>1.2525994330644608E-2</v>
      </c>
      <c r="X127" s="39">
        <f>ABS(R127-GNL!Q124)</f>
        <v>1.1958473827689886E-2</v>
      </c>
    </row>
    <row r="128" spans="1:24" x14ac:dyDescent="0.2">
      <c r="A128" s="32">
        <v>7014</v>
      </c>
      <c r="B128" s="32">
        <v>36.9</v>
      </c>
      <c r="C128" s="32">
        <v>208.8</v>
      </c>
      <c r="D128" s="43">
        <f t="shared" si="8"/>
        <v>207.75</v>
      </c>
      <c r="E128" s="28">
        <v>-312.57</v>
      </c>
      <c r="F128" s="28">
        <v>-315.37</v>
      </c>
      <c r="G128" s="28">
        <v>6916.7436504849893</v>
      </c>
      <c r="I128" s="5">
        <f t="shared" si="12"/>
        <v>6335034.5022506276</v>
      </c>
      <c r="J128" s="5">
        <f t="shared" si="13"/>
        <v>6378206.4000034882</v>
      </c>
      <c r="L128" s="96">
        <f t="shared" si="10"/>
        <v>-8.6165994193702217E-4</v>
      </c>
      <c r="M128" s="96">
        <f t="shared" si="11"/>
        <v>-89.223816494159053</v>
      </c>
      <c r="N128" s="95">
        <f t="shared" si="9"/>
        <v>6724.7298169976893</v>
      </c>
      <c r="Q128" s="52">
        <v>10228721.550000001</v>
      </c>
      <c r="R128" s="52">
        <v>924027.45</v>
      </c>
      <c r="T128" s="48"/>
      <c r="U128" s="48"/>
      <c r="W128" s="39">
        <f>ABS(Q128-GNL!P125)</f>
        <v>1.6672315075993538E-2</v>
      </c>
      <c r="X128" s="39">
        <f>ABS(R128-GNL!Q125)</f>
        <v>1.7607975169084966E-2</v>
      </c>
    </row>
    <row r="129" spans="1:24" x14ac:dyDescent="0.2">
      <c r="A129" s="32">
        <v>7110</v>
      </c>
      <c r="B129" s="32">
        <v>38.9</v>
      </c>
      <c r="C129" s="32">
        <v>207.7</v>
      </c>
      <c r="D129" s="43">
        <f t="shared" si="8"/>
        <v>206.64999999999998</v>
      </c>
      <c r="E129" s="28">
        <v>-365.02</v>
      </c>
      <c r="F129" s="28">
        <v>-342.31</v>
      </c>
      <c r="G129" s="28">
        <v>6992.4927543305657</v>
      </c>
      <c r="I129" s="5">
        <f t="shared" si="12"/>
        <v>6335034.5022547832</v>
      </c>
      <c r="J129" s="5">
        <f t="shared" si="13"/>
        <v>6378206.4000048824</v>
      </c>
      <c r="L129" s="96">
        <f t="shared" si="10"/>
        <v>-1.0062485587413266E-3</v>
      </c>
      <c r="M129" s="96">
        <f t="shared" si="11"/>
        <v>-89.223890256827175</v>
      </c>
      <c r="N129" s="95">
        <f t="shared" si="9"/>
        <v>6800.4787693450571</v>
      </c>
      <c r="Q129" s="52">
        <v>10228669.6</v>
      </c>
      <c r="R129" s="52">
        <v>923999.55</v>
      </c>
      <c r="T129" s="48"/>
      <c r="U129" s="48"/>
      <c r="W129" s="39">
        <f>ABS(Q129-GNL!P126)</f>
        <v>8.0894678831100464E-3</v>
      </c>
      <c r="X129" s="39">
        <f>ABS(R129-GNL!Q126)</f>
        <v>1.366524223703891E-2</v>
      </c>
    </row>
    <row r="130" spans="1:24" x14ac:dyDescent="0.2">
      <c r="A130" s="32">
        <v>7243</v>
      </c>
      <c r="B130" s="32">
        <v>35.1</v>
      </c>
      <c r="C130" s="32">
        <v>210.8</v>
      </c>
      <c r="D130" s="43">
        <f t="shared" si="8"/>
        <v>209.75</v>
      </c>
      <c r="E130" s="28">
        <v>-435.57</v>
      </c>
      <c r="F130" s="28">
        <v>-380.03</v>
      </c>
      <c r="G130" s="28">
        <v>7098.7011764644949</v>
      </c>
      <c r="I130" s="5">
        <f t="shared" si="12"/>
        <v>6335034.502260074</v>
      </c>
      <c r="J130" s="5">
        <f t="shared" si="13"/>
        <v>6378206.4000066584</v>
      </c>
      <c r="L130" s="96">
        <f t="shared" si="10"/>
        <v>-1.2007333426409482E-3</v>
      </c>
      <c r="M130" s="96">
        <f t="shared" si="11"/>
        <v>-89.223993535514694</v>
      </c>
      <c r="N130" s="95">
        <f t="shared" si="9"/>
        <v>6906.6869790621431</v>
      </c>
      <c r="Q130" s="52">
        <v>10228599.73</v>
      </c>
      <c r="R130" s="52">
        <v>923960.53</v>
      </c>
      <c r="T130" s="48"/>
      <c r="U130" s="48"/>
      <c r="W130" s="39">
        <f>ABS(Q130-GNL!P127)</f>
        <v>1.4921590685844421E-2</v>
      </c>
      <c r="X130" s="39">
        <f>ABS(R130-GNL!Q127)</f>
        <v>1.7661603866145015E-2</v>
      </c>
    </row>
    <row r="131" spans="1:24" x14ac:dyDescent="0.2">
      <c r="A131" s="32">
        <v>7326</v>
      </c>
      <c r="B131" s="32">
        <v>36.56</v>
      </c>
      <c r="C131" s="32">
        <v>210.65</v>
      </c>
      <c r="D131" s="43">
        <f t="shared" si="8"/>
        <v>209.6</v>
      </c>
      <c r="E131" s="28">
        <v>-477.79</v>
      </c>
      <c r="F131" s="28">
        <v>-404.09</v>
      </c>
      <c r="G131" s="28">
        <v>7165.9922352804406</v>
      </c>
      <c r="I131" s="5">
        <f t="shared" si="12"/>
        <v>6335034.5022684848</v>
      </c>
      <c r="J131" s="5">
        <f t="shared" si="13"/>
        <v>6378206.4000094803</v>
      </c>
      <c r="L131" s="96">
        <f t="shared" si="10"/>
        <v>-1.3171209766059536E-3</v>
      </c>
      <c r="M131" s="96">
        <f t="shared" si="11"/>
        <v>-89.224059412641466</v>
      </c>
      <c r="N131" s="95">
        <f t="shared" si="9"/>
        <v>6973.9779032959705</v>
      </c>
      <c r="Q131" s="52">
        <v>10228557.960000001</v>
      </c>
      <c r="R131" s="52">
        <v>923935.71</v>
      </c>
      <c r="T131" s="48"/>
      <c r="U131" s="48"/>
      <c r="W131" s="39">
        <f>ABS(Q131-GNL!P128)</f>
        <v>1.1156214401125908E-2</v>
      </c>
      <c r="X131" s="39">
        <f>ABS(R131-GNL!Q128)</f>
        <v>1.0861058486625552E-2</v>
      </c>
    </row>
    <row r="132" spans="1:24" x14ac:dyDescent="0.2">
      <c r="A132" s="32">
        <v>7422</v>
      </c>
      <c r="B132" s="32">
        <v>37.619999999999997</v>
      </c>
      <c r="C132" s="32">
        <v>209.96</v>
      </c>
      <c r="D132" s="43">
        <f t="shared" si="8"/>
        <v>208.91</v>
      </c>
      <c r="E132" s="28">
        <v>-528.29999999999995</v>
      </c>
      <c r="F132" s="28">
        <v>-432.37</v>
      </c>
      <c r="G132" s="28">
        <v>7242.5696425834367</v>
      </c>
      <c r="I132" s="5">
        <f t="shared" si="12"/>
        <v>6335034.5022742255</v>
      </c>
      <c r="J132" s="5">
        <f t="shared" si="13"/>
        <v>6378206.4000114072</v>
      </c>
      <c r="L132" s="96">
        <f t="shared" si="10"/>
        <v>-1.4563616064393757E-3</v>
      </c>
      <c r="M132" s="96">
        <f t="shared" si="11"/>
        <v>-89.224136844276757</v>
      </c>
      <c r="N132" s="95">
        <f t="shared" si="9"/>
        <v>7050.5551574441524</v>
      </c>
      <c r="Q132" s="52">
        <v>10228507.970000001</v>
      </c>
      <c r="R132" s="52">
        <v>923906.49</v>
      </c>
      <c r="T132" s="48"/>
      <c r="U132" s="48"/>
      <c r="W132" s="39">
        <f>ABS(Q132-GNL!P129)</f>
        <v>7.7132824808359146E-3</v>
      </c>
      <c r="X132" s="39">
        <f>ABS(R132-GNL!Q129)</f>
        <v>1.6140401246957481E-2</v>
      </c>
    </row>
    <row r="133" spans="1:24" x14ac:dyDescent="0.2">
      <c r="A133" s="32">
        <v>7518</v>
      </c>
      <c r="B133" s="32">
        <v>38.61</v>
      </c>
      <c r="C133" s="32">
        <v>208.66</v>
      </c>
      <c r="D133" s="43">
        <f t="shared" si="8"/>
        <v>207.60999999999999</v>
      </c>
      <c r="E133" s="28">
        <v>-580.49</v>
      </c>
      <c r="F133" s="28">
        <v>-460.42</v>
      </c>
      <c r="G133" s="28">
        <v>7318.1001890621337</v>
      </c>
      <c r="I133" s="5">
        <f t="shared" si="12"/>
        <v>6335034.5022817925</v>
      </c>
      <c r="J133" s="5">
        <f t="shared" si="13"/>
        <v>6378206.4000139469</v>
      </c>
      <c r="L133" s="96">
        <f t="shared" si="10"/>
        <v>-1.6002334827212533E-3</v>
      </c>
      <c r="M133" s="96">
        <f t="shared" si="11"/>
        <v>-89.22421364616396</v>
      </c>
      <c r="N133" s="95">
        <f t="shared" si="9"/>
        <v>7126.0855528617558</v>
      </c>
      <c r="Q133" s="52">
        <v>10228456.289999999</v>
      </c>
      <c r="R133" s="52">
        <v>923877.49</v>
      </c>
      <c r="T133" s="48"/>
      <c r="U133" s="48"/>
      <c r="W133" s="39">
        <f>ABS(Q133-GNL!P130)</f>
        <v>8.0075599253177643E-3</v>
      </c>
      <c r="X133" s="39">
        <f>ABS(R133-GNL!Q130)</f>
        <v>1.1471876874566078E-2</v>
      </c>
    </row>
    <row r="134" spans="1:24" x14ac:dyDescent="0.2">
      <c r="A134" s="32">
        <v>7614</v>
      </c>
      <c r="B134" s="32">
        <v>40.130000000000003</v>
      </c>
      <c r="C134" s="32">
        <v>206.4</v>
      </c>
      <c r="D134" s="43">
        <f t="shared" si="8"/>
        <v>205.35</v>
      </c>
      <c r="E134" s="28">
        <v>-635</v>
      </c>
      <c r="F134" s="28">
        <v>-487.55</v>
      </c>
      <c r="G134" s="28">
        <v>7392.3162013221599</v>
      </c>
      <c r="I134" s="5">
        <f t="shared" si="12"/>
        <v>6335034.5022904091</v>
      </c>
      <c r="J134" s="5">
        <f t="shared" si="13"/>
        <v>6378206.4000168378</v>
      </c>
      <c r="L134" s="96">
        <f t="shared" si="10"/>
        <v>-1.7505008898129274E-3</v>
      </c>
      <c r="M134" s="96">
        <f t="shared" si="11"/>
        <v>-89.224287929058789</v>
      </c>
      <c r="N134" s="95">
        <f t="shared" si="9"/>
        <v>7200.3014166897574</v>
      </c>
      <c r="Q134" s="52">
        <v>10228402.279999999</v>
      </c>
      <c r="R134" s="52">
        <v>923849.36</v>
      </c>
      <c r="T134" s="48"/>
      <c r="U134" s="48"/>
      <c r="W134" s="39">
        <f>ABS(Q134-GNL!P131)</f>
        <v>8.2166958600282669E-3</v>
      </c>
      <c r="X134" s="39">
        <f>ABS(R134-GNL!Q131)</f>
        <v>1.1700010858476162E-2</v>
      </c>
    </row>
    <row r="135" spans="1:24" x14ac:dyDescent="0.2">
      <c r="A135" s="32">
        <v>7711</v>
      </c>
      <c r="B135" s="32">
        <v>41.62</v>
      </c>
      <c r="C135" s="32">
        <v>203.71</v>
      </c>
      <c r="D135" s="43">
        <f t="shared" si="8"/>
        <v>202.66</v>
      </c>
      <c r="E135" s="28">
        <v>-692.98</v>
      </c>
      <c r="F135" s="28">
        <v>-513.35</v>
      </c>
      <c r="G135" s="28">
        <v>7465.6653938099298</v>
      </c>
      <c r="I135" s="5">
        <f t="shared" si="12"/>
        <v>6335034.5023002736</v>
      </c>
      <c r="J135" s="5">
        <f t="shared" si="13"/>
        <v>6378206.4000201495</v>
      </c>
      <c r="L135" s="96">
        <f t="shared" si="10"/>
        <v>-1.9103340261761948E-3</v>
      </c>
      <c r="M135" s="96">
        <f t="shared" si="11"/>
        <v>-89.224358570366817</v>
      </c>
      <c r="N135" s="95">
        <f t="shared" si="9"/>
        <v>7273.6504624791432</v>
      </c>
      <c r="Q135" s="52">
        <v>10228344.77</v>
      </c>
      <c r="R135" s="52">
        <v>923822.49</v>
      </c>
      <c r="T135" s="48"/>
      <c r="U135" s="48"/>
      <c r="W135" s="39">
        <f>ABS(Q135-GNL!P132)</f>
        <v>6.2806028872728348E-3</v>
      </c>
      <c r="X135" s="39">
        <f>ABS(R135-GNL!Q132)</f>
        <v>2.0919663249514997E-2</v>
      </c>
    </row>
    <row r="136" spans="1:24" x14ac:dyDescent="0.2">
      <c r="A136" s="32">
        <v>7800</v>
      </c>
      <c r="B136" s="32">
        <v>42.57</v>
      </c>
      <c r="C136" s="32">
        <v>202.23</v>
      </c>
      <c r="D136" s="43">
        <f t="shared" si="8"/>
        <v>201.17999999999998</v>
      </c>
      <c r="E136" s="28">
        <v>-748.33</v>
      </c>
      <c r="F136" s="28">
        <v>-535.61</v>
      </c>
      <c r="G136" s="28">
        <v>7531.7073439572659</v>
      </c>
      <c r="I136" s="5">
        <f t="shared" si="12"/>
        <v>6335034.5023117373</v>
      </c>
      <c r="J136" s="5">
        <f t="shared" si="13"/>
        <v>6378206.4000239968</v>
      </c>
      <c r="L136" s="96">
        <f t="shared" si="10"/>
        <v>-2.062917056491663E-3</v>
      </c>
      <c r="M136" s="96">
        <f t="shared" si="11"/>
        <v>-89.224419519030263</v>
      </c>
      <c r="N136" s="95">
        <f t="shared" si="9"/>
        <v>7339.6922805425793</v>
      </c>
      <c r="Q136" s="52">
        <v>10228289.83</v>
      </c>
      <c r="R136" s="52">
        <v>923799.21</v>
      </c>
      <c r="T136" s="48"/>
      <c r="U136" s="48"/>
      <c r="W136" s="39">
        <f>ABS(Q136-GNL!P133)</f>
        <v>5.5934246629476547E-3</v>
      </c>
      <c r="X136" s="39">
        <f>ABS(R136-GNL!Q133)</f>
        <v>2.160576730966568E-2</v>
      </c>
    </row>
    <row r="137" spans="1:24" x14ac:dyDescent="0.2">
      <c r="A137" s="32">
        <v>7852</v>
      </c>
      <c r="B137" s="32">
        <v>43.35</v>
      </c>
      <c r="C137" s="32">
        <v>201.41</v>
      </c>
      <c r="D137" s="43">
        <f t="shared" si="8"/>
        <v>200.35999999999999</v>
      </c>
      <c r="E137" s="28">
        <v>-781.46</v>
      </c>
      <c r="F137" s="28">
        <v>-548.17999999999995</v>
      </c>
      <c r="G137" s="28">
        <v>7569.7624934440701</v>
      </c>
      <c r="I137" s="5">
        <f t="shared" si="12"/>
        <v>6335034.5023236154</v>
      </c>
      <c r="J137" s="5">
        <f t="shared" si="13"/>
        <v>6378206.4000279829</v>
      </c>
      <c r="L137" s="96">
        <f t="shared" si="10"/>
        <v>-2.154246339135601E-3</v>
      </c>
      <c r="M137" s="96">
        <f t="shared" si="11"/>
        <v>-89.224453936132676</v>
      </c>
      <c r="N137" s="95">
        <f t="shared" si="9"/>
        <v>7377.7473539190842</v>
      </c>
      <c r="Q137" s="52">
        <v>10228256.92</v>
      </c>
      <c r="R137" s="52">
        <v>923786.04</v>
      </c>
      <c r="T137" s="48"/>
      <c r="U137" s="48"/>
      <c r="W137" s="39">
        <f>ABS(Q137-GNL!P134)</f>
        <v>1.1134093627333641E-2</v>
      </c>
      <c r="X137" s="39">
        <f>ABS(R137-GNL!Q134)</f>
        <v>1.9432875793427229E-2</v>
      </c>
    </row>
    <row r="138" spans="1:24" x14ac:dyDescent="0.2">
      <c r="A138" s="32">
        <v>7948</v>
      </c>
      <c r="B138" s="32">
        <v>44.89</v>
      </c>
      <c r="C138" s="32">
        <v>199.46</v>
      </c>
      <c r="D138" s="43">
        <f t="shared" si="8"/>
        <v>198.41</v>
      </c>
      <c r="E138" s="28">
        <v>-844.5</v>
      </c>
      <c r="F138" s="28">
        <v>-570.34</v>
      </c>
      <c r="G138" s="28">
        <v>7638.680442449242</v>
      </c>
      <c r="I138" s="5">
        <f t="shared" si="12"/>
        <v>6335034.5023311619</v>
      </c>
      <c r="J138" s="5">
        <f t="shared" si="13"/>
        <v>6378206.4000305152</v>
      </c>
      <c r="L138" s="96">
        <f t="shared" si="10"/>
        <v>-2.3280283487301379E-3</v>
      </c>
      <c r="M138" s="96">
        <f t="shared" si="11"/>
        <v>-89.224514610992614</v>
      </c>
      <c r="N138" s="95">
        <f t="shared" si="9"/>
        <v>7446.6651650883578</v>
      </c>
      <c r="Q138" s="52">
        <v>10228194.289999999</v>
      </c>
      <c r="R138" s="52">
        <v>923762.72</v>
      </c>
      <c r="T138" s="48"/>
      <c r="U138" s="48"/>
      <c r="W138" s="39">
        <f>ABS(Q138-GNL!P135)</f>
        <v>6.1104092746973038E-3</v>
      </c>
      <c r="X138" s="39">
        <f>ABS(R138-GNL!Q135)</f>
        <v>1.8935809028334916E-2</v>
      </c>
    </row>
    <row r="139" spans="1:24" x14ac:dyDescent="0.2">
      <c r="A139" s="32">
        <v>8044</v>
      </c>
      <c r="B139" s="32">
        <v>46.52</v>
      </c>
      <c r="C139" s="32">
        <v>197.46</v>
      </c>
      <c r="D139" s="43">
        <f t="shared" si="8"/>
        <v>196.41</v>
      </c>
      <c r="E139" s="28">
        <v>-910.07</v>
      </c>
      <c r="F139" s="28">
        <v>-590.88</v>
      </c>
      <c r="G139" s="28">
        <v>7705.7235398206849</v>
      </c>
      <c r="I139" s="5">
        <f t="shared" si="12"/>
        <v>6335034.5023464235</v>
      </c>
      <c r="J139" s="5">
        <f t="shared" si="13"/>
        <v>6378206.4000356374</v>
      </c>
      <c r="L139" s="96">
        <f t="shared" si="10"/>
        <v>-2.5087847949402638E-3</v>
      </c>
      <c r="M139" s="96">
        <f t="shared" si="11"/>
        <v>-89.224570850235537</v>
      </c>
      <c r="N139" s="95">
        <f t="shared" si="9"/>
        <v>7513.7081283736061</v>
      </c>
      <c r="Q139" s="52">
        <v>10228129.1</v>
      </c>
      <c r="R139" s="52">
        <v>923740.98</v>
      </c>
      <c r="T139" s="48"/>
      <c r="U139" s="48"/>
      <c r="W139" s="39">
        <f>ABS(Q139-GNL!P136)</f>
        <v>1.0697577148675919E-2</v>
      </c>
      <c r="X139" s="39">
        <f>ABS(R139-GNL!Q136)</f>
        <v>1.6343557275831699E-2</v>
      </c>
    </row>
    <row r="140" spans="1:24" x14ac:dyDescent="0.2">
      <c r="A140" s="32">
        <v>8140</v>
      </c>
      <c r="B140" s="32">
        <v>47.78</v>
      </c>
      <c r="C140" s="32">
        <v>195.61</v>
      </c>
      <c r="D140" s="43">
        <f t="shared" si="8"/>
        <v>194.56</v>
      </c>
      <c r="E140" s="28">
        <v>-977.89</v>
      </c>
      <c r="F140" s="28">
        <v>-609.66</v>
      </c>
      <c r="G140" s="28">
        <v>7771.0130818731932</v>
      </c>
      <c r="I140" s="5">
        <f t="shared" si="12"/>
        <v>6335034.5023635533</v>
      </c>
      <c r="J140" s="5">
        <f t="shared" si="13"/>
        <v>6378206.4000413856</v>
      </c>
      <c r="L140" s="96">
        <f t="shared" si="10"/>
        <v>-2.6957438033577957E-3</v>
      </c>
      <c r="M140" s="96">
        <f t="shared" si="11"/>
        <v>-89.224622270536528</v>
      </c>
      <c r="N140" s="95">
        <f t="shared" si="9"/>
        <v>7578.9975398470306</v>
      </c>
      <c r="Q140" s="52">
        <v>10228061.619999999</v>
      </c>
      <c r="R140" s="52">
        <v>923720.96</v>
      </c>
      <c r="T140" s="48"/>
      <c r="U140" s="48"/>
      <c r="W140" s="39">
        <f>ABS(Q140-GNL!P137)</f>
        <v>1.1269297450780869E-2</v>
      </c>
      <c r="X140" s="39">
        <f>ABS(R140-GNL!Q137)</f>
        <v>1.5272595337592065E-2</v>
      </c>
    </row>
    <row r="141" spans="1:24" x14ac:dyDescent="0.2">
      <c r="A141" s="32">
        <v>8237</v>
      </c>
      <c r="B141" s="32">
        <v>48.82</v>
      </c>
      <c r="C141" s="32">
        <v>194.19</v>
      </c>
      <c r="D141" s="43">
        <f t="shared" si="8"/>
        <v>193.14</v>
      </c>
      <c r="E141" s="28">
        <v>-1048.2</v>
      </c>
      <c r="F141" s="28">
        <v>-626.99</v>
      </c>
      <c r="G141" s="28">
        <v>7835.5413815936772</v>
      </c>
      <c r="I141" s="5">
        <f t="shared" si="12"/>
        <v>6335034.5023826184</v>
      </c>
      <c r="J141" s="5">
        <f t="shared" si="13"/>
        <v>6378206.4000477847</v>
      </c>
      <c r="L141" s="96">
        <f t="shared" si="10"/>
        <v>-2.8895669806181484E-3</v>
      </c>
      <c r="M141" s="96">
        <f t="shared" si="11"/>
        <v>-89.224669720686492</v>
      </c>
      <c r="N141" s="95">
        <f t="shared" si="9"/>
        <v>7643.525710510914</v>
      </c>
      <c r="Q141" s="52">
        <v>10227991.619999999</v>
      </c>
      <c r="R141" s="52">
        <v>923702.34</v>
      </c>
      <c r="T141" s="48"/>
      <c r="U141" s="48"/>
      <c r="W141" s="39">
        <f>ABS(Q141-GNL!P138)</f>
        <v>1.1995222419500351E-2</v>
      </c>
      <c r="X141" s="39">
        <f>ABS(R141-GNL!Q138)</f>
        <v>1.7416954855434597E-2</v>
      </c>
    </row>
    <row r="142" spans="1:24" x14ac:dyDescent="0.2">
      <c r="A142" s="32">
        <v>8332</v>
      </c>
      <c r="B142" s="32">
        <v>50.34</v>
      </c>
      <c r="C142" s="32">
        <v>192.84</v>
      </c>
      <c r="D142" s="43">
        <f t="shared" si="8"/>
        <v>191.79</v>
      </c>
      <c r="E142" s="28">
        <v>-1118.82</v>
      </c>
      <c r="F142" s="28">
        <v>-642.59</v>
      </c>
      <c r="G142" s="28">
        <v>7897.1378672056899</v>
      </c>
      <c r="I142" s="5">
        <f t="shared" si="12"/>
        <v>6335034.5024038292</v>
      </c>
      <c r="J142" s="5">
        <f t="shared" si="13"/>
        <v>6378206.4000549028</v>
      </c>
      <c r="L142" s="96">
        <f t="shared" si="10"/>
        <v>-3.0842447331153786E-3</v>
      </c>
      <c r="M142" s="96">
        <f t="shared" si="11"/>
        <v>-89.224712434035567</v>
      </c>
      <c r="N142" s="95">
        <f t="shared" si="9"/>
        <v>7705.1220729299566</v>
      </c>
      <c r="Q142" s="52">
        <v>10227921.289999999</v>
      </c>
      <c r="R142" s="52">
        <v>923685.44</v>
      </c>
      <c r="T142" s="48"/>
      <c r="U142" s="48"/>
      <c r="W142" s="39">
        <f>ABS(Q142-GNL!P139)</f>
        <v>9.8388940095901489E-3</v>
      </c>
      <c r="X142" s="39">
        <f>ABS(R142-GNL!Q139)</f>
        <v>2.2586653707548976E-2</v>
      </c>
    </row>
    <row r="143" spans="1:24" x14ac:dyDescent="0.2">
      <c r="A143" s="32">
        <v>8427</v>
      </c>
      <c r="B143" s="32">
        <v>52.36</v>
      </c>
      <c r="C143" s="32">
        <v>191.08</v>
      </c>
      <c r="D143" s="43">
        <f t="shared" si="8"/>
        <v>190.03</v>
      </c>
      <c r="E143" s="28">
        <v>-1191.67</v>
      </c>
      <c r="F143" s="28">
        <v>-656.62</v>
      </c>
      <c r="G143" s="28">
        <v>7956.4709690634054</v>
      </c>
      <c r="I143" s="5">
        <f t="shared" si="12"/>
        <v>6335034.5024266141</v>
      </c>
      <c r="J143" s="5">
        <f t="shared" si="13"/>
        <v>6378206.4000625499</v>
      </c>
      <c r="L143" s="96">
        <f t="shared" si="10"/>
        <v>-3.2850699139334509E-3</v>
      </c>
      <c r="M143" s="96">
        <f t="shared" si="11"/>
        <v>-89.224750848669387</v>
      </c>
      <c r="N143" s="95">
        <f t="shared" si="9"/>
        <v>7764.4550561214683</v>
      </c>
      <c r="Q143" s="52">
        <v>10227848.699999999</v>
      </c>
      <c r="R143" s="52">
        <v>923670.08</v>
      </c>
      <c r="T143" s="48"/>
      <c r="U143" s="48"/>
      <c r="W143" s="39">
        <f>ABS(Q143-GNL!P140)</f>
        <v>9.6918214112520218E-3</v>
      </c>
      <c r="X143" s="39">
        <f>ABS(R143-GNL!Q140)</f>
        <v>2.2458474617451429E-2</v>
      </c>
    </row>
    <row r="144" spans="1:24" x14ac:dyDescent="0.2">
      <c r="A144" s="32">
        <v>8524</v>
      </c>
      <c r="B144" s="32">
        <v>54.19</v>
      </c>
      <c r="C144" s="32">
        <v>189.4</v>
      </c>
      <c r="D144" s="43">
        <f t="shared" si="8"/>
        <v>188.35</v>
      </c>
      <c r="E144" s="28">
        <v>-1268.4100000000001</v>
      </c>
      <c r="F144" s="28">
        <v>-669.02</v>
      </c>
      <c r="G144" s="28">
        <v>8014.4747413213736</v>
      </c>
      <c r="I144" s="5">
        <f t="shared" si="12"/>
        <v>6335034.5024516759</v>
      </c>
      <c r="J144" s="5">
        <f t="shared" si="13"/>
        <v>6378206.4000709606</v>
      </c>
      <c r="L144" s="96">
        <f t="shared" si="10"/>
        <v>-3.4966186356344513E-3</v>
      </c>
      <c r="M144" s="96">
        <f t="shared" si="11"/>
        <v>-89.224784800305841</v>
      </c>
      <c r="N144" s="95">
        <f t="shared" si="9"/>
        <v>7822.4587123718911</v>
      </c>
      <c r="Q144" s="52">
        <v>10227772.18</v>
      </c>
      <c r="R144" s="52">
        <v>923656.27</v>
      </c>
      <c r="T144" s="48"/>
      <c r="U144" s="48"/>
      <c r="W144" s="39">
        <f>ABS(Q144-GNL!P141)</f>
        <v>1.2438464909791946E-2</v>
      </c>
      <c r="X144" s="39">
        <f>ABS(R144-GNL!Q141)</f>
        <v>2.3479521390981972E-2</v>
      </c>
    </row>
    <row r="145" spans="1:24" x14ac:dyDescent="0.2">
      <c r="A145" s="32">
        <v>8620</v>
      </c>
      <c r="B145" s="32">
        <v>55.66</v>
      </c>
      <c r="C145" s="32">
        <v>187.76</v>
      </c>
      <c r="D145" s="43">
        <f t="shared" si="8"/>
        <v>186.70999999999998</v>
      </c>
      <c r="E145" s="28">
        <v>-1346.29</v>
      </c>
      <c r="F145" s="28">
        <v>-679.3</v>
      </c>
      <c r="G145" s="28">
        <v>8069.6419792244287</v>
      </c>
      <c r="I145" s="5">
        <f t="shared" si="12"/>
        <v>6335034.5024797851</v>
      </c>
      <c r="J145" s="5">
        <f t="shared" si="13"/>
        <v>6378206.400080394</v>
      </c>
      <c r="L145" s="96">
        <f t="shared" si="10"/>
        <v>-3.7113099888531217E-3</v>
      </c>
      <c r="M145" s="96">
        <f t="shared" si="11"/>
        <v>-89.224812947307683</v>
      </c>
      <c r="N145" s="95">
        <f t="shared" si="9"/>
        <v>7877.6258399404715</v>
      </c>
      <c r="Q145" s="52">
        <v>10227694.49</v>
      </c>
      <c r="R145" s="52">
        <v>923644.56</v>
      </c>
      <c r="T145" s="48"/>
      <c r="U145" s="48"/>
      <c r="W145" s="39">
        <f>ABS(Q145-GNL!P142)</f>
        <v>5.8368351310491562E-3</v>
      </c>
      <c r="X145" s="39">
        <f>ABS(R145-GNL!Q142)</f>
        <v>2.0958454115316272E-2</v>
      </c>
    </row>
    <row r="146" spans="1:24" x14ac:dyDescent="0.2">
      <c r="A146" s="32">
        <v>8716</v>
      </c>
      <c r="B146" s="32">
        <v>56.87</v>
      </c>
      <c r="C146" s="32">
        <v>186.21</v>
      </c>
      <c r="D146" s="43">
        <f t="shared" si="8"/>
        <v>185.16</v>
      </c>
      <c r="E146" s="28">
        <v>-1425.7</v>
      </c>
      <c r="F146" s="28">
        <v>-687.55</v>
      </c>
      <c r="G146" s="28">
        <v>8122.9570805338444</v>
      </c>
      <c r="I146" s="5">
        <f t="shared" si="12"/>
        <v>6335034.5025101053</v>
      </c>
      <c r="J146" s="5">
        <f t="shared" si="13"/>
        <v>6378206.4000905696</v>
      </c>
      <c r="L146" s="96">
        <f t="shared" si="10"/>
        <v>-3.9302190843720367E-3</v>
      </c>
      <c r="M146" s="96">
        <f t="shared" si="11"/>
        <v>-89.224835536098084</v>
      </c>
      <c r="N146" s="95">
        <f t="shared" si="9"/>
        <v>7930.9408346196842</v>
      </c>
      <c r="Q146" s="52">
        <v>10227615.23</v>
      </c>
      <c r="R146" s="52">
        <v>923634.85</v>
      </c>
      <c r="T146" s="48"/>
      <c r="U146" s="48"/>
      <c r="W146" s="39">
        <f>ABS(Q146-GNL!P143)</f>
        <v>1.3042913749814034E-2</v>
      </c>
      <c r="X146" s="39">
        <f>ABS(R146-GNL!Q143)</f>
        <v>2.8672691900283098E-2</v>
      </c>
    </row>
    <row r="147" spans="1:24" x14ac:dyDescent="0.2">
      <c r="A147" s="32">
        <v>8812</v>
      </c>
      <c r="B147" s="32">
        <v>58.11</v>
      </c>
      <c r="C147" s="32">
        <v>184.78</v>
      </c>
      <c r="D147" s="43">
        <f t="shared" si="8"/>
        <v>183.73</v>
      </c>
      <c r="E147" s="28">
        <v>-1506.4</v>
      </c>
      <c r="F147" s="28">
        <v>-693.82</v>
      </c>
      <c r="G147" s="28">
        <v>8174.5528710007557</v>
      </c>
      <c r="I147" s="5">
        <f t="shared" si="12"/>
        <v>6335034.5025428785</v>
      </c>
      <c r="J147" s="5">
        <f t="shared" si="13"/>
        <v>6378206.4001015695</v>
      </c>
      <c r="L147" s="96">
        <f t="shared" si="10"/>
        <v>-4.1526843155555776E-3</v>
      </c>
      <c r="M147" s="96">
        <f t="shared" si="11"/>
        <v>-89.22485270357879</v>
      </c>
      <c r="N147" s="95">
        <f t="shared" si="9"/>
        <v>7982.5365218950137</v>
      </c>
      <c r="Q147" s="52">
        <v>10227534.640000001</v>
      </c>
      <c r="R147" s="52">
        <v>923627.11</v>
      </c>
      <c r="T147" s="48"/>
      <c r="U147" s="48"/>
      <c r="W147" s="39">
        <f>ABS(Q147-GNL!P144)</f>
        <v>7.7165588736534119E-3</v>
      </c>
      <c r="X147" s="39">
        <f>ABS(R147-GNL!Q144)</f>
        <v>2.2324741934426129E-2</v>
      </c>
    </row>
    <row r="148" spans="1:24" x14ac:dyDescent="0.2">
      <c r="A148" s="32">
        <v>8909</v>
      </c>
      <c r="B148" s="32">
        <v>59.39</v>
      </c>
      <c r="C148" s="32">
        <v>183.78</v>
      </c>
      <c r="D148" s="43">
        <f t="shared" si="8"/>
        <v>182.73</v>
      </c>
      <c r="E148" s="28">
        <v>-1589.2</v>
      </c>
      <c r="F148" s="28">
        <v>-698.48</v>
      </c>
      <c r="G148" s="28">
        <v>8224.8737641903062</v>
      </c>
      <c r="I148" s="5">
        <f t="shared" si="12"/>
        <v>6335034.5025781104</v>
      </c>
      <c r="J148" s="5">
        <f t="shared" si="13"/>
        <v>6378206.4001133926</v>
      </c>
      <c r="L148" s="96">
        <f t="shared" si="10"/>
        <v>-4.3809386047983876E-3</v>
      </c>
      <c r="M148" s="96">
        <f t="shared" si="11"/>
        <v>-89.224865462822819</v>
      </c>
      <c r="N148" s="95">
        <f t="shared" si="9"/>
        <v>8032.8573144427774</v>
      </c>
      <c r="Q148" s="52">
        <v>10227451.93</v>
      </c>
      <c r="R148" s="52">
        <v>923620.92</v>
      </c>
      <c r="T148" s="48"/>
      <c r="U148" s="48"/>
      <c r="W148" s="39">
        <f>ABS(Q148-GNL!P145)</f>
        <v>1.0114056989550591E-2</v>
      </c>
      <c r="X148" s="39">
        <f>ABS(R148-GNL!Q145)</f>
        <v>2.7461664518341422E-2</v>
      </c>
    </row>
    <row r="149" spans="1:24" x14ac:dyDescent="0.2">
      <c r="A149" s="32">
        <v>9005</v>
      </c>
      <c r="B149" s="32">
        <v>61.09</v>
      </c>
      <c r="C149" s="32">
        <v>183.01</v>
      </c>
      <c r="D149" s="43">
        <f t="shared" si="8"/>
        <v>181.95999999999998</v>
      </c>
      <c r="E149" s="28">
        <v>-1672.46</v>
      </c>
      <c r="F149" s="28">
        <v>-701.89</v>
      </c>
      <c r="G149" s="28">
        <v>8272.5238871934143</v>
      </c>
      <c r="I149" s="5">
        <f t="shared" si="12"/>
        <v>6335034.5026162742</v>
      </c>
      <c r="J149" s="5">
        <f t="shared" si="13"/>
        <v>6378206.4001262011</v>
      </c>
      <c r="L149" s="96">
        <f t="shared" si="10"/>
        <v>-4.6104609734244975E-3</v>
      </c>
      <c r="M149" s="96">
        <f t="shared" si="11"/>
        <v>-89.224874799522851</v>
      </c>
      <c r="N149" s="95">
        <f t="shared" si="9"/>
        <v>8080.5073421456418</v>
      </c>
      <c r="Q149" s="52">
        <v>10227368.73</v>
      </c>
      <c r="R149" s="52">
        <v>923615.99</v>
      </c>
      <c r="T149" s="48"/>
      <c r="U149" s="48"/>
      <c r="W149" s="39">
        <f>ABS(Q149-GNL!P146)</f>
        <v>5.834607407450676E-3</v>
      </c>
      <c r="X149" s="39">
        <f>ABS(R149-GNL!Q146)</f>
        <v>2.6262758648954332E-2</v>
      </c>
    </row>
    <row r="150" spans="1:24" x14ac:dyDescent="0.2">
      <c r="A150" s="32">
        <v>9100</v>
      </c>
      <c r="B150" s="32">
        <v>62.94</v>
      </c>
      <c r="C150" s="32">
        <v>182.17</v>
      </c>
      <c r="D150" s="43">
        <f t="shared" si="8"/>
        <v>181.11999999999998</v>
      </c>
      <c r="E150" s="28">
        <v>-1756.32</v>
      </c>
      <c r="F150" s="28">
        <v>-704.14</v>
      </c>
      <c r="G150" s="28">
        <v>8317.1004105720167</v>
      </c>
      <c r="I150" s="5">
        <f t="shared" si="12"/>
        <v>6335034.5026567075</v>
      </c>
      <c r="J150" s="5">
        <f t="shared" si="13"/>
        <v>6378206.4001397705</v>
      </c>
      <c r="L150" s="96">
        <f t="shared" si="10"/>
        <v>-4.8416373586378375E-3</v>
      </c>
      <c r="M150" s="96">
        <f t="shared" si="11"/>
        <v>-89.224880960102055</v>
      </c>
      <c r="N150" s="95">
        <f t="shared" si="9"/>
        <v>8125.083776371197</v>
      </c>
      <c r="Q150" s="52">
        <v>10227284.91</v>
      </c>
      <c r="R150" s="52">
        <v>923612.2</v>
      </c>
      <c r="T150" s="48"/>
      <c r="U150" s="48"/>
      <c r="W150" s="39">
        <f>ABS(Q150-GNL!P147)</f>
        <v>8.7337605655193329E-3</v>
      </c>
      <c r="X150" s="39">
        <f>ABS(R150-GNL!Q147)</f>
        <v>3.0091520515270531E-2</v>
      </c>
    </row>
    <row r="151" spans="1:24" x14ac:dyDescent="0.2">
      <c r="A151" s="32">
        <v>9197</v>
      </c>
      <c r="B151" s="32">
        <v>64.91</v>
      </c>
      <c r="C151" s="32">
        <v>181.9</v>
      </c>
      <c r="D151" s="43">
        <f t="shared" si="8"/>
        <v>180.85</v>
      </c>
      <c r="E151" s="28">
        <v>-1843.43</v>
      </c>
      <c r="F151" s="28">
        <v>-705.63</v>
      </c>
      <c r="G151" s="28">
        <v>8359.7344611755907</v>
      </c>
      <c r="I151" s="5">
        <f t="shared" si="12"/>
        <v>6335034.5026995204</v>
      </c>
      <c r="J151" s="5">
        <f t="shared" si="13"/>
        <v>6378206.4001541389</v>
      </c>
      <c r="L151" s="96">
        <f t="shared" si="10"/>
        <v>-5.0817730003716553E-3</v>
      </c>
      <c r="M151" s="96">
        <f t="shared" si="11"/>
        <v>-89.224885039774506</v>
      </c>
      <c r="N151" s="95">
        <f t="shared" si="9"/>
        <v>8167.7177417066687</v>
      </c>
      <c r="Q151" s="52">
        <v>10227197.83</v>
      </c>
      <c r="R151" s="52">
        <v>923609.11</v>
      </c>
      <c r="T151" s="48"/>
      <c r="U151" s="48"/>
      <c r="W151" s="39">
        <f>ABS(Q151-GNL!P148)</f>
        <v>4.5410953462123871E-3</v>
      </c>
      <c r="X151" s="39">
        <f>ABS(R151-GNL!Q148)</f>
        <v>2.7510317973792553E-2</v>
      </c>
    </row>
    <row r="152" spans="1:24" x14ac:dyDescent="0.2">
      <c r="A152" s="32">
        <v>9293</v>
      </c>
      <c r="B152" s="32">
        <v>65.17</v>
      </c>
      <c r="C152" s="32">
        <v>181.76</v>
      </c>
      <c r="D152" s="43">
        <f t="shared" si="8"/>
        <v>180.70999999999998</v>
      </c>
      <c r="E152" s="28">
        <v>-1930.45</v>
      </c>
      <c r="F152" s="28">
        <v>-706.82</v>
      </c>
      <c r="G152" s="28">
        <v>8400.2450448979653</v>
      </c>
      <c r="I152" s="5">
        <f t="shared" si="12"/>
        <v>6335034.5027462095</v>
      </c>
      <c r="J152" s="5">
        <f t="shared" si="13"/>
        <v>6378206.4001698075</v>
      </c>
      <c r="L152" s="96">
        <f t="shared" si="10"/>
        <v>-5.3216605396154025E-3</v>
      </c>
      <c r="M152" s="96">
        <f t="shared" si="11"/>
        <v>-89.224888298036404</v>
      </c>
      <c r="N152" s="95">
        <f t="shared" si="9"/>
        <v>8208.2282444078755</v>
      </c>
      <c r="Q152" s="52">
        <v>10227110.82</v>
      </c>
      <c r="R152" s="52">
        <v>923606.33</v>
      </c>
      <c r="T152" s="48"/>
      <c r="U152" s="48"/>
      <c r="W152" s="39">
        <f>ABS(Q152-GNL!P149)</f>
        <v>9.0002976357936859E-3</v>
      </c>
      <c r="X152" s="39">
        <f>ABS(R152-GNL!Q149)</f>
        <v>2.776167937554419E-2</v>
      </c>
    </row>
    <row r="153" spans="1:24" x14ac:dyDescent="0.2">
      <c r="A153" s="32">
        <v>9390</v>
      </c>
      <c r="B153" s="32">
        <v>65.08</v>
      </c>
      <c r="C153" s="32">
        <v>181.47</v>
      </c>
      <c r="D153" s="43">
        <f t="shared" si="8"/>
        <v>180.42</v>
      </c>
      <c r="E153" s="28">
        <v>-2018.45</v>
      </c>
      <c r="F153" s="28">
        <v>-707.69</v>
      </c>
      <c r="G153" s="28">
        <v>8441.047192464237</v>
      </c>
      <c r="I153" s="5">
        <f t="shared" si="12"/>
        <v>6335034.5027951067</v>
      </c>
      <c r="J153" s="5">
        <f t="shared" si="13"/>
        <v>6378206.4001862174</v>
      </c>
      <c r="L153" s="96">
        <f t="shared" si="10"/>
        <v>-5.5642496392854417E-3</v>
      </c>
      <c r="M153" s="96">
        <f t="shared" si="11"/>
        <v>-89.224890680127032</v>
      </c>
      <c r="N153" s="95">
        <f t="shared" si="9"/>
        <v>8249.0303103698534</v>
      </c>
      <c r="Q153" s="52">
        <v>10227022.84</v>
      </c>
      <c r="R153" s="52">
        <v>923603.84</v>
      </c>
      <c r="T153" s="48"/>
      <c r="U153" s="48"/>
      <c r="W153" s="39">
        <f>ABS(Q153-GNL!P150)</f>
        <v>6.6526718437671661E-3</v>
      </c>
      <c r="X153" s="39">
        <f>ABS(R153-GNL!Q150)</f>
        <v>3.7059173453599215E-2</v>
      </c>
    </row>
    <row r="154" spans="1:24" x14ac:dyDescent="0.2">
      <c r="A154" s="99">
        <v>9484</v>
      </c>
      <c r="B154" s="99">
        <v>65.16</v>
      </c>
      <c r="C154" s="99">
        <v>181.43</v>
      </c>
      <c r="D154" s="102">
        <f t="shared" ref="D154:D217" si="14">C154+E$26</f>
        <v>180.38</v>
      </c>
      <c r="E154" s="97">
        <v>-2103.7199999999998</v>
      </c>
      <c r="F154" s="97">
        <v>-708.28</v>
      </c>
      <c r="G154" s="97">
        <v>8480.5947925191504</v>
      </c>
      <c r="H154" s="93"/>
      <c r="I154" s="95">
        <f t="shared" ref="I154:I217" si="15">+L$6*(1-L$9)/(1-L$9*SIN(RADIANS(L153))^2)^1.5</f>
        <v>6335034.5028468473</v>
      </c>
      <c r="J154" s="95">
        <f t="shared" ref="J154:J217" si="16">+L$6/SQRT(1-L$9*SIN(RADIANS(L153))^2)</f>
        <v>6378206.4002035819</v>
      </c>
      <c r="K154" s="93"/>
      <c r="L154" s="96">
        <f t="shared" si="10"/>
        <v>-5.7993129634751599E-3</v>
      </c>
      <c r="M154" s="96">
        <f t="shared" si="11"/>
        <v>-89.224892295567798</v>
      </c>
      <c r="N154" s="95">
        <f t="shared" si="9"/>
        <v>8288.5778313295668</v>
      </c>
      <c r="O154" s="93"/>
      <c r="P154" s="93"/>
      <c r="Q154" s="52">
        <v>10226937.57</v>
      </c>
      <c r="R154" s="52">
        <v>923601.69</v>
      </c>
      <c r="S154" s="93"/>
      <c r="T154" s="104"/>
      <c r="U154" s="104"/>
      <c r="V154" s="93"/>
      <c r="W154" s="100">
        <f>ABS(Q154-GNL!P151)</f>
        <v>1.2164607644081116E-2</v>
      </c>
      <c r="X154" s="100">
        <f>ABS(R154-GNL!Q151)</f>
        <v>2.8796260128729045E-2</v>
      </c>
    </row>
    <row r="155" spans="1:24" x14ac:dyDescent="0.2">
      <c r="A155" s="99">
        <v>9580</v>
      </c>
      <c r="B155" s="99">
        <v>65.16</v>
      </c>
      <c r="C155" s="99">
        <v>181.15</v>
      </c>
      <c r="D155" s="102">
        <f t="shared" si="14"/>
        <v>180.1</v>
      </c>
      <c r="E155" s="97">
        <v>-2190.84</v>
      </c>
      <c r="F155" s="97">
        <v>-708.65</v>
      </c>
      <c r="G155" s="97">
        <v>8520.9230885430788</v>
      </c>
      <c r="H155" s="93"/>
      <c r="I155" s="95">
        <f t="shared" si="15"/>
        <v>6335034.502899183</v>
      </c>
      <c r="J155" s="95">
        <f t="shared" si="16"/>
        <v>6378206.4002211457</v>
      </c>
      <c r="K155" s="93"/>
      <c r="L155" s="96">
        <f t="shared" si="10"/>
        <v>-6.039476172144554E-3</v>
      </c>
      <c r="M155" s="96">
        <f t="shared" si="11"/>
        <v>-89.22489330864083</v>
      </c>
      <c r="N155" s="95">
        <f t="shared" si="9"/>
        <v>8328.9060466969022</v>
      </c>
      <c r="O155" s="93"/>
      <c r="P155" s="93"/>
      <c r="Q155" s="52">
        <v>10226850.460000001</v>
      </c>
      <c r="R155" s="52">
        <v>923599.72</v>
      </c>
      <c r="S155" s="93"/>
      <c r="T155" s="104"/>
      <c r="U155" s="104"/>
      <c r="V155" s="93"/>
      <c r="W155" s="100">
        <f>ABS(Q155-GNL!P152)</f>
        <v>9.6570830792188644E-3</v>
      </c>
      <c r="X155" s="100">
        <f>ABS(R155-GNL!Q152)</f>
        <v>3.7148688803426921E-2</v>
      </c>
    </row>
    <row r="156" spans="1:24" x14ac:dyDescent="0.2">
      <c r="A156" s="99">
        <v>9678</v>
      </c>
      <c r="B156" s="99">
        <v>65.09</v>
      </c>
      <c r="C156" s="99">
        <v>180.63</v>
      </c>
      <c r="D156" s="102">
        <f t="shared" si="14"/>
        <v>179.57999999999998</v>
      </c>
      <c r="E156" s="97">
        <v>-2279.75</v>
      </c>
      <c r="F156" s="97">
        <v>-708.4</v>
      </c>
      <c r="G156" s="97">
        <v>8562.1460389372005</v>
      </c>
      <c r="H156" s="93"/>
      <c r="I156" s="95">
        <f t="shared" si="15"/>
        <v>6335034.502954891</v>
      </c>
      <c r="J156" s="95">
        <f t="shared" si="16"/>
        <v>6378206.400239842</v>
      </c>
      <c r="K156" s="93"/>
      <c r="L156" s="96">
        <f t="shared" si="10"/>
        <v>-6.284573863634544E-3</v>
      </c>
      <c r="M156" s="96">
        <f t="shared" si="11"/>
        <v>-89.224892624132025</v>
      </c>
      <c r="N156" s="95">
        <f t="shared" si="9"/>
        <v>8370.1289146451236</v>
      </c>
      <c r="O156" s="93"/>
      <c r="P156" s="93"/>
      <c r="Q156" s="52">
        <v>10226761.550000001</v>
      </c>
      <c r="R156" s="52">
        <v>923598.34</v>
      </c>
      <c r="S156" s="93"/>
      <c r="T156" s="104"/>
      <c r="U156" s="104"/>
      <c r="V156" s="93"/>
      <c r="W156" s="100">
        <f>ABS(Q156-GNL!P153)</f>
        <v>5.9599597007036209E-3</v>
      </c>
      <c r="X156" s="100">
        <f>ABS(R156-GNL!Q153)</f>
        <v>3.578856831882149E-2</v>
      </c>
    </row>
    <row r="157" spans="1:24" x14ac:dyDescent="0.2">
      <c r="A157" s="99">
        <v>9774</v>
      </c>
      <c r="B157" s="99">
        <v>65.13</v>
      </c>
      <c r="C157" s="99">
        <v>180.28</v>
      </c>
      <c r="D157" s="102">
        <f t="shared" si="14"/>
        <v>179.23</v>
      </c>
      <c r="E157" s="97">
        <v>-2366.83</v>
      </c>
      <c r="F157" s="97">
        <v>-707.49</v>
      </c>
      <c r="G157" s="97">
        <v>8602.5503813027826</v>
      </c>
      <c r="H157" s="93"/>
      <c r="I157" s="95">
        <f t="shared" si="15"/>
        <v>6335034.5030140728</v>
      </c>
      <c r="J157" s="95">
        <f t="shared" si="16"/>
        <v>6378206.4002597034</v>
      </c>
      <c r="K157" s="93"/>
      <c r="L157" s="96">
        <f t="shared" si="10"/>
        <v>-6.5246268045270079E-3</v>
      </c>
      <c r="M157" s="96">
        <f t="shared" si="11"/>
        <v>-89.224890132519988</v>
      </c>
      <c r="N157" s="95">
        <f t="shared" si="9"/>
        <v>8410.5331762020214</v>
      </c>
      <c r="O157" s="93"/>
      <c r="P157" s="93"/>
      <c r="Q157" s="52">
        <v>10226674.449999999</v>
      </c>
      <c r="R157" s="52">
        <v>923597.65</v>
      </c>
      <c r="S157" s="93"/>
      <c r="T157" s="104"/>
      <c r="U157" s="104"/>
      <c r="V157" s="93"/>
      <c r="W157" s="100">
        <f>ABS(Q157-GNL!P154)</f>
        <v>9.415140375494957E-3</v>
      </c>
      <c r="X157" s="100">
        <f>ABS(R157-GNL!Q154)</f>
        <v>3.4161844523623586E-2</v>
      </c>
    </row>
    <row r="158" spans="1:24" x14ac:dyDescent="0.2">
      <c r="A158" s="99">
        <v>9870</v>
      </c>
      <c r="B158" s="99">
        <v>65.19</v>
      </c>
      <c r="C158" s="99">
        <v>180.25</v>
      </c>
      <c r="D158" s="102">
        <f t="shared" si="14"/>
        <v>179.2</v>
      </c>
      <c r="E158" s="97">
        <v>-2453.94</v>
      </c>
      <c r="F158" s="97">
        <v>-706.3</v>
      </c>
      <c r="G158" s="97">
        <v>8642.878610146372</v>
      </c>
      <c r="H158" s="93"/>
      <c r="I158" s="95">
        <f t="shared" si="15"/>
        <v>6335034.5030743182</v>
      </c>
      <c r="J158" s="95">
        <f t="shared" si="16"/>
        <v>6378206.4002799224</v>
      </c>
      <c r="K158" s="93"/>
      <c r="L158" s="96">
        <f t="shared" si="10"/>
        <v>-6.7647624462466192E-3</v>
      </c>
      <c r="M158" s="96">
        <f t="shared" si="11"/>
        <v>-89.22488687425809</v>
      </c>
      <c r="N158" s="95">
        <f t="shared" si="9"/>
        <v>8450.8613243891523</v>
      </c>
      <c r="O158" s="93"/>
      <c r="P158" s="93"/>
      <c r="Q158" s="52">
        <v>10226587.32</v>
      </c>
      <c r="R158" s="52">
        <v>923597.24</v>
      </c>
      <c r="S158" s="93"/>
      <c r="T158" s="104"/>
      <c r="U158" s="104"/>
      <c r="V158" s="93"/>
      <c r="W158" s="100">
        <f>ABS(Q158-GNL!P155)</f>
        <v>5.6436564773321152E-3</v>
      </c>
      <c r="X158" s="100">
        <f>ABS(R158-GNL!Q155)</f>
        <v>4.1160131571814418E-2</v>
      </c>
    </row>
    <row r="159" spans="1:24" x14ac:dyDescent="0.2">
      <c r="A159" s="99">
        <v>9964</v>
      </c>
      <c r="B159" s="99">
        <v>65.12</v>
      </c>
      <c r="C159" s="99">
        <v>180.36</v>
      </c>
      <c r="D159" s="102">
        <f t="shared" si="14"/>
        <v>179.31</v>
      </c>
      <c r="E159" s="97">
        <v>-2539.23</v>
      </c>
      <c r="F159" s="97">
        <v>-705.19</v>
      </c>
      <c r="G159" s="97">
        <v>8682.3741201378452</v>
      </c>
      <c r="H159" s="93"/>
      <c r="I159" s="95">
        <f t="shared" si="15"/>
        <v>6335034.5031368444</v>
      </c>
      <c r="J159" s="95">
        <f t="shared" si="16"/>
        <v>6378206.400300906</v>
      </c>
      <c r="K159" s="93"/>
      <c r="L159" s="96">
        <f t="shared" si="10"/>
        <v>-6.9998809043118632E-3</v>
      </c>
      <c r="M159" s="96">
        <f t="shared" si="11"/>
        <v>-89.224883835039009</v>
      </c>
      <c r="N159" s="95">
        <f t="shared" si="9"/>
        <v>8490.3567553896064</v>
      </c>
      <c r="O159" s="93"/>
      <c r="P159" s="93"/>
      <c r="Q159" s="52">
        <v>10226502</v>
      </c>
      <c r="R159" s="52">
        <v>923596.79</v>
      </c>
      <c r="S159" s="93"/>
      <c r="T159" s="104"/>
      <c r="U159" s="104"/>
      <c r="V159" s="93"/>
      <c r="W159" s="100">
        <f>ABS(Q159-GNL!P156)</f>
        <v>1.0919982567429543E-2</v>
      </c>
      <c r="X159" s="100">
        <f>ABS(R159-GNL!Q156)</f>
        <v>3.7027043290436268E-2</v>
      </c>
    </row>
    <row r="160" spans="1:24" x14ac:dyDescent="0.2">
      <c r="A160" s="99">
        <v>10062</v>
      </c>
      <c r="B160" s="99">
        <v>65.33</v>
      </c>
      <c r="C160" s="99">
        <v>180.52</v>
      </c>
      <c r="D160" s="102">
        <f t="shared" si="14"/>
        <v>179.47</v>
      </c>
      <c r="E160" s="97">
        <v>-2628.21</v>
      </c>
      <c r="F160" s="97">
        <v>-704.24</v>
      </c>
      <c r="G160" s="97">
        <v>8723.4416022406349</v>
      </c>
      <c r="H160" s="93"/>
      <c r="I160" s="95">
        <f t="shared" si="15"/>
        <v>6335034.5032002535</v>
      </c>
      <c r="J160" s="95">
        <f t="shared" si="16"/>
        <v>6378206.4003221868</v>
      </c>
      <c r="K160" s="93"/>
      <c r="L160" s="96">
        <f t="shared" si="10"/>
        <v>-7.2451715643943593E-3</v>
      </c>
      <c r="M160" s="96">
        <f t="shared" si="11"/>
        <v>-89.224881233905549</v>
      </c>
      <c r="N160" s="95">
        <f t="shared" si="9"/>
        <v>8531.4241553574302</v>
      </c>
      <c r="O160" s="93"/>
      <c r="P160" s="93"/>
      <c r="Q160" s="52">
        <v>10226413.01</v>
      </c>
      <c r="R160" s="52">
        <v>923596.1</v>
      </c>
      <c r="S160" s="93"/>
      <c r="T160" s="104"/>
      <c r="U160" s="104"/>
      <c r="V160" s="93"/>
      <c r="W160" s="100">
        <f>ABS(Q160-GNL!P157)</f>
        <v>6.9631990045309067E-3</v>
      </c>
      <c r="X160" s="100">
        <f>ABS(R160-GNL!Q157)</f>
        <v>4.3483976158313453E-2</v>
      </c>
    </row>
    <row r="161" spans="1:24" x14ac:dyDescent="0.2">
      <c r="A161" s="99">
        <v>10157</v>
      </c>
      <c r="B161" s="99">
        <v>65.319999999999993</v>
      </c>
      <c r="C161" s="99">
        <v>180.77</v>
      </c>
      <c r="D161" s="102">
        <f t="shared" si="14"/>
        <v>179.72</v>
      </c>
      <c r="E161" s="97">
        <v>-2714.53</v>
      </c>
      <c r="F161" s="97">
        <v>-703.63</v>
      </c>
      <c r="G161" s="97">
        <v>8763.1013632895829</v>
      </c>
      <c r="H161" s="93"/>
      <c r="I161" s="95">
        <f t="shared" si="15"/>
        <v>6335034.5032687141</v>
      </c>
      <c r="J161" s="95">
        <f t="shared" si="16"/>
        <v>6378206.4003451625</v>
      </c>
      <c r="K161" s="93"/>
      <c r="L161" s="96">
        <f t="shared" si="10"/>
        <v>-7.4831294175983628E-3</v>
      </c>
      <c r="M161" s="96">
        <f t="shared" si="11"/>
        <v>-89.224879563704064</v>
      </c>
      <c r="N161" s="95">
        <f t="shared" si="9"/>
        <v>8571.0838370868569</v>
      </c>
      <c r="O161" s="93"/>
      <c r="P161" s="93"/>
      <c r="Q161" s="52">
        <v>10226326.67</v>
      </c>
      <c r="R161" s="52">
        <v>923595.13</v>
      </c>
      <c r="S161" s="93"/>
      <c r="T161" s="104"/>
      <c r="U161" s="104"/>
      <c r="V161" s="93"/>
      <c r="W161" s="100">
        <f>ABS(Q161-GNL!P158)</f>
        <v>1.0880077257752419E-2</v>
      </c>
      <c r="X161" s="100">
        <f>ABS(R161-GNL!Q158)</f>
        <v>4.1532920673489571E-2</v>
      </c>
    </row>
    <row r="162" spans="1:24" x14ac:dyDescent="0.2">
      <c r="A162" s="99">
        <v>10254</v>
      </c>
      <c r="B162" s="99">
        <v>65.27</v>
      </c>
      <c r="C162" s="99">
        <v>181.07</v>
      </c>
      <c r="D162" s="102">
        <f t="shared" si="14"/>
        <v>180.01999999999998</v>
      </c>
      <c r="E162" s="97">
        <v>-2802.65</v>
      </c>
      <c r="F162" s="97">
        <v>-703.43</v>
      </c>
      <c r="G162" s="97">
        <v>8803.6422348321157</v>
      </c>
      <c r="H162" s="93"/>
      <c r="I162" s="95">
        <f t="shared" si="15"/>
        <v>6335034.5033373814</v>
      </c>
      <c r="J162" s="95">
        <f t="shared" si="16"/>
        <v>6378206.4003682071</v>
      </c>
      <c r="K162" s="93"/>
      <c r="L162" s="96">
        <f t="shared" si="10"/>
        <v>-7.7260493205653395E-3</v>
      </c>
      <c r="M162" s="96">
        <f t="shared" si="11"/>
        <v>-89.22487901609702</v>
      </c>
      <c r="N162" s="95">
        <f t="shared" si="9"/>
        <v>8611.624627547646</v>
      </c>
      <c r="O162" s="93"/>
      <c r="P162" s="93"/>
      <c r="Q162" s="52">
        <v>10226238.539999999</v>
      </c>
      <c r="R162" s="52">
        <v>923593.72</v>
      </c>
      <c r="S162" s="93"/>
      <c r="T162" s="104"/>
      <c r="U162" s="104"/>
      <c r="V162" s="93"/>
      <c r="W162" s="100">
        <f>ABS(Q162-GNL!P159)</f>
        <v>1.4233656227588654E-2</v>
      </c>
      <c r="X162" s="100">
        <f>ABS(R162-GNL!Q159)</f>
        <v>3.6405492108315229E-2</v>
      </c>
    </row>
    <row r="163" spans="1:24" x14ac:dyDescent="0.2">
      <c r="A163" s="99">
        <v>10350</v>
      </c>
      <c r="B163" s="99">
        <v>65.36</v>
      </c>
      <c r="C163" s="99">
        <v>181.21</v>
      </c>
      <c r="D163" s="102">
        <f t="shared" si="14"/>
        <v>180.16</v>
      </c>
      <c r="E163" s="97">
        <v>-2889.88</v>
      </c>
      <c r="F163" s="97">
        <v>-703.57</v>
      </c>
      <c r="G163" s="97">
        <v>8843.7346515882855</v>
      </c>
      <c r="H163" s="93"/>
      <c r="I163" s="95">
        <f t="shared" si="15"/>
        <v>6335034.5034097685</v>
      </c>
      <c r="J163" s="95">
        <f t="shared" si="16"/>
        <v>6378206.4003925016</v>
      </c>
      <c r="K163" s="93"/>
      <c r="L163" s="96">
        <f t="shared" si="10"/>
        <v>-7.9665157655899339E-3</v>
      </c>
      <c r="M163" s="96">
        <f t="shared" si="11"/>
        <v>-89.224879399421951</v>
      </c>
      <c r="N163" s="95">
        <f t="shared" si="9"/>
        <v>8651.716964118983</v>
      </c>
      <c r="O163" s="93"/>
      <c r="P163" s="93"/>
      <c r="Q163" s="52">
        <v>10226151.32</v>
      </c>
      <c r="R163" s="52">
        <v>923591.98</v>
      </c>
      <c r="S163" s="93"/>
      <c r="T163" s="104"/>
      <c r="U163" s="104"/>
      <c r="V163" s="93"/>
      <c r="W163" s="100">
        <f>ABS(Q163-GNL!P160)</f>
        <v>8.0326609313488007E-3</v>
      </c>
      <c r="X163" s="100">
        <f>ABS(R163-GNL!Q160)</f>
        <v>4.0619733510538936E-2</v>
      </c>
    </row>
    <row r="164" spans="1:24" x14ac:dyDescent="0.2">
      <c r="A164" s="99">
        <v>10446</v>
      </c>
      <c r="B164" s="99">
        <v>65.33</v>
      </c>
      <c r="C164" s="99">
        <v>181.18</v>
      </c>
      <c r="D164" s="102">
        <f t="shared" si="14"/>
        <v>180.13</v>
      </c>
      <c r="E164" s="97">
        <v>-2977.13</v>
      </c>
      <c r="F164" s="97">
        <v>-703.79</v>
      </c>
      <c r="G164" s="97">
        <v>8883.7813787031428</v>
      </c>
      <c r="H164" s="93"/>
      <c r="I164" s="95">
        <f t="shared" si="15"/>
        <v>6335034.5034837024</v>
      </c>
      <c r="J164" s="95">
        <f t="shared" si="16"/>
        <v>6378206.4004173139</v>
      </c>
      <c r="K164" s="93"/>
      <c r="L164" s="96">
        <f t="shared" si="10"/>
        <v>-8.2070373444980051E-3</v>
      </c>
      <c r="M164" s="96">
        <f t="shared" si="11"/>
        <v>-89.2248800017897</v>
      </c>
      <c r="N164" s="95">
        <f t="shared" si="9"/>
        <v>8691.7636111403863</v>
      </c>
      <c r="O164" s="93"/>
      <c r="P164" s="93"/>
      <c r="Q164" s="52">
        <v>10226064.07</v>
      </c>
      <c r="R164" s="52">
        <v>923590.16</v>
      </c>
      <c r="S164" s="93"/>
      <c r="T164" s="104"/>
      <c r="U164" s="104"/>
      <c r="V164" s="93"/>
      <c r="W164" s="100">
        <f>ABS(Q164-GNL!P161)</f>
        <v>1.2521734461188316E-2</v>
      </c>
      <c r="X164" s="100">
        <f>ABS(R164-GNL!Q161)</f>
        <v>4.0700990590266883E-2</v>
      </c>
    </row>
    <row r="165" spans="1:24" x14ac:dyDescent="0.2">
      <c r="A165" s="99">
        <v>10541</v>
      </c>
      <c r="B165" s="99">
        <v>65.319999999999993</v>
      </c>
      <c r="C165" s="99">
        <v>181.24</v>
      </c>
      <c r="D165" s="102">
        <f t="shared" si="14"/>
        <v>180.19</v>
      </c>
      <c r="E165" s="97">
        <v>-3063.45</v>
      </c>
      <c r="F165" s="97">
        <v>-704.03</v>
      </c>
      <c r="G165" s="97">
        <v>8923.4410907887777</v>
      </c>
      <c r="H165" s="93"/>
      <c r="I165" s="95">
        <f t="shared" si="15"/>
        <v>6335034.5035599209</v>
      </c>
      <c r="J165" s="95">
        <f t="shared" si="16"/>
        <v>6378206.4004428936</v>
      </c>
      <c r="K165" s="93"/>
      <c r="L165" s="96">
        <f t="shared" si="10"/>
        <v>-8.4449951976910687E-3</v>
      </c>
      <c r="M165" s="96">
        <f t="shared" si="11"/>
        <v>-89.224880658918153</v>
      </c>
      <c r="N165" s="95">
        <f t="shared" si="9"/>
        <v>8731.4232439065963</v>
      </c>
      <c r="O165" s="93"/>
      <c r="P165" s="93"/>
      <c r="Q165" s="52">
        <v>10225977.75</v>
      </c>
      <c r="R165" s="52">
        <v>923588.33</v>
      </c>
      <c r="S165" s="93"/>
      <c r="T165" s="104"/>
      <c r="U165" s="104"/>
      <c r="V165" s="93"/>
      <c r="W165" s="100">
        <f>ABS(Q165-GNL!P162)</f>
        <v>1.0133760049939156E-2</v>
      </c>
      <c r="X165" s="100">
        <f>ABS(R165-GNL!Q162)</f>
        <v>4.743377713020891E-2</v>
      </c>
    </row>
    <row r="166" spans="1:24" x14ac:dyDescent="0.2">
      <c r="A166" s="99">
        <v>10638</v>
      </c>
      <c r="B166" s="99">
        <v>65.3</v>
      </c>
      <c r="C166" s="99">
        <v>181.33</v>
      </c>
      <c r="D166" s="102">
        <f t="shared" si="14"/>
        <v>180.28</v>
      </c>
      <c r="E166" s="97">
        <v>-3151.58</v>
      </c>
      <c r="F166" s="97">
        <v>-704.39</v>
      </c>
      <c r="G166" s="97">
        <v>8963.9588222367965</v>
      </c>
      <c r="H166" s="93"/>
      <c r="I166" s="95">
        <f t="shared" si="15"/>
        <v>6335034.5036375569</v>
      </c>
      <c r="J166" s="95">
        <f t="shared" si="16"/>
        <v>6378206.4004689483</v>
      </c>
      <c r="K166" s="93"/>
      <c r="L166" s="96">
        <f t="shared" si="10"/>
        <v>-8.6879426675896768E-3</v>
      </c>
      <c r="M166" s="96">
        <f t="shared" si="11"/>
        <v>-89.224881644610832</v>
      </c>
      <c r="N166" s="95">
        <f t="shared" ref="N166:N229" si="17">G166*F$13/F$17 - E$20</f>
        <v>8771.940894319152</v>
      </c>
      <c r="O166" s="93"/>
      <c r="P166" s="93"/>
      <c r="Q166" s="52">
        <v>10225889.619999999</v>
      </c>
      <c r="R166" s="52">
        <v>923586.36</v>
      </c>
      <c r="S166" s="93"/>
      <c r="T166" s="104"/>
      <c r="U166" s="104"/>
      <c r="V166" s="93"/>
      <c r="W166" s="100">
        <f>ABS(Q166-GNL!P163)</f>
        <v>1.3555604964494705E-2</v>
      </c>
      <c r="X166" s="100">
        <f>ABS(R166-GNL!Q163)</f>
        <v>4.0650738985277712E-2</v>
      </c>
    </row>
    <row r="167" spans="1:24" x14ac:dyDescent="0.2">
      <c r="A167" s="99">
        <v>10734</v>
      </c>
      <c r="B167" s="99">
        <v>65.290000000000006</v>
      </c>
      <c r="C167" s="99">
        <v>181.31</v>
      </c>
      <c r="D167" s="102">
        <f t="shared" si="14"/>
        <v>180.26</v>
      </c>
      <c r="E167" s="97">
        <v>-3238.79</v>
      </c>
      <c r="F167" s="97">
        <v>-704.81</v>
      </c>
      <c r="G167" s="97">
        <v>9004.0816725545665</v>
      </c>
      <c r="H167" s="93"/>
      <c r="I167" s="95">
        <f t="shared" si="15"/>
        <v>6335034.503719111</v>
      </c>
      <c r="J167" s="95">
        <f t="shared" si="16"/>
        <v>6378206.400496318</v>
      </c>
      <c r="K167" s="93"/>
      <c r="L167" s="96">
        <f t="shared" ref="L167:L230" si="18">L166 + DEGREES((E167-E166)*F$13/I167)</f>
        <v>-8.9283539787162487E-3</v>
      </c>
      <c r="M167" s="96">
        <f t="shared" ref="M167:M230" si="19">M166 + DEGREES((F167-F166)*F$13/(J167*COS(RADIANS(L166))))</f>
        <v>-89.224882794585625</v>
      </c>
      <c r="N167" s="95">
        <f t="shared" si="17"/>
        <v>8812.0636643912221</v>
      </c>
      <c r="O167" s="93"/>
      <c r="P167" s="93"/>
      <c r="Q167" s="52">
        <v>10225802.42</v>
      </c>
      <c r="R167" s="52">
        <v>923584.35</v>
      </c>
      <c r="S167" s="93"/>
      <c r="T167" s="104"/>
      <c r="U167" s="104"/>
      <c r="V167" s="93"/>
      <c r="W167" s="100">
        <f>ABS(Q167-GNL!P164)</f>
        <v>7.1988701820373535E-3</v>
      </c>
      <c r="X167" s="100">
        <f>ABS(R167-GNL!Q164)</f>
        <v>4.1204369394108653E-2</v>
      </c>
    </row>
    <row r="168" spans="1:24" x14ac:dyDescent="0.2">
      <c r="A168" s="99">
        <v>10831</v>
      </c>
      <c r="B168" s="99">
        <v>65.430000000000007</v>
      </c>
      <c r="C168" s="99">
        <v>181.25</v>
      </c>
      <c r="D168" s="102">
        <f t="shared" si="14"/>
        <v>180.2</v>
      </c>
      <c r="E168" s="97">
        <v>-3326.96</v>
      </c>
      <c r="F168" s="97">
        <v>-705.16</v>
      </c>
      <c r="G168" s="97">
        <v>9044.5224649069369</v>
      </c>
      <c r="H168" s="93"/>
      <c r="I168" s="95">
        <f t="shared" si="15"/>
        <v>6335034.503802089</v>
      </c>
      <c r="J168" s="95">
        <f t="shared" si="16"/>
        <v>6378206.4005241655</v>
      </c>
      <c r="K168" s="93"/>
      <c r="L168" s="96">
        <f t="shared" si="18"/>
        <v>-9.1714117163811063E-3</v>
      </c>
      <c r="M168" s="96">
        <f t="shared" si="19"/>
        <v>-89.224883752897952</v>
      </c>
      <c r="N168" s="95">
        <f t="shared" si="17"/>
        <v>8852.5043758620086</v>
      </c>
      <c r="O168" s="93"/>
      <c r="P168" s="93"/>
      <c r="Q168" s="52">
        <v>10225714.25</v>
      </c>
      <c r="R168" s="52">
        <v>923582.37</v>
      </c>
      <c r="S168" s="93"/>
      <c r="T168" s="104"/>
      <c r="U168" s="104"/>
      <c r="V168" s="93"/>
      <c r="W168" s="100">
        <f>ABS(Q168-GNL!P165)</f>
        <v>1.514020562171936E-2</v>
      </c>
      <c r="X168" s="100">
        <f>ABS(R168-GNL!Q165)</f>
        <v>5.1343230996280909E-2</v>
      </c>
    </row>
    <row r="169" spans="1:24" x14ac:dyDescent="0.2">
      <c r="A169" s="99">
        <v>10928</v>
      </c>
      <c r="B169" s="99">
        <v>65.39</v>
      </c>
      <c r="C169" s="99">
        <v>181.14</v>
      </c>
      <c r="D169" s="102">
        <f t="shared" si="14"/>
        <v>180.08999999999997</v>
      </c>
      <c r="E169" s="97">
        <v>-3415.16</v>
      </c>
      <c r="F169" s="97">
        <v>-705.38</v>
      </c>
      <c r="G169" s="97">
        <v>9084.8863174838825</v>
      </c>
      <c r="H169" s="93"/>
      <c r="I169" s="95">
        <f t="shared" si="15"/>
        <v>6335034.5038882839</v>
      </c>
      <c r="J169" s="95">
        <f t="shared" si="16"/>
        <v>6378206.4005530933</v>
      </c>
      <c r="K169" s="93"/>
      <c r="L169" s="96">
        <f t="shared" si="18"/>
        <v>-9.4145521548720749E-3</v>
      </c>
      <c r="M169" s="96">
        <f t="shared" si="19"/>
        <v>-89.224884355265701</v>
      </c>
      <c r="N169" s="95">
        <f t="shared" si="17"/>
        <v>8892.8681477112477</v>
      </c>
      <c r="O169" s="93"/>
      <c r="P169" s="93"/>
      <c r="Q169" s="52">
        <v>10225626.050000001</v>
      </c>
      <c r="R169" s="52">
        <v>923580.53</v>
      </c>
      <c r="S169" s="93"/>
      <c r="T169" s="104"/>
      <c r="U169" s="104"/>
      <c r="V169" s="93"/>
      <c r="W169" s="100">
        <f>ABS(Q169-GNL!P166)</f>
        <v>1.4993129298090935E-2</v>
      </c>
      <c r="X169" s="100">
        <f>ABS(R169-GNL!Q166)</f>
        <v>5.1500270841643214E-2</v>
      </c>
    </row>
    <row r="170" spans="1:24" x14ac:dyDescent="0.2">
      <c r="A170" s="99">
        <v>11058</v>
      </c>
      <c r="B170" s="99">
        <v>63.67</v>
      </c>
      <c r="C170" s="99">
        <v>177.78</v>
      </c>
      <c r="D170" s="102">
        <f t="shared" si="14"/>
        <v>176.73</v>
      </c>
      <c r="E170" s="97">
        <v>-3532.46</v>
      </c>
      <c r="F170" s="97">
        <v>-702.15</v>
      </c>
      <c r="G170" s="97">
        <v>9140.8022769882737</v>
      </c>
      <c r="H170" s="93"/>
      <c r="I170" s="95">
        <f t="shared" si="15"/>
        <v>6335034.5039768247</v>
      </c>
      <c r="J170" s="95">
        <f t="shared" si="16"/>
        <v>6378206.4005828081</v>
      </c>
      <c r="K170" s="93"/>
      <c r="L170" s="96">
        <f t="shared" si="18"/>
        <v>-9.7379123978946613E-3</v>
      </c>
      <c r="M170" s="96">
        <f t="shared" si="19"/>
        <v>-89.224875511411909</v>
      </c>
      <c r="N170" s="95">
        <f t="shared" si="17"/>
        <v>8948.783995383721</v>
      </c>
      <c r="O170" s="93"/>
      <c r="P170" s="93"/>
      <c r="Q170" s="52">
        <v>10225508.699999999</v>
      </c>
      <c r="R170" s="52">
        <v>923581.61</v>
      </c>
      <c r="S170" s="93"/>
      <c r="T170" s="104"/>
      <c r="U170" s="104"/>
      <c r="V170" s="93"/>
      <c r="W170" s="100">
        <f>ABS(Q170-GNL!P167)</f>
        <v>1.0220136493444443E-2</v>
      </c>
      <c r="X170" s="100">
        <f>ABS(R170-GNL!Q167)</f>
        <v>5.2962464047595859E-2</v>
      </c>
    </row>
    <row r="171" spans="1:24" x14ac:dyDescent="0.2">
      <c r="A171" s="99">
        <v>11156</v>
      </c>
      <c r="B171" s="99">
        <v>62.87</v>
      </c>
      <c r="C171" s="99">
        <v>177.33</v>
      </c>
      <c r="D171" s="102">
        <f t="shared" si="14"/>
        <v>176.28</v>
      </c>
      <c r="E171" s="97">
        <v>-3619.82</v>
      </c>
      <c r="F171" s="97">
        <v>-696.82</v>
      </c>
      <c r="G171" s="97">
        <v>9184.8811967785332</v>
      </c>
      <c r="H171" s="93"/>
      <c r="I171" s="95">
        <f t="shared" si="15"/>
        <v>6335034.5040981658</v>
      </c>
      <c r="J171" s="95">
        <f t="shared" si="16"/>
        <v>6378206.4006235311</v>
      </c>
      <c r="K171" s="93"/>
      <c r="L171" s="96">
        <f t="shared" si="18"/>
        <v>-9.9787372131539282E-3</v>
      </c>
      <c r="M171" s="96">
        <f t="shared" si="19"/>
        <v>-89.224860917684111</v>
      </c>
      <c r="N171" s="95">
        <f t="shared" si="17"/>
        <v>8992.8628270161407</v>
      </c>
      <c r="O171" s="93"/>
      <c r="P171" s="93"/>
      <c r="Q171" s="52">
        <v>10225421.24</v>
      </c>
      <c r="R171" s="52">
        <v>923585.35</v>
      </c>
      <c r="S171" s="93"/>
      <c r="T171" s="104"/>
      <c r="U171" s="104"/>
      <c r="V171" s="93"/>
      <c r="W171" s="100">
        <f>ABS(Q171-GNL!P168)</f>
        <v>7.283288985490799E-3</v>
      </c>
      <c r="X171" s="100">
        <f>ABS(R171-GNL!Q168)</f>
        <v>4.6352024422958493E-2</v>
      </c>
    </row>
    <row r="172" spans="1:24" x14ac:dyDescent="0.2">
      <c r="A172" s="99">
        <v>11250</v>
      </c>
      <c r="B172" s="99">
        <v>63.65</v>
      </c>
      <c r="C172" s="99">
        <v>178.4</v>
      </c>
      <c r="D172" s="102">
        <f t="shared" si="14"/>
        <v>177.35</v>
      </c>
      <c r="E172" s="97">
        <v>-3703.64</v>
      </c>
      <c r="F172" s="97">
        <v>-692.16</v>
      </c>
      <c r="G172" s="97">
        <v>9227.1764530607634</v>
      </c>
      <c r="H172" s="93"/>
      <c r="I172" s="95">
        <f t="shared" si="15"/>
        <v>6335034.5041911975</v>
      </c>
      <c r="J172" s="95">
        <f t="shared" si="16"/>
        <v>6378206.4006547527</v>
      </c>
      <c r="K172" s="93"/>
      <c r="L172" s="96">
        <f t="shared" si="18"/>
        <v>-1.0209803330538718E-2</v>
      </c>
      <c r="M172" s="96">
        <f t="shared" si="19"/>
        <v>-89.224848158439912</v>
      </c>
      <c r="N172" s="95">
        <f t="shared" si="17"/>
        <v>9035.1579987078585</v>
      </c>
      <c r="O172" s="93"/>
      <c r="P172" s="93"/>
      <c r="Q172" s="52">
        <v>10225337.33</v>
      </c>
      <c r="R172" s="52">
        <v>923588.47</v>
      </c>
      <c r="S172" s="93"/>
      <c r="T172" s="104"/>
      <c r="U172" s="104"/>
      <c r="V172" s="93"/>
      <c r="W172" s="100">
        <f>ABS(Q172-GNL!P169)</f>
        <v>1.4811243861913681E-2</v>
      </c>
      <c r="X172" s="100">
        <f>ABS(R172-GNL!Q169)</f>
        <v>5.1548592047765851E-2</v>
      </c>
    </row>
    <row r="173" spans="1:24" x14ac:dyDescent="0.2">
      <c r="A173" s="99">
        <v>11346</v>
      </c>
      <c r="B173" s="99">
        <v>63.59</v>
      </c>
      <c r="C173" s="99">
        <v>179.24</v>
      </c>
      <c r="D173" s="102">
        <f t="shared" si="14"/>
        <v>178.19</v>
      </c>
      <c r="E173" s="97">
        <v>-3789.57</v>
      </c>
      <c r="F173" s="97">
        <v>-688.81</v>
      </c>
      <c r="G173" s="97">
        <v>9269.8320233136255</v>
      </c>
      <c r="H173" s="93"/>
      <c r="I173" s="95">
        <f t="shared" si="15"/>
        <v>6335034.5042825956</v>
      </c>
      <c r="J173" s="95">
        <f t="shared" si="16"/>
        <v>6378206.4006854268</v>
      </c>
      <c r="K173" s="93"/>
      <c r="L173" s="96">
        <f t="shared" si="18"/>
        <v>-1.0446686072922262E-2</v>
      </c>
      <c r="M173" s="96">
        <f t="shared" si="19"/>
        <v>-89.224838986021865</v>
      </c>
      <c r="N173" s="95">
        <f t="shared" si="17"/>
        <v>9077.8134836495792</v>
      </c>
      <c r="O173" s="93"/>
      <c r="P173" s="93"/>
      <c r="Q173" s="52">
        <v>10225251.33</v>
      </c>
      <c r="R173" s="52">
        <v>923590.24</v>
      </c>
      <c r="S173" s="93"/>
      <c r="T173" s="104"/>
      <c r="U173" s="104"/>
      <c r="V173" s="93"/>
      <c r="W173" s="100">
        <f>ABS(Q173-GNL!P170)</f>
        <v>1.4914538711309433E-2</v>
      </c>
      <c r="X173" s="100">
        <f>ABS(R173-GNL!Q170)</f>
        <v>5.3120827418752015E-2</v>
      </c>
    </row>
    <row r="174" spans="1:24" x14ac:dyDescent="0.2">
      <c r="A174" s="99">
        <v>11443</v>
      </c>
      <c r="B174" s="99">
        <v>63.59</v>
      </c>
      <c r="C174" s="99">
        <v>180.25</v>
      </c>
      <c r="D174" s="102">
        <f t="shared" si="14"/>
        <v>179.2</v>
      </c>
      <c r="E174" s="97">
        <v>-3876.43</v>
      </c>
      <c r="F174" s="97">
        <v>-686.83</v>
      </c>
      <c r="G174" s="97">
        <v>9312.9776953827604</v>
      </c>
      <c r="H174" s="93"/>
      <c r="I174" s="95">
        <f t="shared" si="15"/>
        <v>6335034.5043784678</v>
      </c>
      <c r="J174" s="95">
        <f t="shared" si="16"/>
        <v>6378206.4007176012</v>
      </c>
      <c r="K174" s="93"/>
      <c r="L174" s="96">
        <f t="shared" si="18"/>
        <v>-1.0686132541014002E-2</v>
      </c>
      <c r="M174" s="96">
        <f t="shared" si="19"/>
        <v>-89.224833564712085</v>
      </c>
      <c r="N174" s="95">
        <f t="shared" si="17"/>
        <v>9120.9590694273702</v>
      </c>
      <c r="O174" s="93"/>
      <c r="P174" s="93"/>
      <c r="Q174" s="52">
        <v>10225164.439999999</v>
      </c>
      <c r="R174" s="52">
        <v>923590.63</v>
      </c>
      <c r="S174" s="93"/>
      <c r="T174" s="104"/>
      <c r="U174" s="104"/>
      <c r="V174" s="93"/>
      <c r="W174" s="100">
        <f>ABS(Q174-GNL!P171)</f>
        <v>1.467442698776722E-2</v>
      </c>
      <c r="X174" s="100">
        <f>ABS(R174-GNL!Q171)</f>
        <v>4.9836179008707404E-2</v>
      </c>
    </row>
    <row r="175" spans="1:24" x14ac:dyDescent="0.2">
      <c r="A175" s="99">
        <v>11539</v>
      </c>
      <c r="B175" s="99">
        <v>63.58</v>
      </c>
      <c r="C175" s="99">
        <v>180.94</v>
      </c>
      <c r="D175" s="102">
        <f t="shared" si="14"/>
        <v>179.89</v>
      </c>
      <c r="E175" s="97">
        <v>-3962.4</v>
      </c>
      <c r="F175" s="97">
        <v>-686.15</v>
      </c>
      <c r="G175" s="97">
        <v>9355.6855967620031</v>
      </c>
      <c r="H175" s="93"/>
      <c r="I175" s="95">
        <f t="shared" si="15"/>
        <v>6335034.5044776108</v>
      </c>
      <c r="J175" s="95">
        <f t="shared" si="16"/>
        <v>6378206.4007508745</v>
      </c>
      <c r="K175" s="93"/>
      <c r="L175" s="96">
        <f t="shared" si="18"/>
        <v>-1.0923125551162802E-2</v>
      </c>
      <c r="M175" s="96">
        <f t="shared" si="19"/>
        <v>-89.224831702848121</v>
      </c>
      <c r="N175" s="95">
        <f t="shared" si="17"/>
        <v>9163.6668853908104</v>
      </c>
      <c r="O175" s="93"/>
      <c r="P175" s="93"/>
      <c r="Q175" s="52">
        <v>10225078.460000001</v>
      </c>
      <c r="R175" s="52">
        <v>923589.73</v>
      </c>
      <c r="S175" s="93"/>
      <c r="T175" s="104"/>
      <c r="U175" s="104"/>
      <c r="V175" s="93"/>
      <c r="W175" s="100">
        <f>ABS(Q175-GNL!P172)</f>
        <v>6.8935416638851166E-3</v>
      </c>
      <c r="X175" s="100">
        <f>ABS(R175-GNL!Q172)</f>
        <v>5.6868438608944416E-2</v>
      </c>
    </row>
    <row r="176" spans="1:24" x14ac:dyDescent="0.2">
      <c r="A176" s="99">
        <v>11635</v>
      </c>
      <c r="B176" s="99">
        <v>63.76</v>
      </c>
      <c r="C176" s="99">
        <v>181.62</v>
      </c>
      <c r="D176" s="102">
        <f t="shared" si="14"/>
        <v>180.57</v>
      </c>
      <c r="E176" s="97">
        <v>-4048.44</v>
      </c>
      <c r="F176" s="97">
        <v>-686.49</v>
      </c>
      <c r="G176" s="97">
        <v>9398.2658715393663</v>
      </c>
      <c r="H176" s="93"/>
      <c r="I176" s="95">
        <f t="shared" si="15"/>
        <v>6335034.5045779496</v>
      </c>
      <c r="J176" s="95">
        <f t="shared" si="16"/>
        <v>6378206.4007845484</v>
      </c>
      <c r="K176" s="93"/>
      <c r="L176" s="96">
        <f t="shared" si="18"/>
        <v>-1.1160311529909803E-2</v>
      </c>
      <c r="M176" s="96">
        <f t="shared" si="19"/>
        <v>-89.22483263378011</v>
      </c>
      <c r="N176" s="95">
        <f t="shared" si="17"/>
        <v>9206.2470750076245</v>
      </c>
      <c r="O176" s="93"/>
      <c r="P176" s="93"/>
      <c r="Q176" s="52">
        <v>10224992.42</v>
      </c>
      <c r="R176" s="52">
        <v>923587.81</v>
      </c>
      <c r="S176" s="93"/>
      <c r="T176" s="104"/>
      <c r="U176" s="104"/>
      <c r="V176" s="93"/>
      <c r="W176" s="100">
        <f>ABS(Q176-GNL!P173)</f>
        <v>1.2697430327534676E-2</v>
      </c>
      <c r="X176" s="100">
        <f>ABS(R176-GNL!Q173)</f>
        <v>5.412916059140116E-2</v>
      </c>
    </row>
    <row r="177" spans="1:24" x14ac:dyDescent="0.2">
      <c r="A177" s="99">
        <v>11730</v>
      </c>
      <c r="B177" s="99">
        <v>63.91</v>
      </c>
      <c r="C177" s="99">
        <v>181.79</v>
      </c>
      <c r="D177" s="102">
        <f t="shared" si="14"/>
        <v>180.73999999999998</v>
      </c>
      <c r="E177" s="97">
        <v>-4133.7</v>
      </c>
      <c r="F177" s="97">
        <v>-687.47</v>
      </c>
      <c r="G177" s="97">
        <v>9440.1568626503704</v>
      </c>
      <c r="H177" s="93"/>
      <c r="I177" s="95">
        <f t="shared" si="15"/>
        <v>6335034.5046805749</v>
      </c>
      <c r="J177" s="95">
        <f t="shared" si="16"/>
        <v>6378206.4008189905</v>
      </c>
      <c r="K177" s="93"/>
      <c r="L177" s="96">
        <f t="shared" si="18"/>
        <v>-1.1395347287088345E-2</v>
      </c>
      <c r="M177" s="96">
        <f t="shared" si="19"/>
        <v>-89.224835317054655</v>
      </c>
      <c r="N177" s="95">
        <f t="shared" si="17"/>
        <v>9248.137982336646</v>
      </c>
      <c r="O177" s="93"/>
      <c r="P177" s="93"/>
      <c r="Q177" s="52">
        <v>10224907.18</v>
      </c>
      <c r="R177" s="52">
        <v>923585.27</v>
      </c>
      <c r="S177" s="93"/>
      <c r="T177" s="104"/>
      <c r="U177" s="104"/>
      <c r="V177" s="93"/>
      <c r="W177" s="100">
        <f>ABS(Q177-GNL!P174)</f>
        <v>9.5142479985952377E-3</v>
      </c>
      <c r="X177" s="100">
        <f>ABS(R177-GNL!Q174)</f>
        <v>5.6643702206201851E-2</v>
      </c>
    </row>
    <row r="178" spans="1:24" x14ac:dyDescent="0.2">
      <c r="A178" s="99">
        <v>11826</v>
      </c>
      <c r="B178" s="99">
        <v>64.38</v>
      </c>
      <c r="C178" s="99">
        <v>181.59</v>
      </c>
      <c r="D178" s="102">
        <f t="shared" si="14"/>
        <v>180.54</v>
      </c>
      <c r="E178" s="97">
        <v>-4220.08</v>
      </c>
      <c r="F178" s="97">
        <v>-688.43</v>
      </c>
      <c r="G178" s="97">
        <v>9482.021913394532</v>
      </c>
      <c r="H178" s="93"/>
      <c r="I178" s="95">
        <f t="shared" si="15"/>
        <v>6335034.5047844443</v>
      </c>
      <c r="J178" s="95">
        <f t="shared" si="16"/>
        <v>6378206.4008538499</v>
      </c>
      <c r="K178" s="93"/>
      <c r="L178" s="96">
        <f t="shared" si="18"/>
        <v>-1.1633470541894227E-2</v>
      </c>
      <c r="M178" s="96">
        <f t="shared" si="19"/>
        <v>-89.224837945568495</v>
      </c>
      <c r="N178" s="95">
        <f t="shared" si="17"/>
        <v>9290.0029493507063</v>
      </c>
      <c r="O178" s="93"/>
      <c r="P178" s="93"/>
      <c r="Q178" s="52">
        <v>10224820.810000001</v>
      </c>
      <c r="R178" s="52">
        <v>923582.72</v>
      </c>
      <c r="S178" s="93"/>
      <c r="T178" s="104"/>
      <c r="U178" s="104"/>
      <c r="V178" s="93"/>
      <c r="W178" s="100">
        <f>ABS(Q178-GNL!P175)</f>
        <v>1.0870160534977913E-2</v>
      </c>
      <c r="X178" s="100">
        <f>ABS(R178-GNL!Q175)</f>
        <v>5.8669439284130931E-2</v>
      </c>
    </row>
    <row r="179" spans="1:24" x14ac:dyDescent="0.2">
      <c r="A179" s="99">
        <v>11923</v>
      </c>
      <c r="B179" s="99">
        <v>64.58</v>
      </c>
      <c r="C179" s="99">
        <v>181.39</v>
      </c>
      <c r="D179" s="102">
        <f t="shared" si="14"/>
        <v>180.33999999999997</v>
      </c>
      <c r="E179" s="97">
        <v>-4307.62</v>
      </c>
      <c r="F179" s="97">
        <v>-689.1</v>
      </c>
      <c r="G179" s="97">
        <v>9523.8120615656353</v>
      </c>
      <c r="H179" s="93"/>
      <c r="I179" s="95">
        <f t="shared" si="15"/>
        <v>6335034.5048918845</v>
      </c>
      <c r="J179" s="95">
        <f t="shared" si="16"/>
        <v>6378206.400889907</v>
      </c>
      <c r="K179" s="93"/>
      <c r="L179" s="96">
        <f t="shared" si="18"/>
        <v>-1.1874791562099755E-2</v>
      </c>
      <c r="M179" s="96">
        <f t="shared" si="19"/>
        <v>-89.224839780052108</v>
      </c>
      <c r="N179" s="95">
        <f t="shared" si="17"/>
        <v>9331.793013941513</v>
      </c>
      <c r="O179" s="93"/>
      <c r="P179" s="93"/>
      <c r="Q179" s="52">
        <v>10224733.289999999</v>
      </c>
      <c r="R179" s="52">
        <v>923580.45</v>
      </c>
      <c r="S179" s="93"/>
      <c r="T179" s="104"/>
      <c r="U179" s="104"/>
      <c r="V179" s="93"/>
      <c r="W179" s="100">
        <f>ABS(Q179-GNL!P176)</f>
        <v>8.1034861505031586E-3</v>
      </c>
      <c r="X179" s="100">
        <f>ABS(R179-GNL!Q176)</f>
        <v>5.221851181704551E-2</v>
      </c>
    </row>
    <row r="180" spans="1:24" x14ac:dyDescent="0.2">
      <c r="A180" s="99">
        <v>12020</v>
      </c>
      <c r="B180" s="99">
        <v>63.81</v>
      </c>
      <c r="C180" s="99">
        <v>181.82</v>
      </c>
      <c r="D180" s="102">
        <f t="shared" si="14"/>
        <v>180.76999999999998</v>
      </c>
      <c r="E180" s="97">
        <v>-4394.9399999999996</v>
      </c>
      <c r="F180" s="97">
        <v>-689.95</v>
      </c>
      <c r="G180" s="97">
        <v>9566.0369419806029</v>
      </c>
      <c r="H180" s="93"/>
      <c r="I180" s="95">
        <f t="shared" si="15"/>
        <v>6335034.505003036</v>
      </c>
      <c r="J180" s="95">
        <f t="shared" si="16"/>
        <v>6378206.4009272093</v>
      </c>
      <c r="K180" s="93"/>
      <c r="L180" s="96">
        <f t="shared" si="18"/>
        <v>-1.2115506109552084E-2</v>
      </c>
      <c r="M180" s="96">
        <f t="shared" si="19"/>
        <v>-89.224842107382074</v>
      </c>
      <c r="N180" s="95">
        <f t="shared" si="17"/>
        <v>9374.0178099067198</v>
      </c>
      <c r="O180" s="93"/>
      <c r="P180" s="93"/>
      <c r="Q180" s="52">
        <v>10224645.98</v>
      </c>
      <c r="R180" s="52">
        <v>923578</v>
      </c>
      <c r="S180" s="93"/>
      <c r="T180" s="104"/>
      <c r="U180" s="104"/>
      <c r="V180" s="93"/>
      <c r="W180" s="100">
        <f>ABS(Q180-GNL!P177)</f>
        <v>9.8011419177055359E-3</v>
      </c>
      <c r="X180" s="100">
        <f>ABS(R180-GNL!Q177)</f>
        <v>5.691707506775856E-2</v>
      </c>
    </row>
    <row r="181" spans="1:24" x14ac:dyDescent="0.2">
      <c r="A181" s="99">
        <v>12114</v>
      </c>
      <c r="B181" s="99">
        <v>63.73</v>
      </c>
      <c r="C181" s="99">
        <v>183.1</v>
      </c>
      <c r="D181" s="102">
        <f t="shared" si="14"/>
        <v>182.04999999999998</v>
      </c>
      <c r="E181" s="97">
        <v>-4479.2299999999996</v>
      </c>
      <c r="F181" s="97">
        <v>-692.02</v>
      </c>
      <c r="G181" s="97">
        <v>9607.5840350105973</v>
      </c>
      <c r="H181" s="93"/>
      <c r="I181" s="95">
        <f t="shared" si="15"/>
        <v>6335034.5051161805</v>
      </c>
      <c r="J181" s="95">
        <f t="shared" si="16"/>
        <v>6378206.4009651821</v>
      </c>
      <c r="K181" s="93"/>
      <c r="L181" s="96">
        <f t="shared" si="18"/>
        <v>-1.2347867873230445E-2</v>
      </c>
      <c r="M181" s="96">
        <f t="shared" si="19"/>
        <v>-89.224847775115052</v>
      </c>
      <c r="N181" s="95">
        <f t="shared" si="17"/>
        <v>9415.5648198425279</v>
      </c>
      <c r="O181" s="93"/>
      <c r="P181" s="93"/>
      <c r="Q181" s="52">
        <v>10224561.720000001</v>
      </c>
      <c r="R181" s="52">
        <v>923574.38</v>
      </c>
      <c r="S181" s="93"/>
      <c r="T181" s="104"/>
      <c r="U181" s="104"/>
      <c r="V181" s="93"/>
      <c r="W181" s="100">
        <f>ABS(Q181-GNL!P178)</f>
        <v>1.3723934069275856E-2</v>
      </c>
      <c r="X181" s="100">
        <f>ABS(R181-GNL!Q178)</f>
        <v>5.7473826105706394E-2</v>
      </c>
    </row>
    <row r="182" spans="1:24" x14ac:dyDescent="0.2">
      <c r="A182" s="99">
        <v>12210</v>
      </c>
      <c r="B182" s="99">
        <v>63.76</v>
      </c>
      <c r="C182" s="99">
        <v>184.64</v>
      </c>
      <c r="D182" s="102">
        <f t="shared" si="14"/>
        <v>183.58999999999997</v>
      </c>
      <c r="E182" s="97">
        <v>-4565.22</v>
      </c>
      <c r="F182" s="97">
        <v>-696.26</v>
      </c>
      <c r="G182" s="97">
        <v>9650.0533186749617</v>
      </c>
      <c r="H182" s="93"/>
      <c r="I182" s="95">
        <f t="shared" si="15"/>
        <v>6335034.5052275537</v>
      </c>
      <c r="J182" s="95">
        <f t="shared" si="16"/>
        <v>6378206.4010025589</v>
      </c>
      <c r="K182" s="93"/>
      <c r="L182" s="96">
        <f t="shared" si="18"/>
        <v>-1.2584916017237458E-2</v>
      </c>
      <c r="M182" s="96">
        <f t="shared" si="19"/>
        <v>-89.224859384384544</v>
      </c>
      <c r="N182" s="95">
        <f t="shared" si="17"/>
        <v>9458.0340185683253</v>
      </c>
      <c r="O182" s="93"/>
      <c r="P182" s="93"/>
      <c r="Q182" s="52">
        <v>10224475.810000001</v>
      </c>
      <c r="R182" s="52">
        <v>923568.57</v>
      </c>
      <c r="S182" s="93"/>
      <c r="T182" s="104"/>
      <c r="U182" s="104"/>
      <c r="V182" s="93"/>
      <c r="W182" s="100">
        <f>ABS(Q182-GNL!P179)</f>
        <v>1.1598706245422363E-2</v>
      </c>
      <c r="X182" s="100">
        <f>ABS(R182-GNL!Q179)</f>
        <v>5.5613860371522605E-2</v>
      </c>
    </row>
    <row r="183" spans="1:24" x14ac:dyDescent="0.2">
      <c r="A183" s="99">
        <v>12307</v>
      </c>
      <c r="B183" s="99">
        <v>63.8</v>
      </c>
      <c r="C183" s="99">
        <v>185.53</v>
      </c>
      <c r="D183" s="102">
        <f t="shared" si="14"/>
        <v>184.48</v>
      </c>
      <c r="E183" s="97">
        <v>-4652.0200000000004</v>
      </c>
      <c r="F183" s="97">
        <v>-702.38</v>
      </c>
      <c r="G183" s="97">
        <v>9692.9104570595682</v>
      </c>
      <c r="H183" s="93"/>
      <c r="I183" s="95">
        <f t="shared" si="15"/>
        <v>6335034.5053433534</v>
      </c>
      <c r="J183" s="95">
        <f t="shared" si="16"/>
        <v>6378206.4010414211</v>
      </c>
      <c r="K183" s="93"/>
      <c r="L183" s="96">
        <f t="shared" si="18"/>
        <v>-1.2824197083633929E-2</v>
      </c>
      <c r="M183" s="96">
        <f t="shared" si="19"/>
        <v>-89.224876141160337</v>
      </c>
      <c r="N183" s="95">
        <f t="shared" si="17"/>
        <v>9500.8910712386551</v>
      </c>
      <c r="O183" s="93"/>
      <c r="P183" s="93"/>
      <c r="Q183" s="52">
        <v>10224389.119999999</v>
      </c>
      <c r="R183" s="52">
        <v>923560.85</v>
      </c>
      <c r="S183" s="93"/>
      <c r="T183" s="104"/>
      <c r="U183" s="104"/>
      <c r="V183" s="93"/>
      <c r="W183" s="100">
        <f>ABS(Q183-GNL!P180)</f>
        <v>1.0074140504002571E-2</v>
      </c>
      <c r="X183" s="100">
        <f>ABS(R183-GNL!Q180)</f>
        <v>6.136077328119427E-2</v>
      </c>
    </row>
    <row r="184" spans="1:24" x14ac:dyDescent="0.2">
      <c r="A184" s="99">
        <v>12403</v>
      </c>
      <c r="B184" s="99">
        <v>63.85</v>
      </c>
      <c r="C184" s="99">
        <v>185.57</v>
      </c>
      <c r="D184" s="102">
        <f t="shared" si="14"/>
        <v>184.51999999999998</v>
      </c>
      <c r="E184" s="97">
        <v>-4737.91</v>
      </c>
      <c r="F184" s="97">
        <v>-709.14</v>
      </c>
      <c r="G184" s="97">
        <v>9735.257430664924</v>
      </c>
      <c r="H184" s="93"/>
      <c r="I184" s="95">
        <f t="shared" si="15"/>
        <v>6335034.5054624761</v>
      </c>
      <c r="J184" s="95">
        <f t="shared" si="16"/>
        <v>6378206.4010814</v>
      </c>
      <c r="K184" s="93"/>
      <c r="L184" s="96">
        <f t="shared" si="18"/>
        <v>-1.3060969558200821E-2</v>
      </c>
      <c r="M184" s="96">
        <f t="shared" si="19"/>
        <v>-89.224894650278713</v>
      </c>
      <c r="N184" s="95">
        <f t="shared" si="17"/>
        <v>9543.2379601500634</v>
      </c>
      <c r="O184" s="93"/>
      <c r="P184" s="93"/>
      <c r="Q184" s="52">
        <v>10224303.35</v>
      </c>
      <c r="R184" s="52">
        <v>923552.52</v>
      </c>
      <c r="S184" s="93"/>
      <c r="T184" s="104"/>
      <c r="U184" s="104"/>
      <c r="V184" s="93"/>
      <c r="W184" s="100">
        <f>ABS(Q184-GNL!P181)</f>
        <v>1.2721778824925423E-2</v>
      </c>
      <c r="X184" s="100">
        <f>ABS(R184-GNL!Q181)</f>
        <v>5.7351122843101621E-2</v>
      </c>
    </row>
    <row r="185" spans="1:24" x14ac:dyDescent="0.2">
      <c r="A185" s="99">
        <v>12500</v>
      </c>
      <c r="B185" s="99">
        <v>63.83</v>
      </c>
      <c r="C185" s="99">
        <v>185.3</v>
      </c>
      <c r="D185" s="102">
        <f t="shared" si="14"/>
        <v>184.25</v>
      </c>
      <c r="E185" s="97">
        <v>-4824.72</v>
      </c>
      <c r="F185" s="97">
        <v>-715.8</v>
      </c>
      <c r="G185" s="97">
        <v>9778.0227902562219</v>
      </c>
      <c r="H185" s="93"/>
      <c r="I185" s="95">
        <f t="shared" si="15"/>
        <v>6335034.505582558</v>
      </c>
      <c r="J185" s="95">
        <f t="shared" si="16"/>
        <v>6378206.4011217002</v>
      </c>
      <c r="K185" s="93"/>
      <c r="L185" s="96">
        <f t="shared" si="18"/>
        <v>-1.330027819153139E-2</v>
      </c>
      <c r="M185" s="96">
        <f t="shared" si="19"/>
        <v>-89.224912885593568</v>
      </c>
      <c r="N185" s="95">
        <f t="shared" si="17"/>
        <v>9586.0032342106424</v>
      </c>
      <c r="O185" s="93"/>
      <c r="P185" s="93"/>
      <c r="Q185" s="52">
        <v>10224216.66</v>
      </c>
      <c r="R185" s="52">
        <v>923544.27</v>
      </c>
      <c r="S185" s="93"/>
      <c r="T185" s="104"/>
      <c r="U185" s="104"/>
      <c r="V185" s="93"/>
      <c r="W185" s="100">
        <f>ABS(Q185-GNL!P182)</f>
        <v>1.4189440757036209E-2</v>
      </c>
      <c r="X185" s="100">
        <f>ABS(R185-GNL!Q182)</f>
        <v>5.942322057671845E-2</v>
      </c>
    </row>
    <row r="186" spans="1:24" x14ac:dyDescent="0.2">
      <c r="A186" s="99">
        <v>12596</v>
      </c>
      <c r="B186" s="99">
        <v>63.86</v>
      </c>
      <c r="C186" s="99">
        <v>184.9</v>
      </c>
      <c r="D186" s="102">
        <f t="shared" si="14"/>
        <v>183.85</v>
      </c>
      <c r="E186" s="97">
        <v>-4910.68</v>
      </c>
      <c r="F186" s="97">
        <v>-721.89</v>
      </c>
      <c r="G186" s="97">
        <v>9820.3398253655068</v>
      </c>
      <c r="H186" s="93"/>
      <c r="I186" s="95">
        <f t="shared" si="15"/>
        <v>6335034.5057061594</v>
      </c>
      <c r="J186" s="95">
        <f t="shared" si="16"/>
        <v>6378206.4011631822</v>
      </c>
      <c r="K186" s="93"/>
      <c r="L186" s="96">
        <f t="shared" si="18"/>
        <v>-1.3537243634691097E-2</v>
      </c>
      <c r="M186" s="96">
        <f t="shared" si="19"/>
        <v>-89.224929560228347</v>
      </c>
      <c r="N186" s="95">
        <f t="shared" si="17"/>
        <v>9628.3201846858574</v>
      </c>
      <c r="O186" s="93"/>
      <c r="P186" s="93"/>
      <c r="Q186" s="52">
        <v>10224130.82</v>
      </c>
      <c r="R186" s="52">
        <v>923536.61</v>
      </c>
      <c r="S186" s="93"/>
      <c r="T186" s="104"/>
      <c r="U186" s="104"/>
      <c r="V186" s="93"/>
      <c r="W186" s="100">
        <f>ABS(Q186-GNL!P183)</f>
        <v>9.5408931374549866E-3</v>
      </c>
      <c r="X186" s="100">
        <f>ABS(R186-GNL!Q183)</f>
        <v>5.8031277381815016E-2</v>
      </c>
    </row>
    <row r="187" spans="1:24" x14ac:dyDescent="0.2">
      <c r="A187" s="99">
        <v>12693</v>
      </c>
      <c r="B187" s="99">
        <v>63.87</v>
      </c>
      <c r="C187" s="99">
        <v>183.99</v>
      </c>
      <c r="D187" s="102">
        <f t="shared" si="14"/>
        <v>182.94</v>
      </c>
      <c r="E187" s="97">
        <v>-4997.6000000000004</v>
      </c>
      <c r="F187" s="97">
        <v>-727.04</v>
      </c>
      <c r="G187" s="97">
        <v>9863.0678523990937</v>
      </c>
      <c r="H187" s="93"/>
      <c r="I187" s="95">
        <f t="shared" si="15"/>
        <v>6335034.505830761</v>
      </c>
      <c r="J187" s="95">
        <f t="shared" si="16"/>
        <v>6378206.4012049977</v>
      </c>
      <c r="K187" s="93"/>
      <c r="L187" s="96">
        <f t="shared" si="18"/>
        <v>-1.3776855504386731E-2</v>
      </c>
      <c r="M187" s="96">
        <f t="shared" si="19"/>
        <v>-89.22494366110999</v>
      </c>
      <c r="N187" s="95">
        <f t="shared" si="17"/>
        <v>9671.0481262633893</v>
      </c>
      <c r="O187" s="93"/>
      <c r="P187" s="93"/>
      <c r="Q187" s="52">
        <v>10224043.98</v>
      </c>
      <c r="R187" s="52">
        <v>923529.86</v>
      </c>
      <c r="S187" s="93"/>
      <c r="T187" s="104"/>
      <c r="U187" s="104"/>
      <c r="V187" s="93"/>
      <c r="W187" s="100">
        <f>ABS(Q187-GNL!P184)</f>
        <v>1.3994429260492325E-2</v>
      </c>
      <c r="X187" s="100">
        <f>ABS(R187-GNL!Q184)</f>
        <v>5.7821397786028683E-2</v>
      </c>
    </row>
    <row r="188" spans="1:24" x14ac:dyDescent="0.2">
      <c r="A188" s="99">
        <v>12788</v>
      </c>
      <c r="B188" s="99">
        <v>63.93</v>
      </c>
      <c r="C188" s="99">
        <v>183.53</v>
      </c>
      <c r="D188" s="102">
        <f t="shared" si="14"/>
        <v>182.48</v>
      </c>
      <c r="E188" s="97">
        <v>-5082.82</v>
      </c>
      <c r="F188" s="97">
        <v>-731.08</v>
      </c>
      <c r="G188" s="97">
        <v>9904.8622526707077</v>
      </c>
      <c r="H188" s="93"/>
      <c r="I188" s="95">
        <f t="shared" si="15"/>
        <v>6335034.505958993</v>
      </c>
      <c r="J188" s="95">
        <f t="shared" si="16"/>
        <v>6378206.4012480332</v>
      </c>
      <c r="K188" s="93"/>
      <c r="L188" s="96">
        <f t="shared" si="18"/>
        <v>-1.4011780993745318E-2</v>
      </c>
      <c r="M188" s="96">
        <f t="shared" si="19"/>
        <v>-89.224954722772495</v>
      </c>
      <c r="N188" s="95">
        <f t="shared" si="17"/>
        <v>9712.8424429462029</v>
      </c>
      <c r="O188" s="93"/>
      <c r="P188" s="93"/>
      <c r="Q188" s="52">
        <v>10223958.84</v>
      </c>
      <c r="R188" s="52">
        <v>923524.26</v>
      </c>
      <c r="S188" s="93"/>
      <c r="T188" s="104"/>
      <c r="U188" s="104"/>
      <c r="V188" s="93"/>
      <c r="W188" s="100">
        <f>ABS(Q188-GNL!P185)</f>
        <v>9.4921030104160309E-3</v>
      </c>
      <c r="X188" s="100">
        <f>ABS(R188-GNL!Q185)</f>
        <v>6.2319397344253957E-2</v>
      </c>
    </row>
    <row r="189" spans="1:24" x14ac:dyDescent="0.2">
      <c r="A189" s="99">
        <v>12885</v>
      </c>
      <c r="B189" s="99">
        <v>63.78</v>
      </c>
      <c r="C189" s="99">
        <v>182.62</v>
      </c>
      <c r="D189" s="102">
        <f t="shared" si="14"/>
        <v>181.57</v>
      </c>
      <c r="E189" s="97">
        <v>-5169.84</v>
      </c>
      <c r="F189" s="97">
        <v>-734.15</v>
      </c>
      <c r="G189" s="97">
        <v>9947.6054658136782</v>
      </c>
      <c r="H189" s="93"/>
      <c r="I189" s="95">
        <f t="shared" si="15"/>
        <v>6335034.506086899</v>
      </c>
      <c r="J189" s="95">
        <f t="shared" si="16"/>
        <v>6378206.4012909597</v>
      </c>
      <c r="K189" s="93"/>
      <c r="L189" s="96">
        <f t="shared" si="18"/>
        <v>-1.4251668532862565E-2</v>
      </c>
      <c r="M189" s="96">
        <f t="shared" si="19"/>
        <v>-89.224963128540793</v>
      </c>
      <c r="N189" s="95">
        <f t="shared" si="17"/>
        <v>9755.5855706027487</v>
      </c>
      <c r="O189" s="93"/>
      <c r="P189" s="93"/>
      <c r="Q189" s="52">
        <v>10223871.869999999</v>
      </c>
      <c r="R189" s="52">
        <v>923519.59</v>
      </c>
      <c r="S189" s="93"/>
      <c r="T189" s="104"/>
      <c r="U189" s="104"/>
      <c r="V189" s="93"/>
      <c r="W189" s="100">
        <f>ABS(Q189-GNL!P186)</f>
        <v>1.4878608286380768E-2</v>
      </c>
      <c r="X189" s="100">
        <f>ABS(R189-GNL!Q186)</f>
        <v>6.0095120454207063E-2</v>
      </c>
    </row>
    <row r="190" spans="1:24" x14ac:dyDescent="0.2">
      <c r="A190" s="99">
        <v>12981</v>
      </c>
      <c r="B190" s="99">
        <v>63.62</v>
      </c>
      <c r="C190" s="99">
        <v>181.85</v>
      </c>
      <c r="D190" s="102">
        <f t="shared" si="14"/>
        <v>180.79999999999998</v>
      </c>
      <c r="E190" s="97">
        <v>-5255.88</v>
      </c>
      <c r="F190" s="97">
        <v>-735.93</v>
      </c>
      <c r="G190" s="97">
        <v>9990.1408008198978</v>
      </c>
      <c r="H190" s="93"/>
      <c r="I190" s="95">
        <f t="shared" si="15"/>
        <v>6335034.50621974</v>
      </c>
      <c r="J190" s="95">
        <f t="shared" si="16"/>
        <v>6378206.4013355421</v>
      </c>
      <c r="K190" s="93"/>
      <c r="L190" s="96">
        <f t="shared" si="18"/>
        <v>-1.4488854511548098E-2</v>
      </c>
      <c r="M190" s="96">
        <f t="shared" si="19"/>
        <v>-89.224968002243585</v>
      </c>
      <c r="N190" s="95">
        <f t="shared" si="17"/>
        <v>9798.1208205382973</v>
      </c>
      <c r="O190" s="93"/>
      <c r="P190" s="93"/>
      <c r="Q190" s="52">
        <v>10223785.859999999</v>
      </c>
      <c r="R190" s="52">
        <v>923516.23</v>
      </c>
      <c r="S190" s="93"/>
      <c r="T190" s="104"/>
      <c r="U190" s="104"/>
      <c r="V190" s="93"/>
      <c r="W190" s="100">
        <f>ABS(Q190-GNL!P187)</f>
        <v>1.260036788880825E-2</v>
      </c>
      <c r="X190" s="100">
        <f>ABS(R190-GNL!Q187)</f>
        <v>6.281654501799494E-2</v>
      </c>
    </row>
    <row r="191" spans="1:24" x14ac:dyDescent="0.2">
      <c r="A191" s="99">
        <v>13078</v>
      </c>
      <c r="B191" s="99">
        <v>63.49</v>
      </c>
      <c r="C191" s="99">
        <v>181.84</v>
      </c>
      <c r="D191" s="102">
        <f t="shared" si="14"/>
        <v>180.79</v>
      </c>
      <c r="E191" s="97">
        <v>-5342.73</v>
      </c>
      <c r="F191" s="97">
        <v>-737.14</v>
      </c>
      <c r="G191" s="97">
        <v>10033.338629279504</v>
      </c>
      <c r="H191" s="93"/>
      <c r="I191" s="95">
        <f t="shared" si="15"/>
        <v>6335034.506353301</v>
      </c>
      <c r="J191" s="95">
        <f t="shared" si="16"/>
        <v>6378206.4013803657</v>
      </c>
      <c r="K191" s="93"/>
      <c r="L191" s="96">
        <f t="shared" si="18"/>
        <v>-1.4728273412622065E-2</v>
      </c>
      <c r="M191" s="96">
        <f t="shared" si="19"/>
        <v>-89.224971315266274</v>
      </c>
      <c r="N191" s="95">
        <f t="shared" si="17"/>
        <v>9841.3185626022478</v>
      </c>
      <c r="O191" s="93"/>
      <c r="P191" s="93"/>
      <c r="Q191" s="52">
        <v>10223699.039999999</v>
      </c>
      <c r="R191" s="52">
        <v>923513.43</v>
      </c>
      <c r="S191" s="93"/>
      <c r="T191" s="104"/>
      <c r="U191" s="104"/>
      <c r="V191" s="93"/>
      <c r="W191" s="100">
        <f>ABS(Q191-GNL!P188)</f>
        <v>1.1358197778463364E-2</v>
      </c>
      <c r="X191" s="100">
        <f>ABS(R191-GNL!Q188)</f>
        <v>6.6086523234844208E-2</v>
      </c>
    </row>
    <row r="192" spans="1:24" x14ac:dyDescent="0.2">
      <c r="A192" s="99">
        <v>13175</v>
      </c>
      <c r="B192" s="99">
        <v>63.47</v>
      </c>
      <c r="C192" s="99">
        <v>182.42</v>
      </c>
      <c r="D192" s="102">
        <f t="shared" si="14"/>
        <v>181.36999999999998</v>
      </c>
      <c r="E192" s="97">
        <v>-5429.5</v>
      </c>
      <c r="F192" s="97">
        <v>-738.77</v>
      </c>
      <c r="G192" s="97">
        <v>10076.650412342307</v>
      </c>
      <c r="H192" s="93"/>
      <c r="I192" s="95">
        <f t="shared" si="15"/>
        <v>6335034.5064903554</v>
      </c>
      <c r="J192" s="95">
        <f t="shared" si="16"/>
        <v>6378206.4014263619</v>
      </c>
      <c r="K192" s="93"/>
      <c r="L192" s="96">
        <f t="shared" si="18"/>
        <v>-1.4967471778145829E-2</v>
      </c>
      <c r="M192" s="96">
        <f t="shared" si="19"/>
        <v>-89.224975778263783</v>
      </c>
      <c r="N192" s="95">
        <f t="shared" si="17"/>
        <v>9884.6302590414834</v>
      </c>
      <c r="O192" s="93"/>
      <c r="P192" s="93"/>
      <c r="Q192" s="52">
        <v>10223612.289999999</v>
      </c>
      <c r="R192" s="52">
        <v>923510.21</v>
      </c>
      <c r="S192" s="93"/>
      <c r="T192" s="104"/>
      <c r="U192" s="104"/>
      <c r="V192" s="93"/>
      <c r="W192" s="100">
        <f>ABS(Q192-GNL!P189)</f>
        <v>1.2191325426101685E-2</v>
      </c>
      <c r="X192" s="100">
        <f>ABS(R192-GNL!Q189)</f>
        <v>5.9693564893677831E-2</v>
      </c>
    </row>
    <row r="193" spans="1:24" x14ac:dyDescent="0.2">
      <c r="A193" s="99">
        <v>13271</v>
      </c>
      <c r="B193" s="99">
        <v>63.53</v>
      </c>
      <c r="C193" s="99">
        <v>183.09</v>
      </c>
      <c r="D193" s="102">
        <f t="shared" si="14"/>
        <v>182.04</v>
      </c>
      <c r="E193" s="97">
        <v>-5515.38</v>
      </c>
      <c r="F193" s="97">
        <v>-741.33</v>
      </c>
      <c r="G193" s="97">
        <v>10119.48579138159</v>
      </c>
      <c r="H193" s="93"/>
      <c r="I193" s="95">
        <f t="shared" si="15"/>
        <v>6335034.5066295275</v>
      </c>
      <c r="J193" s="95">
        <f t="shared" si="16"/>
        <v>6378206.4014730677</v>
      </c>
      <c r="K193" s="93"/>
      <c r="L193" s="96">
        <f t="shared" si="18"/>
        <v>-1.5204216685725977E-2</v>
      </c>
      <c r="M193" s="96">
        <f t="shared" si="19"/>
        <v>-89.224982787634119</v>
      </c>
      <c r="N193" s="95">
        <f t="shared" si="17"/>
        <v>9927.4655524100071</v>
      </c>
      <c r="O193" s="93"/>
      <c r="P193" s="93"/>
      <c r="Q193" s="52">
        <v>10223526.460000001</v>
      </c>
      <c r="R193" s="52">
        <v>923506.08</v>
      </c>
      <c r="S193" s="93"/>
      <c r="T193" s="104"/>
      <c r="U193" s="104"/>
      <c r="V193" s="93"/>
      <c r="W193" s="100">
        <f>ABS(Q193-GNL!P190)</f>
        <v>1.252455823123455E-2</v>
      </c>
      <c r="X193" s="100">
        <f>ABS(R193-GNL!Q190)</f>
        <v>5.9360355255194008E-2</v>
      </c>
    </row>
    <row r="194" spans="1:24" x14ac:dyDescent="0.2">
      <c r="A194" s="99">
        <v>13368</v>
      </c>
      <c r="B194" s="99">
        <v>63.72</v>
      </c>
      <c r="C194" s="99">
        <v>183.57</v>
      </c>
      <c r="D194" s="102">
        <f t="shared" si="14"/>
        <v>182.51999999999998</v>
      </c>
      <c r="E194" s="97">
        <v>-5602.21</v>
      </c>
      <c r="F194" s="97">
        <v>-744.79</v>
      </c>
      <c r="G194" s="97">
        <v>10162.577671889852</v>
      </c>
      <c r="H194" s="93"/>
      <c r="I194" s="95">
        <f t="shared" si="15"/>
        <v>6335034.5067694783</v>
      </c>
      <c r="J194" s="95">
        <f t="shared" si="16"/>
        <v>6378206.4015200371</v>
      </c>
      <c r="K194" s="93"/>
      <c r="L194" s="96">
        <f t="shared" si="18"/>
        <v>-1.5443580452897962E-2</v>
      </c>
      <c r="M194" s="96">
        <f t="shared" si="19"/>
        <v>-89.224992261236224</v>
      </c>
      <c r="N194" s="95">
        <f t="shared" si="17"/>
        <v>9970.5573467345093</v>
      </c>
      <c r="O194" s="93"/>
      <c r="P194" s="93"/>
      <c r="Q194" s="52">
        <v>10223439.689999999</v>
      </c>
      <c r="R194" s="52">
        <v>923501.03</v>
      </c>
      <c r="S194" s="93"/>
      <c r="T194" s="104"/>
      <c r="U194" s="104"/>
      <c r="V194" s="93"/>
      <c r="W194" s="100">
        <f>ABS(Q194-GNL!P191)</f>
        <v>1.0679742321372032E-2</v>
      </c>
      <c r="X194" s="100">
        <f>ABS(R194-GNL!Q191)</f>
        <v>6.0241353930905461E-2</v>
      </c>
    </row>
    <row r="195" spans="1:24" x14ac:dyDescent="0.2">
      <c r="A195" s="99">
        <v>13463</v>
      </c>
      <c r="B195" s="99">
        <v>63.76</v>
      </c>
      <c r="C195" s="99">
        <v>182.6</v>
      </c>
      <c r="D195" s="102">
        <f t="shared" si="14"/>
        <v>181.54999999999998</v>
      </c>
      <c r="E195" s="97">
        <v>-5687.35</v>
      </c>
      <c r="F195" s="97">
        <v>-747.81</v>
      </c>
      <c r="G195" s="97">
        <v>10204.610774091687</v>
      </c>
      <c r="H195" s="93"/>
      <c r="I195" s="95">
        <f t="shared" si="15"/>
        <v>6335034.5069132112</v>
      </c>
      <c r="J195" s="95">
        <f t="shared" si="16"/>
        <v>6378206.401568274</v>
      </c>
      <c r="K195" s="93"/>
      <c r="L195" s="96">
        <f t="shared" si="18"/>
        <v>-1.5678285406676155E-2</v>
      </c>
      <c r="M195" s="96">
        <f t="shared" si="19"/>
        <v>-89.225000530102804</v>
      </c>
      <c r="N195" s="95">
        <f t="shared" si="17"/>
        <v>10012.590364870141</v>
      </c>
      <c r="O195" s="93"/>
      <c r="P195" s="93"/>
      <c r="Q195" s="52">
        <v>10223354.6</v>
      </c>
      <c r="R195" s="52">
        <v>923496.44</v>
      </c>
      <c r="S195" s="93"/>
      <c r="T195" s="104"/>
      <c r="U195" s="104"/>
      <c r="V195" s="93"/>
      <c r="W195" s="100">
        <f>ABS(Q195-GNL!P192)</f>
        <v>1.4155616983771324E-2</v>
      </c>
      <c r="X195" s="100">
        <f>ABS(R195-GNL!Q192)</f>
        <v>6.4584948588162661E-2</v>
      </c>
    </row>
    <row r="196" spans="1:24" x14ac:dyDescent="0.2">
      <c r="A196" s="99">
        <v>13559</v>
      </c>
      <c r="B196" s="99">
        <v>63.67</v>
      </c>
      <c r="C196" s="99">
        <v>181.39</v>
      </c>
      <c r="D196" s="102">
        <f t="shared" si="14"/>
        <v>180.33999999999997</v>
      </c>
      <c r="E196" s="97">
        <v>-5773.41</v>
      </c>
      <c r="F196" s="97">
        <v>-749.23</v>
      </c>
      <c r="G196" s="97">
        <v>10247.124341617999</v>
      </c>
      <c r="H196" s="93"/>
      <c r="I196" s="95">
        <f t="shared" si="15"/>
        <v>6335034.5070563266</v>
      </c>
      <c r="J196" s="95">
        <f t="shared" si="16"/>
        <v>6378206.4016163042</v>
      </c>
      <c r="K196" s="93"/>
      <c r="L196" s="96">
        <f t="shared" si="18"/>
        <v>-1.5915526519216617E-2</v>
      </c>
      <c r="M196" s="96">
        <f t="shared" si="19"/>
        <v>-89.225004418112917</v>
      </c>
      <c r="N196" s="95">
        <f t="shared" si="17"/>
        <v>10055.103847369317</v>
      </c>
      <c r="O196" s="93"/>
      <c r="P196" s="93"/>
      <c r="Q196" s="52">
        <v>10223268.57</v>
      </c>
      <c r="R196" s="52">
        <v>923493.44</v>
      </c>
      <c r="S196" s="93"/>
      <c r="T196" s="104"/>
      <c r="U196" s="104"/>
      <c r="V196" s="93"/>
      <c r="W196" s="100">
        <f>ABS(Q196-GNL!P193)</f>
        <v>8.7447501718997955E-3</v>
      </c>
      <c r="X196" s="100">
        <f>ABS(R196-GNL!Q193)</f>
        <v>6.7326489486731589E-2</v>
      </c>
    </row>
    <row r="197" spans="1:24" x14ac:dyDescent="0.2">
      <c r="A197" s="99">
        <v>13654</v>
      </c>
      <c r="B197" s="99">
        <v>63.67</v>
      </c>
      <c r="C197" s="99">
        <v>181.02</v>
      </c>
      <c r="D197" s="102">
        <f t="shared" si="14"/>
        <v>179.97</v>
      </c>
      <c r="E197" s="97">
        <v>-5858.56</v>
      </c>
      <c r="F197" s="97">
        <v>-749.46</v>
      </c>
      <c r="G197" s="97">
        <v>10289.260809522582</v>
      </c>
      <c r="H197" s="93"/>
      <c r="I197" s="95">
        <f t="shared" si="15"/>
        <v>6335034.5072031822</v>
      </c>
      <c r="J197" s="95">
        <f t="shared" si="16"/>
        <v>6378206.4016655898</v>
      </c>
      <c r="K197" s="93"/>
      <c r="L197" s="96">
        <f t="shared" si="18"/>
        <v>-1.6150259039927194E-2</v>
      </c>
      <c r="M197" s="96">
        <f t="shared" si="19"/>
        <v>-89.225005047861032</v>
      </c>
      <c r="N197" s="95">
        <f t="shared" si="17"/>
        <v>10097.240231000964</v>
      </c>
      <c r="O197" s="93"/>
      <c r="P197" s="93"/>
      <c r="Q197" s="52">
        <v>10223183.42</v>
      </c>
      <c r="R197" s="52">
        <v>923491.65</v>
      </c>
      <c r="S197" s="93"/>
      <c r="T197" s="104"/>
      <c r="U197" s="104"/>
      <c r="V197" s="93"/>
      <c r="W197" s="100">
        <f>ABS(Q197-GNL!P194)</f>
        <v>1.7787054181098938E-2</v>
      </c>
      <c r="X197" s="100">
        <f>ABS(R197-GNL!Q194)</f>
        <v>6.6444440395571291E-2</v>
      </c>
    </row>
    <row r="198" spans="1:24" x14ac:dyDescent="0.2">
      <c r="A198" s="99">
        <v>13750</v>
      </c>
      <c r="B198" s="99">
        <v>63.6</v>
      </c>
      <c r="C198" s="99">
        <v>180.72</v>
      </c>
      <c r="D198" s="102">
        <f t="shared" si="14"/>
        <v>179.67</v>
      </c>
      <c r="E198" s="97">
        <v>-5944.57</v>
      </c>
      <c r="F198" s="97">
        <v>-749.19</v>
      </c>
      <c r="G198" s="97">
        <v>10331.893327022004</v>
      </c>
      <c r="H198" s="93"/>
      <c r="I198" s="95">
        <f t="shared" si="15"/>
        <v>6335034.5073506543</v>
      </c>
      <c r="J198" s="95">
        <f t="shared" si="16"/>
        <v>6378206.4017150821</v>
      </c>
      <c r="K198" s="93"/>
      <c r="L198" s="96">
        <f t="shared" si="18"/>
        <v>-1.638736231774101E-2</v>
      </c>
      <c r="M198" s="96">
        <f t="shared" si="19"/>
        <v>-89.225004308591494</v>
      </c>
      <c r="N198" s="95">
        <f t="shared" si="17"/>
        <v>10139.872663235352</v>
      </c>
      <c r="O198" s="93"/>
      <c r="P198" s="93"/>
      <c r="Q198" s="52">
        <v>10223097.4</v>
      </c>
      <c r="R198" s="52">
        <v>923490.34</v>
      </c>
      <c r="S198" s="93"/>
      <c r="T198" s="104"/>
      <c r="U198" s="104"/>
      <c r="V198" s="93"/>
      <c r="W198" s="100">
        <f>ABS(Q198-GNL!P195)</f>
        <v>1.7461713403463364E-2</v>
      </c>
      <c r="X198" s="100">
        <f>ABS(R198-GNL!Q195)</f>
        <v>7.0111872046254575E-2</v>
      </c>
    </row>
    <row r="199" spans="1:24" x14ac:dyDescent="0.2">
      <c r="A199" s="99">
        <v>13846</v>
      </c>
      <c r="B199" s="99">
        <v>62.95</v>
      </c>
      <c r="C199" s="99">
        <v>177.91</v>
      </c>
      <c r="D199" s="102">
        <f t="shared" si="14"/>
        <v>176.85999999999999</v>
      </c>
      <c r="E199" s="97">
        <v>-6030.26</v>
      </c>
      <c r="F199" s="97">
        <v>-746.6</v>
      </c>
      <c r="G199" s="97">
        <v>10375.072041089627</v>
      </c>
      <c r="H199" s="93"/>
      <c r="I199" s="95">
        <f t="shared" si="15"/>
        <v>6335034.5075018089</v>
      </c>
      <c r="J199" s="95">
        <f t="shared" si="16"/>
        <v>6378206.4017658103</v>
      </c>
      <c r="K199" s="93"/>
      <c r="L199" s="96">
        <f t="shared" si="18"/>
        <v>-1.6623583453369208E-2</v>
      </c>
      <c r="M199" s="96">
        <f t="shared" si="19"/>
        <v>-89.224997217080059</v>
      </c>
      <c r="N199" s="95">
        <f t="shared" si="17"/>
        <v>10183.051290945545</v>
      </c>
      <c r="O199" s="93"/>
      <c r="P199" s="93"/>
      <c r="Q199" s="52">
        <v>10223011.66</v>
      </c>
      <c r="R199" s="52">
        <v>923491.36</v>
      </c>
      <c r="S199" s="93"/>
      <c r="T199" s="104"/>
      <c r="U199" s="104"/>
      <c r="V199" s="93"/>
      <c r="W199" s="100">
        <f>ABS(Q199-GNL!P196)</f>
        <v>1.5277493745088577E-2</v>
      </c>
      <c r="X199" s="100">
        <f>ABS(R199-GNL!Q196)</f>
        <v>6.9244867190718651E-2</v>
      </c>
    </row>
    <row r="200" spans="1:24" x14ac:dyDescent="0.2">
      <c r="A200" s="99">
        <v>13942</v>
      </c>
      <c r="B200" s="99">
        <v>62.12</v>
      </c>
      <c r="C200" s="99">
        <v>175.21</v>
      </c>
      <c r="D200" s="102">
        <f t="shared" si="14"/>
        <v>174.16</v>
      </c>
      <c r="E200" s="97">
        <v>-6115.17</v>
      </c>
      <c r="F200" s="97">
        <v>-739.94</v>
      </c>
      <c r="G200" s="97">
        <v>10419.353946917774</v>
      </c>
      <c r="H200" s="93"/>
      <c r="I200" s="95">
        <f t="shared" si="15"/>
        <v>6335034.5076545924</v>
      </c>
      <c r="J200" s="95">
        <f t="shared" si="16"/>
        <v>6378206.4018170852</v>
      </c>
      <c r="K200" s="93"/>
      <c r="L200" s="96">
        <f t="shared" si="18"/>
        <v>-1.6857654367428098E-2</v>
      </c>
      <c r="M200" s="96">
        <f t="shared" si="19"/>
        <v>-89.224978981764906</v>
      </c>
      <c r="N200" s="95">
        <f t="shared" si="17"/>
        <v>10227.333108209881</v>
      </c>
      <c r="O200" s="93"/>
      <c r="P200" s="93"/>
      <c r="Q200" s="52">
        <v>10222926.630000001</v>
      </c>
      <c r="R200" s="52">
        <v>923496.46</v>
      </c>
      <c r="S200" s="93"/>
      <c r="T200" s="104"/>
      <c r="U200" s="104"/>
      <c r="V200" s="93"/>
      <c r="W200" s="100">
        <f>ABS(Q200-GNL!P197)</f>
        <v>1.4346316456794739E-2</v>
      </c>
      <c r="X200" s="100">
        <f>ABS(R200-GNL!Q197)</f>
        <v>7.3016102192923427E-2</v>
      </c>
    </row>
    <row r="201" spans="1:24" x14ac:dyDescent="0.2">
      <c r="A201" s="99">
        <v>14037</v>
      </c>
      <c r="B201" s="99">
        <v>61.45</v>
      </c>
      <c r="C201" s="99">
        <v>173.39</v>
      </c>
      <c r="D201" s="102">
        <f t="shared" si="14"/>
        <v>172.33999999999997</v>
      </c>
      <c r="E201" s="97">
        <v>-6198.3</v>
      </c>
      <c r="F201" s="97">
        <v>-730.11</v>
      </c>
      <c r="G201" s="97">
        <v>10464.270863568459</v>
      </c>
      <c r="H201" s="93"/>
      <c r="I201" s="95">
        <f t="shared" si="15"/>
        <v>6335034.5078081405</v>
      </c>
      <c r="J201" s="95">
        <f t="shared" si="16"/>
        <v>6378206.4018686172</v>
      </c>
      <c r="K201" s="93"/>
      <c r="L201" s="96">
        <f t="shared" si="18"/>
        <v>-1.7086818365605511E-2</v>
      </c>
      <c r="M201" s="96">
        <f t="shared" si="19"/>
        <v>-89.22495206687779</v>
      </c>
      <c r="N201" s="95">
        <f t="shared" si="17"/>
        <v>10272.249935026734</v>
      </c>
      <c r="O201" s="93"/>
      <c r="P201" s="93"/>
      <c r="Q201" s="52">
        <v>10222843.32</v>
      </c>
      <c r="R201" s="52">
        <v>923504.78</v>
      </c>
      <c r="S201" s="93"/>
      <c r="T201" s="104"/>
      <c r="U201" s="104"/>
      <c r="V201" s="93"/>
      <c r="W201" s="100">
        <f>ABS(Q201-GNL!P198)</f>
        <v>1.5818130224943161E-2</v>
      </c>
      <c r="X201" s="100">
        <f>ABS(R201-GNL!Q198)</f>
        <v>6.4120195340365171E-2</v>
      </c>
    </row>
    <row r="202" spans="1:24" x14ac:dyDescent="0.2">
      <c r="A202" s="99">
        <v>14133</v>
      </c>
      <c r="B202" s="99">
        <v>60.75</v>
      </c>
      <c r="C202" s="99">
        <v>171.99</v>
      </c>
      <c r="D202" s="102">
        <f t="shared" si="14"/>
        <v>170.94</v>
      </c>
      <c r="E202" s="97">
        <v>-6281.44</v>
      </c>
      <c r="F202" s="97">
        <v>-717.89</v>
      </c>
      <c r="G202" s="97">
        <v>10510.667453063621</v>
      </c>
      <c r="H202" s="93"/>
      <c r="I202" s="95">
        <f t="shared" si="15"/>
        <v>6335034.5079605505</v>
      </c>
      <c r="J202" s="95">
        <f t="shared" si="16"/>
        <v>6378206.4019197663</v>
      </c>
      <c r="K202" s="93"/>
      <c r="L202" s="96">
        <f t="shared" si="18"/>
        <v>-1.7316009930720532E-2</v>
      </c>
      <c r="M202" s="96">
        <f t="shared" si="19"/>
        <v>-89.224918608086242</v>
      </c>
      <c r="N202" s="95">
        <f t="shared" si="17"/>
        <v>10318.646431728715</v>
      </c>
      <c r="O202" s="93"/>
      <c r="P202" s="93"/>
      <c r="Q202" s="52">
        <v>10222759.949999999</v>
      </c>
      <c r="R202" s="52">
        <v>923515.47</v>
      </c>
      <c r="S202" s="93"/>
      <c r="T202" s="104"/>
      <c r="U202" s="104"/>
      <c r="V202" s="93"/>
      <c r="W202" s="100">
        <f>ABS(Q202-GNL!P199)</f>
        <v>1.1932758614420891E-2</v>
      </c>
      <c r="X202" s="100">
        <f>ABS(R202-GNL!Q199)</f>
        <v>6.5860233968123794E-2</v>
      </c>
    </row>
    <row r="203" spans="1:24" x14ac:dyDescent="0.2">
      <c r="A203" s="99">
        <v>14229</v>
      </c>
      <c r="B203" s="99">
        <v>60.17</v>
      </c>
      <c r="C203" s="99">
        <v>170.14</v>
      </c>
      <c r="D203" s="102">
        <f t="shared" si="14"/>
        <v>169.08999999999997</v>
      </c>
      <c r="E203" s="97">
        <v>-6363.7</v>
      </c>
      <c r="F203" s="97">
        <v>-703.42</v>
      </c>
      <c r="G203" s="97">
        <v>10558.001345692788</v>
      </c>
      <c r="H203" s="93"/>
      <c r="I203" s="95">
        <f t="shared" si="15"/>
        <v>6335034.5081150373</v>
      </c>
      <c r="J203" s="95">
        <f t="shared" si="16"/>
        <v>6378206.4019716131</v>
      </c>
      <c r="K203" s="93"/>
      <c r="L203" s="96">
        <f t="shared" si="18"/>
        <v>-1.75427756048353E-2</v>
      </c>
      <c r="M203" s="96">
        <f t="shared" si="19"/>
        <v>-89.22487898871519</v>
      </c>
      <c r="N203" s="95">
        <f t="shared" si="17"/>
        <v>10365.980229690098</v>
      </c>
      <c r="O203" s="93"/>
      <c r="P203" s="93"/>
      <c r="Q203" s="52">
        <v>10222677.43</v>
      </c>
      <c r="R203" s="52">
        <v>923528.44</v>
      </c>
      <c r="S203" s="93"/>
      <c r="T203" s="104"/>
      <c r="U203" s="104"/>
      <c r="V203" s="93"/>
      <c r="W203" s="100">
        <f>ABS(Q203-GNL!P200)</f>
        <v>1.4055991545319557E-2</v>
      </c>
      <c r="X203" s="100">
        <f>ABS(R203-GNL!Q200)</f>
        <v>6.5547316451556981E-2</v>
      </c>
    </row>
    <row r="204" spans="1:24" x14ac:dyDescent="0.2">
      <c r="A204" s="99">
        <v>14326</v>
      </c>
      <c r="B204" s="99">
        <v>60.02</v>
      </c>
      <c r="C204" s="99">
        <v>167.73</v>
      </c>
      <c r="D204" s="102">
        <f t="shared" si="14"/>
        <v>166.67999999999998</v>
      </c>
      <c r="E204" s="97">
        <v>-6445.9</v>
      </c>
      <c r="F204" s="97">
        <v>-685.77</v>
      </c>
      <c r="G204" s="97">
        <v>10606.36733896857</v>
      </c>
      <c r="H204" s="93"/>
      <c r="I204" s="95">
        <f t="shared" si="15"/>
        <v>6335034.5082699135</v>
      </c>
      <c r="J204" s="95">
        <f t="shared" si="16"/>
        <v>6378206.4020235902</v>
      </c>
      <c r="K204" s="93"/>
      <c r="L204" s="96">
        <f t="shared" si="18"/>
        <v>-1.77693758772858E-2</v>
      </c>
      <c r="M204" s="96">
        <f t="shared" si="19"/>
        <v>-89.224830662391767</v>
      </c>
      <c r="N204" s="95">
        <f t="shared" si="17"/>
        <v>10414.346126233893</v>
      </c>
      <c r="O204" s="93"/>
      <c r="P204" s="93"/>
      <c r="Q204" s="52">
        <v>10222594.9</v>
      </c>
      <c r="R204" s="52">
        <v>923544.57</v>
      </c>
      <c r="S204" s="93"/>
      <c r="T204" s="104"/>
      <c r="U204" s="104"/>
      <c r="V204" s="93"/>
      <c r="W204" s="100">
        <f>ABS(Q204-GNL!P201)</f>
        <v>1.594863273203373E-2</v>
      </c>
      <c r="X204" s="100">
        <f>ABS(R204-GNL!Q201)</f>
        <v>7.3213602532632649E-2</v>
      </c>
    </row>
    <row r="205" spans="1:24" x14ac:dyDescent="0.2">
      <c r="A205" s="99">
        <v>14422</v>
      </c>
      <c r="B205" s="99">
        <v>59.84</v>
      </c>
      <c r="C205" s="99">
        <v>164.93</v>
      </c>
      <c r="D205" s="102">
        <f t="shared" si="14"/>
        <v>163.88</v>
      </c>
      <c r="E205" s="97">
        <v>-6526.24</v>
      </c>
      <c r="F205" s="97">
        <v>-664.67</v>
      </c>
      <c r="G205" s="97">
        <v>10654.476026642918</v>
      </c>
      <c r="H205" s="93"/>
      <c r="I205" s="95">
        <f t="shared" si="15"/>
        <v>6335034.5084266914</v>
      </c>
      <c r="J205" s="95">
        <f t="shared" si="16"/>
        <v>6378206.4020762052</v>
      </c>
      <c r="K205" s="93"/>
      <c r="L205" s="96">
        <f t="shared" si="18"/>
        <v>-1.799084869831041E-2</v>
      </c>
      <c r="M205" s="96">
        <f t="shared" si="19"/>
        <v>-89.22477288984642</v>
      </c>
      <c r="N205" s="95">
        <f t="shared" si="17"/>
        <v>10462.454717690865</v>
      </c>
      <c r="O205" s="93"/>
      <c r="P205" s="93"/>
      <c r="Q205" s="52">
        <v>10222514.17</v>
      </c>
      <c r="R205" s="52">
        <v>923564.21</v>
      </c>
      <c r="S205" s="93"/>
      <c r="T205" s="104"/>
      <c r="U205" s="104"/>
      <c r="V205" s="93"/>
      <c r="W205" s="100">
        <f>ABS(Q205-GNL!P202)</f>
        <v>1.6266230493783951E-2</v>
      </c>
      <c r="X205" s="100">
        <f>ABS(R205-GNL!Q202)</f>
        <v>6.6312173963524401E-2</v>
      </c>
    </row>
    <row r="206" spans="1:24" x14ac:dyDescent="0.2">
      <c r="A206" s="99">
        <v>14517</v>
      </c>
      <c r="B206" s="99">
        <v>59.37</v>
      </c>
      <c r="C206" s="99">
        <v>161.79</v>
      </c>
      <c r="D206" s="102">
        <f t="shared" si="14"/>
        <v>160.73999999999998</v>
      </c>
      <c r="E206" s="97">
        <v>-6604.3</v>
      </c>
      <c r="F206" s="97">
        <v>-639.78</v>
      </c>
      <c r="G206" s="97">
        <v>10702.550900655751</v>
      </c>
      <c r="H206" s="93"/>
      <c r="I206" s="95">
        <f t="shared" si="15"/>
        <v>6335034.5085818646</v>
      </c>
      <c r="J206" s="95">
        <f t="shared" si="16"/>
        <v>6378206.402128282</v>
      </c>
      <c r="K206" s="93"/>
      <c r="L206" s="96">
        <f t="shared" si="18"/>
        <v>-1.8206036256298429E-2</v>
      </c>
      <c r="M206" s="96">
        <f t="shared" si="19"/>
        <v>-89.224704740147118</v>
      </c>
      <c r="N206" s="95">
        <f t="shared" si="17"/>
        <v>10510.52949555395</v>
      </c>
      <c r="O206" s="93"/>
      <c r="P206" s="93"/>
      <c r="Q206" s="52">
        <v>10222435.66</v>
      </c>
      <c r="R206" s="52">
        <v>923587.67</v>
      </c>
      <c r="S206" s="93"/>
      <c r="T206" s="104"/>
      <c r="U206" s="104"/>
      <c r="V206" s="93"/>
      <c r="W206" s="100">
        <f>ABS(Q206-GNL!P203)</f>
        <v>1.3737542554736137E-2</v>
      </c>
      <c r="X206" s="100">
        <f>ABS(R206-GNL!Q203)</f>
        <v>6.5969667746685445E-2</v>
      </c>
    </row>
    <row r="207" spans="1:24" x14ac:dyDescent="0.2">
      <c r="A207" s="99">
        <v>14611</v>
      </c>
      <c r="B207" s="99">
        <v>58.42</v>
      </c>
      <c r="C207" s="99">
        <v>158.69</v>
      </c>
      <c r="D207" s="102">
        <f t="shared" si="14"/>
        <v>157.63999999999999</v>
      </c>
      <c r="E207" s="97">
        <v>-6679.52</v>
      </c>
      <c r="F207" s="97">
        <v>-611.20000000000005</v>
      </c>
      <c r="G207" s="97">
        <v>10751.120186961492</v>
      </c>
      <c r="H207" s="93"/>
      <c r="I207" s="95">
        <f t="shared" si="15"/>
        <v>6335034.5087344758</v>
      </c>
      <c r="J207" s="95">
        <f t="shared" si="16"/>
        <v>6378206.4021794992</v>
      </c>
      <c r="K207" s="93"/>
      <c r="L207" s="96">
        <f t="shared" si="18"/>
        <v>-1.8413394802435618E-2</v>
      </c>
      <c r="M207" s="96">
        <f t="shared" si="19"/>
        <v>-89.224626487097353</v>
      </c>
      <c r="N207" s="95">
        <f t="shared" si="17"/>
        <v>10559.098684721121</v>
      </c>
      <c r="O207" s="93"/>
      <c r="P207" s="93"/>
      <c r="Q207" s="52">
        <v>10222359.91</v>
      </c>
      <c r="R207" s="52">
        <v>923614.87</v>
      </c>
      <c r="S207" s="93"/>
      <c r="T207" s="104"/>
      <c r="U207" s="104"/>
      <c r="V207" s="93"/>
      <c r="W207" s="100">
        <f>ABS(Q207-GNL!P204)</f>
        <v>1.5328243374824524E-2</v>
      </c>
      <c r="X207" s="100">
        <f>ABS(R207-GNL!Q204)</f>
        <v>6.5777917974628508E-2</v>
      </c>
    </row>
    <row r="208" spans="1:24" x14ac:dyDescent="0.2">
      <c r="A208" s="99">
        <v>14707</v>
      </c>
      <c r="B208" s="99">
        <v>57.8</v>
      </c>
      <c r="C208" s="99">
        <v>156</v>
      </c>
      <c r="D208" s="102">
        <f t="shared" si="14"/>
        <v>154.94999999999999</v>
      </c>
      <c r="E208" s="97">
        <v>-6754.14</v>
      </c>
      <c r="F208" s="97">
        <v>-578.44000000000005</v>
      </c>
      <c r="G208" s="97">
        <v>10801.842510739507</v>
      </c>
      <c r="H208" s="93"/>
      <c r="I208" s="95">
        <f t="shared" si="15"/>
        <v>6335034.5088832518</v>
      </c>
      <c r="J208" s="95">
        <f t="shared" si="16"/>
        <v>6378206.4022294292</v>
      </c>
      <c r="K208" s="93"/>
      <c r="L208" s="96">
        <f t="shared" si="18"/>
        <v>-1.8619099331980866E-2</v>
      </c>
      <c r="M208" s="96">
        <f t="shared" si="19"/>
        <v>-89.224536789059812</v>
      </c>
      <c r="N208" s="95">
        <f t="shared" si="17"/>
        <v>10609.820907054487</v>
      </c>
      <c r="O208" s="93"/>
      <c r="P208" s="93"/>
      <c r="Q208" s="52">
        <v>10222284.68</v>
      </c>
      <c r="R208" s="52">
        <v>923646.26</v>
      </c>
      <c r="S208" s="93"/>
      <c r="T208" s="104"/>
      <c r="U208" s="104"/>
      <c r="V208" s="93"/>
      <c r="W208" s="100">
        <f>ABS(Q208-GNL!P205)</f>
        <v>1.910429447889328E-2</v>
      </c>
      <c r="X208" s="100">
        <f>ABS(R208-GNL!Q205)</f>
        <v>6.7209271946921945E-2</v>
      </c>
    </row>
    <row r="209" spans="1:24" x14ac:dyDescent="0.2">
      <c r="A209" s="99">
        <v>14803</v>
      </c>
      <c r="B209" s="99">
        <v>57.91</v>
      </c>
      <c r="C209" s="99">
        <v>153.36000000000001</v>
      </c>
      <c r="D209" s="102">
        <f t="shared" si="14"/>
        <v>152.31</v>
      </c>
      <c r="E209" s="97">
        <v>-6826.96</v>
      </c>
      <c r="F209" s="97">
        <v>-542.34</v>
      </c>
      <c r="G209" s="97">
        <v>10852.927101514491</v>
      </c>
      <c r="H209" s="93"/>
      <c r="I209" s="95">
        <f t="shared" si="15"/>
        <v>6335034.5090325046</v>
      </c>
      <c r="J209" s="95">
        <f t="shared" si="16"/>
        <v>6378206.4022795195</v>
      </c>
      <c r="K209" s="93"/>
      <c r="L209" s="96">
        <f t="shared" si="18"/>
        <v>-1.8819841811760173E-2</v>
      </c>
      <c r="M209" s="96">
        <f t="shared" si="19"/>
        <v>-89.224437945984135</v>
      </c>
      <c r="N209" s="95">
        <f t="shared" si="17"/>
        <v>10660.905395660289</v>
      </c>
      <c r="O209" s="93"/>
      <c r="P209" s="93"/>
      <c r="Q209" s="52">
        <v>10222211.210000001</v>
      </c>
      <c r="R209" s="52">
        <v>923681.02</v>
      </c>
      <c r="S209" s="93"/>
      <c r="T209" s="104"/>
      <c r="U209" s="104"/>
      <c r="V209" s="93"/>
      <c r="W209" s="100">
        <f>ABS(Q209-GNL!P206)</f>
        <v>1.1148769408464432E-2</v>
      </c>
      <c r="X209" s="100">
        <f>ABS(R209-GNL!Q206)</f>
        <v>7.2714503738097847E-2</v>
      </c>
    </row>
    <row r="210" spans="1:24" x14ac:dyDescent="0.2">
      <c r="A210" s="99">
        <v>14900</v>
      </c>
      <c r="B210" s="99">
        <v>58.12</v>
      </c>
      <c r="C210" s="99">
        <v>151.01</v>
      </c>
      <c r="D210" s="102">
        <f t="shared" si="14"/>
        <v>149.95999999999998</v>
      </c>
      <c r="E210" s="97">
        <v>-6899</v>
      </c>
      <c r="F210" s="97">
        <v>-502.63</v>
      </c>
      <c r="G210" s="97">
        <v>10904.31288617994</v>
      </c>
      <c r="H210" s="93"/>
      <c r="I210" s="95">
        <f t="shared" si="15"/>
        <v>6335034.509179756</v>
      </c>
      <c r="J210" s="95">
        <f t="shared" si="16"/>
        <v>6378206.4023289382</v>
      </c>
      <c r="K210" s="93"/>
      <c r="L210" s="96">
        <f t="shared" si="18"/>
        <v>-1.9018434069971727E-2</v>
      </c>
      <c r="M210" s="96">
        <f t="shared" si="19"/>
        <v>-89.224329218600772</v>
      </c>
      <c r="N210" s="95">
        <f t="shared" si="17"/>
        <v>10712.291077554168</v>
      </c>
      <c r="O210" s="93"/>
      <c r="P210" s="93"/>
      <c r="Q210" s="52">
        <v>10222138.43</v>
      </c>
      <c r="R210" s="52">
        <v>923719.42</v>
      </c>
      <c r="S210" s="93"/>
      <c r="T210" s="104"/>
      <c r="U210" s="104"/>
      <c r="V210" s="93"/>
      <c r="W210" s="100">
        <f>ABS(Q210-GNL!P207)</f>
        <v>1.8447846174240112E-2</v>
      </c>
      <c r="X210" s="100">
        <f>ABS(R210-GNL!Q207)</f>
        <v>6.7942087189294398E-2</v>
      </c>
    </row>
    <row r="211" spans="1:24" x14ac:dyDescent="0.2">
      <c r="A211" s="99">
        <v>14996</v>
      </c>
      <c r="B211" s="99">
        <v>58.16</v>
      </c>
      <c r="C211" s="99">
        <v>148.28</v>
      </c>
      <c r="D211" s="102">
        <f t="shared" si="14"/>
        <v>147.22999999999999</v>
      </c>
      <c r="E211" s="97">
        <v>-6968.58</v>
      </c>
      <c r="F211" s="97">
        <v>-460.15</v>
      </c>
      <c r="G211" s="97">
        <v>10954.99297083332</v>
      </c>
      <c r="H211" s="93"/>
      <c r="I211" s="95">
        <f t="shared" si="15"/>
        <v>6335034.5093269842</v>
      </c>
      <c r="J211" s="95">
        <f t="shared" si="16"/>
        <v>6378206.4023783477</v>
      </c>
      <c r="K211" s="93"/>
      <c r="L211" s="96">
        <f t="shared" si="18"/>
        <v>-1.9210244860172154E-2</v>
      </c>
      <c r="M211" s="96">
        <f t="shared" si="19"/>
        <v>-89.224212906859378</v>
      </c>
      <c r="N211" s="95">
        <f t="shared" si="17"/>
        <v>10762.97106084738</v>
      </c>
      <c r="O211" s="93"/>
      <c r="P211" s="93"/>
      <c r="Q211" s="52">
        <v>10222068.07</v>
      </c>
      <c r="R211" s="52">
        <v>923760.63</v>
      </c>
      <c r="S211" s="93"/>
      <c r="T211" s="104"/>
      <c r="U211" s="104"/>
      <c r="V211" s="93"/>
      <c r="W211" s="100">
        <f>ABS(Q211-GNL!P208)</f>
        <v>1.7058823257684708E-2</v>
      </c>
      <c r="X211" s="100">
        <f>ABS(R211-GNL!Q208)</f>
        <v>6.4963002689182758E-2</v>
      </c>
    </row>
    <row r="212" spans="1:24" x14ac:dyDescent="0.2">
      <c r="A212" s="99">
        <v>15092</v>
      </c>
      <c r="B212" s="99">
        <v>57.74</v>
      </c>
      <c r="C212" s="99">
        <v>144.81</v>
      </c>
      <c r="D212" s="102">
        <f t="shared" si="14"/>
        <v>143.76</v>
      </c>
      <c r="E212" s="97">
        <v>-7035.62</v>
      </c>
      <c r="F212" s="97">
        <v>-414.07</v>
      </c>
      <c r="G212" s="97">
        <v>11005.947320885758</v>
      </c>
      <c r="H212" s="93"/>
      <c r="I212" s="95">
        <f t="shared" si="15"/>
        <v>6335034.5094706528</v>
      </c>
      <c r="J212" s="95">
        <f t="shared" si="16"/>
        <v>6378206.4024265641</v>
      </c>
      <c r="K212" s="93"/>
      <c r="L212" s="96">
        <f t="shared" si="18"/>
        <v>-1.939505364681695E-2</v>
      </c>
      <c r="M212" s="96">
        <f t="shared" si="19"/>
        <v>-89.224086738190607</v>
      </c>
      <c r="N212" s="95">
        <f t="shared" si="17"/>
        <v>10813.925308991116</v>
      </c>
      <c r="O212" s="93"/>
      <c r="P212" s="93"/>
      <c r="Q212" s="52">
        <v>10222000.189999999</v>
      </c>
      <c r="R212" s="52">
        <v>923805.48</v>
      </c>
      <c r="S212" s="93"/>
      <c r="T212" s="104"/>
      <c r="U212" s="104"/>
      <c r="V212" s="93"/>
      <c r="W212" s="100">
        <f>ABS(Q212-GNL!P209)</f>
        <v>1.0656258091330528E-2</v>
      </c>
      <c r="X212" s="100">
        <f>ABS(R212-GNL!Q209)</f>
        <v>6.4577893703244627E-2</v>
      </c>
    </row>
    <row r="213" spans="1:24" x14ac:dyDescent="0.2">
      <c r="A213" s="99">
        <v>15188</v>
      </c>
      <c r="B213" s="99">
        <v>57.09</v>
      </c>
      <c r="C213" s="99">
        <v>141.53</v>
      </c>
      <c r="D213" s="102">
        <f t="shared" si="14"/>
        <v>140.47999999999999</v>
      </c>
      <c r="E213" s="97">
        <v>-7099.46</v>
      </c>
      <c r="F213" s="97">
        <v>-364.42</v>
      </c>
      <c r="G213" s="97">
        <v>11057.657889800499</v>
      </c>
      <c r="H213" s="93"/>
      <c r="I213" s="95">
        <f t="shared" si="15"/>
        <v>6335034.5096104397</v>
      </c>
      <c r="J213" s="95">
        <f t="shared" si="16"/>
        <v>6378206.4024734776</v>
      </c>
      <c r="K213" s="93"/>
      <c r="L213" s="96">
        <f t="shared" si="18"/>
        <v>-1.9571041011660975E-2</v>
      </c>
      <c r="M213" s="96">
        <f t="shared" si="19"/>
        <v>-89.223950794735501</v>
      </c>
      <c r="N213" s="95">
        <f t="shared" si="17"/>
        <v>10865.635774484721</v>
      </c>
      <c r="O213" s="93"/>
      <c r="P213" s="93"/>
      <c r="Q213" s="52">
        <v>10221935.439999999</v>
      </c>
      <c r="R213" s="52">
        <v>923853.96</v>
      </c>
      <c r="S213" s="93"/>
      <c r="T213" s="104"/>
      <c r="U213" s="104"/>
      <c r="V213" s="93"/>
      <c r="W213" s="100">
        <f>ABS(Q213-GNL!P210)</f>
        <v>1.2946411967277527E-2</v>
      </c>
      <c r="X213" s="100">
        <f>ABS(R213-GNL!Q210)</f>
        <v>6.445908872410655E-2</v>
      </c>
    </row>
    <row r="214" spans="1:24" x14ac:dyDescent="0.2">
      <c r="A214" s="99">
        <v>15284</v>
      </c>
      <c r="B214" s="99">
        <v>57</v>
      </c>
      <c r="C214" s="99">
        <v>138.85</v>
      </c>
      <c r="D214" s="102">
        <f t="shared" si="14"/>
        <v>137.79999999999998</v>
      </c>
      <c r="E214" s="97">
        <v>-7160.38</v>
      </c>
      <c r="F214" s="97">
        <v>-311.73</v>
      </c>
      <c r="G214" s="97">
        <v>11109.886685898942</v>
      </c>
      <c r="H214" s="93"/>
      <c r="I214" s="95">
        <f t="shared" si="15"/>
        <v>6335034.5097447988</v>
      </c>
      <c r="J214" s="95">
        <f t="shared" si="16"/>
        <v>6378206.4025185686</v>
      </c>
      <c r="K214" s="93"/>
      <c r="L214" s="96">
        <f t="shared" si="18"/>
        <v>-1.9738978829111957E-2</v>
      </c>
      <c r="M214" s="96">
        <f t="shared" si="19"/>
        <v>-89.223806527652783</v>
      </c>
      <c r="N214" s="95">
        <f t="shared" si="17"/>
        <v>10917.864466125571</v>
      </c>
      <c r="O214" s="93"/>
      <c r="P214" s="93"/>
      <c r="Q214" s="52">
        <v>10221873.560000001</v>
      </c>
      <c r="R214" s="52">
        <v>923905.53</v>
      </c>
      <c r="S214" s="93"/>
      <c r="T214" s="104"/>
      <c r="U214" s="104"/>
      <c r="V214" s="93"/>
      <c r="W214" s="100">
        <f>ABS(Q214-GNL!P211)</f>
        <v>1.095006987452507E-2</v>
      </c>
      <c r="X214" s="100">
        <f>ABS(R214-GNL!Q211)</f>
        <v>6.9646122632548213E-2</v>
      </c>
    </row>
    <row r="215" spans="1:24" x14ac:dyDescent="0.2">
      <c r="A215" s="99">
        <v>15380</v>
      </c>
      <c r="B215" s="99">
        <v>57.11</v>
      </c>
      <c r="C215" s="99">
        <v>135.91</v>
      </c>
      <c r="D215" s="102">
        <f t="shared" si="14"/>
        <v>134.85999999999999</v>
      </c>
      <c r="E215" s="97">
        <v>-7218.64</v>
      </c>
      <c r="F215" s="97">
        <v>-256.11</v>
      </c>
      <c r="G215" s="97">
        <v>11162.102783121059</v>
      </c>
      <c r="H215" s="93"/>
      <c r="I215" s="95">
        <f t="shared" si="15"/>
        <v>6335034.5098741427</v>
      </c>
      <c r="J215" s="95">
        <f t="shared" si="16"/>
        <v>6378206.4025619775</v>
      </c>
      <c r="K215" s="93"/>
      <c r="L215" s="96">
        <f t="shared" si="18"/>
        <v>-1.9899583839691315E-2</v>
      </c>
      <c r="M215" s="96">
        <f t="shared" si="19"/>
        <v>-89.223654238126329</v>
      </c>
      <c r="N215" s="95">
        <f t="shared" si="17"/>
        <v>10970.080458915496</v>
      </c>
      <c r="O215" s="93"/>
      <c r="P215" s="93"/>
      <c r="Q215" s="52">
        <v>10221814.27</v>
      </c>
      <c r="R215" s="52">
        <v>923960.08</v>
      </c>
      <c r="S215" s="93"/>
      <c r="T215" s="104"/>
      <c r="U215" s="104"/>
      <c r="V215" s="93"/>
      <c r="W215" s="100">
        <f>ABS(Q215-GNL!P212)</f>
        <v>1.835353672504425E-2</v>
      </c>
      <c r="X215" s="100">
        <f>ABS(R215-GNL!Q212)</f>
        <v>7.2739392751827836E-2</v>
      </c>
    </row>
    <row r="216" spans="1:24" x14ac:dyDescent="0.2">
      <c r="A216" s="99">
        <v>15476</v>
      </c>
      <c r="B216" s="99">
        <v>56.83</v>
      </c>
      <c r="C216" s="99">
        <v>132.83000000000001</v>
      </c>
      <c r="D216" s="102">
        <f t="shared" si="14"/>
        <v>131.78</v>
      </c>
      <c r="E216" s="97">
        <v>-7273.85</v>
      </c>
      <c r="F216" s="97">
        <v>-197.57</v>
      </c>
      <c r="G216" s="97">
        <v>11214.439085677757</v>
      </c>
      <c r="H216" s="93"/>
      <c r="I216" s="95">
        <f t="shared" si="15"/>
        <v>6335034.5099988738</v>
      </c>
      <c r="J216" s="95">
        <f t="shared" si="16"/>
        <v>6378206.4026038377</v>
      </c>
      <c r="K216" s="93"/>
      <c r="L216" s="96">
        <f t="shared" si="18"/>
        <v>-2.0051780932618054E-2</v>
      </c>
      <c r="M216" s="96">
        <f t="shared" si="19"/>
        <v>-89.22349395353649</v>
      </c>
      <c r="N216" s="95">
        <f t="shared" si="17"/>
        <v>11022.416656799587</v>
      </c>
      <c r="O216" s="93"/>
      <c r="P216" s="93"/>
      <c r="Q216" s="52">
        <v>10221757.99</v>
      </c>
      <c r="R216" s="52">
        <v>924017.62</v>
      </c>
      <c r="S216" s="93"/>
      <c r="T216" s="104"/>
      <c r="U216" s="104"/>
      <c r="V216" s="93"/>
      <c r="W216" s="100">
        <f>ABS(Q216-GNL!P213)</f>
        <v>1.4012424275279045E-2</v>
      </c>
      <c r="X216" s="100">
        <f>ABS(R216-GNL!Q213)</f>
        <v>6.3734347582794726E-2</v>
      </c>
    </row>
    <row r="217" spans="1:24" x14ac:dyDescent="0.2">
      <c r="A217" s="99">
        <v>15572</v>
      </c>
      <c r="B217" s="99">
        <v>56.59</v>
      </c>
      <c r="C217" s="99">
        <v>130.13999999999999</v>
      </c>
      <c r="D217" s="102">
        <f t="shared" si="14"/>
        <v>129.08999999999997</v>
      </c>
      <c r="E217" s="97">
        <v>-7325.89</v>
      </c>
      <c r="F217" s="97">
        <v>-136.5</v>
      </c>
      <c r="G217" s="97">
        <v>11267.137996397911</v>
      </c>
      <c r="H217" s="93"/>
      <c r="I217" s="95">
        <f t="shared" si="15"/>
        <v>6335034.5101180077</v>
      </c>
      <c r="J217" s="95">
        <f t="shared" si="16"/>
        <v>6378206.4026438203</v>
      </c>
      <c r="K217" s="93"/>
      <c r="L217" s="96">
        <f t="shared" si="18"/>
        <v>-2.0195239304575278E-2</v>
      </c>
      <c r="M217" s="96">
        <f t="shared" si="19"/>
        <v>-89.223326741717045</v>
      </c>
      <c r="N217" s="95">
        <f t="shared" si="17"/>
        <v>11075.115462121919</v>
      </c>
      <c r="O217" s="93"/>
      <c r="P217" s="93"/>
      <c r="Q217" s="52">
        <v>10221704.83</v>
      </c>
      <c r="R217" s="52">
        <v>924077.73</v>
      </c>
      <c r="S217" s="93"/>
      <c r="T217" s="104"/>
      <c r="U217" s="104"/>
      <c r="V217" s="93"/>
      <c r="W217" s="100">
        <f>ABS(Q217-GNL!P214)</f>
        <v>1.2709826231002808E-2</v>
      </c>
      <c r="X217" s="100">
        <f>ABS(R217-GNL!Q214)</f>
        <v>6.9452168769203126E-2</v>
      </c>
    </row>
    <row r="218" spans="1:24" x14ac:dyDescent="0.2">
      <c r="A218" s="99">
        <v>15668</v>
      </c>
      <c r="B218" s="99">
        <v>56.23</v>
      </c>
      <c r="C218" s="99">
        <v>127.72</v>
      </c>
      <c r="D218" s="102">
        <f t="shared" ref="D218:D249" si="20">C218+E$26</f>
        <v>126.67</v>
      </c>
      <c r="E218" s="97">
        <v>-7374.99</v>
      </c>
      <c r="F218" s="97">
        <v>-73.39</v>
      </c>
      <c r="G218" s="97">
        <v>11320.255020639499</v>
      </c>
      <c r="H218" s="93"/>
      <c r="I218" s="95">
        <f t="shared" ref="I218:I249" si="21">+L$6*(1-L$9)/(1-L$9*SIN(RADIANS(L217))^2)^1.5</f>
        <v>6335034.5102311326</v>
      </c>
      <c r="J218" s="95">
        <f t="shared" ref="J218:J249" si="22">+L$6/SQRT(1-L$9*SIN(RADIANS(L217))^2)</f>
        <v>6378206.4026817856</v>
      </c>
      <c r="K218" s="93"/>
      <c r="L218" s="96">
        <f t="shared" si="18"/>
        <v>-2.0330592995255022E-2</v>
      </c>
      <c r="M218" s="96">
        <f t="shared" si="19"/>
        <v>-89.223153944305309</v>
      </c>
      <c r="N218" s="95">
        <f t="shared" si="17"/>
        <v>11128.232380129459</v>
      </c>
      <c r="O218" s="93"/>
      <c r="P218" s="93"/>
      <c r="Q218" s="52">
        <v>10221654.57</v>
      </c>
      <c r="R218" s="52">
        <v>924139.94</v>
      </c>
      <c r="S218" s="93"/>
      <c r="T218" s="104"/>
      <c r="U218" s="104"/>
      <c r="V218" s="93"/>
      <c r="W218" s="100">
        <f>ABS(Q218-GNL!P215)</f>
        <v>1.6123997047543526E-2</v>
      </c>
      <c r="X218" s="100">
        <f>ABS(R218-GNL!Q215)</f>
        <v>7.0825724396854639E-2</v>
      </c>
    </row>
    <row r="219" spans="1:24" x14ac:dyDescent="0.2">
      <c r="A219" s="99">
        <v>15764</v>
      </c>
      <c r="B219" s="99">
        <v>56.15</v>
      </c>
      <c r="C219" s="99">
        <v>125.18</v>
      </c>
      <c r="D219" s="102">
        <f t="shared" si="20"/>
        <v>124.13000000000001</v>
      </c>
      <c r="E219" s="97">
        <v>-7421.19</v>
      </c>
      <c r="F219" s="97">
        <v>-8.3800000000000008</v>
      </c>
      <c r="G219" s="97">
        <v>11373.679358064172</v>
      </c>
      <c r="H219" s="93"/>
      <c r="I219" s="95">
        <f t="shared" si="21"/>
        <v>6335034.5103386054</v>
      </c>
      <c r="J219" s="95">
        <f t="shared" si="22"/>
        <v>6378206.4027178539</v>
      </c>
      <c r="K219" s="93"/>
      <c r="L219" s="96">
        <f t="shared" si="18"/>
        <v>-2.0457952272430139E-2</v>
      </c>
      <c r="M219" s="96">
        <f t="shared" si="19"/>
        <v>-89.222975944626242</v>
      </c>
      <c r="N219" s="95">
        <f t="shared" si="17"/>
        <v>11181.656610705455</v>
      </c>
      <c r="O219" s="93"/>
      <c r="P219" s="93"/>
      <c r="Q219" s="52">
        <v>10221607.18</v>
      </c>
      <c r="R219" s="52">
        <v>924204.11</v>
      </c>
      <c r="S219" s="93"/>
      <c r="T219" s="104"/>
      <c r="U219" s="104"/>
      <c r="V219" s="93"/>
      <c r="W219" s="100">
        <f>ABS(Q219-GNL!P216)</f>
        <v>1.2755770236253738E-2</v>
      </c>
      <c r="X219" s="100">
        <f>ABS(R219-GNL!Q216)</f>
        <v>6.4926698221825063E-2</v>
      </c>
    </row>
    <row r="220" spans="1:24" x14ac:dyDescent="0.2">
      <c r="A220" s="99">
        <v>15861</v>
      </c>
      <c r="B220" s="99">
        <v>55.89</v>
      </c>
      <c r="C220" s="99">
        <v>122.24</v>
      </c>
      <c r="D220" s="102">
        <f t="shared" si="20"/>
        <v>121.19</v>
      </c>
      <c r="E220" s="97">
        <v>-7464.59</v>
      </c>
      <c r="F220" s="97">
        <v>59.33</v>
      </c>
      <c r="G220" s="97">
        <v>11427.901129629257</v>
      </c>
      <c r="H220" s="93"/>
      <c r="I220" s="95">
        <f t="shared" si="21"/>
        <v>6335034.5104403868</v>
      </c>
      <c r="J220" s="95">
        <f t="shared" si="22"/>
        <v>6378206.402752012</v>
      </c>
      <c r="K220" s="93"/>
      <c r="L220" s="96">
        <f t="shared" si="18"/>
        <v>-2.0577592805532115E-2</v>
      </c>
      <c r="M220" s="96">
        <f t="shared" si="19"/>
        <v>-89.222790552251539</v>
      </c>
      <c r="N220" s="95">
        <f t="shared" si="17"/>
        <v>11235.878273827</v>
      </c>
      <c r="O220" s="93"/>
      <c r="P220" s="93"/>
      <c r="Q220" s="52">
        <v>10221562.539999999</v>
      </c>
      <c r="R220" s="52">
        <v>924271.02</v>
      </c>
      <c r="S220" s="93"/>
      <c r="T220" s="104"/>
      <c r="U220" s="104"/>
      <c r="V220" s="93"/>
      <c r="W220" s="100">
        <f>ABS(Q220-GNL!P217)</f>
        <v>8.9157000184059143E-3</v>
      </c>
      <c r="X220" s="100">
        <f>ABS(R220-GNL!Q217)</f>
        <v>6.4549580798484385E-2</v>
      </c>
    </row>
    <row r="221" spans="1:24" x14ac:dyDescent="0.2">
      <c r="A221" s="99">
        <v>15958</v>
      </c>
      <c r="B221" s="99">
        <v>55.59</v>
      </c>
      <c r="C221" s="99">
        <v>119.34</v>
      </c>
      <c r="D221" s="102">
        <f t="shared" si="20"/>
        <v>118.29</v>
      </c>
      <c r="E221" s="97">
        <v>-7504.36</v>
      </c>
      <c r="F221" s="97">
        <v>128.91999999999999</v>
      </c>
      <c r="G221" s="97">
        <v>11482.515102338051</v>
      </c>
      <c r="H221" s="93"/>
      <c r="I221" s="95">
        <f t="shared" si="21"/>
        <v>6335034.5105365785</v>
      </c>
      <c r="J221" s="95">
        <f t="shared" si="22"/>
        <v>6378206.4027842935</v>
      </c>
      <c r="K221" s="93"/>
      <c r="L221" s="96">
        <f t="shared" si="18"/>
        <v>-2.0687226538283112E-2</v>
      </c>
      <c r="M221" s="96">
        <f t="shared" si="19"/>
        <v>-89.222600012370208</v>
      </c>
      <c r="N221" s="95">
        <f t="shared" si="17"/>
        <v>11290.492137307847</v>
      </c>
      <c r="O221" s="93"/>
      <c r="P221" s="93"/>
      <c r="Q221" s="52">
        <v>10221521.5</v>
      </c>
      <c r="R221" s="52">
        <v>924339.89</v>
      </c>
      <c r="S221" s="93"/>
      <c r="T221" s="104"/>
      <c r="U221" s="104"/>
      <c r="V221" s="93"/>
      <c r="W221" s="100">
        <f>ABS(Q221-GNL!P218)</f>
        <v>7.0884525775909424E-3</v>
      </c>
      <c r="X221" s="100">
        <f>ABS(R221-GNL!Q218)</f>
        <v>6.3114713178947568E-2</v>
      </c>
    </row>
    <row r="222" spans="1:24" x14ac:dyDescent="0.2">
      <c r="A222" s="99">
        <v>16053</v>
      </c>
      <c r="B222" s="99">
        <v>55.4</v>
      </c>
      <c r="C222" s="99">
        <v>116.65</v>
      </c>
      <c r="D222" s="102">
        <f t="shared" si="20"/>
        <v>115.60000000000001</v>
      </c>
      <c r="E222" s="97">
        <v>-7539.83</v>
      </c>
      <c r="F222" s="97">
        <v>198.7</v>
      </c>
      <c r="G222" s="97">
        <v>11536.337215901853</v>
      </c>
      <c r="H222" s="93"/>
      <c r="I222" s="95">
        <f t="shared" si="21"/>
        <v>6335034.5106252162</v>
      </c>
      <c r="J222" s="95">
        <f t="shared" si="22"/>
        <v>6378206.4028140418</v>
      </c>
      <c r="K222" s="93"/>
      <c r="L222" s="96">
        <f t="shared" si="18"/>
        <v>-2.078500648549517E-2</v>
      </c>
      <c r="M222" s="96">
        <f t="shared" si="19"/>
        <v>-89.222408952262029</v>
      </c>
      <c r="N222" s="95">
        <f t="shared" si="17"/>
        <v>11344.314143227422</v>
      </c>
      <c r="O222" s="93"/>
      <c r="P222" s="93"/>
      <c r="Q222" s="52">
        <v>10221484.75</v>
      </c>
      <c r="R222" s="52">
        <v>924409.02</v>
      </c>
      <c r="S222" s="93"/>
      <c r="T222" s="104"/>
      <c r="U222" s="104"/>
      <c r="V222" s="93"/>
      <c r="W222" s="100">
        <f>ABS(Q222-GNL!P219)</f>
        <v>6.3378456979990005E-3</v>
      </c>
      <c r="X222" s="100">
        <f>ABS(R222-GNL!Q219)</f>
        <v>6.1314074788242579E-2</v>
      </c>
    </row>
    <row r="223" spans="1:24" x14ac:dyDescent="0.2">
      <c r="A223" s="99">
        <v>16150</v>
      </c>
      <c r="B223" s="99">
        <v>55.56</v>
      </c>
      <c r="C223" s="99">
        <v>113.5</v>
      </c>
      <c r="D223" s="102">
        <f t="shared" si="20"/>
        <v>112.45</v>
      </c>
      <c r="E223" s="97">
        <v>-7572.36</v>
      </c>
      <c r="F223" s="97">
        <v>271.68</v>
      </c>
      <c r="G223" s="97">
        <v>11591.315904505289</v>
      </c>
      <c r="H223" s="93"/>
      <c r="I223" s="95">
        <f t="shared" si="21"/>
        <v>6335034.5107046692</v>
      </c>
      <c r="J223" s="95">
        <f t="shared" si="22"/>
        <v>6378206.4028407056</v>
      </c>
      <c r="K223" s="93"/>
      <c r="L223" s="96">
        <f t="shared" si="18"/>
        <v>-2.0874681751431687E-2</v>
      </c>
      <c r="M223" s="96">
        <f t="shared" si="19"/>
        <v>-89.222209130440532</v>
      </c>
      <c r="N223" s="95">
        <f t="shared" si="17"/>
        <v>11399.29272187348</v>
      </c>
      <c r="O223" s="93"/>
      <c r="P223" s="93"/>
      <c r="Q223" s="52">
        <v>10221450.880000001</v>
      </c>
      <c r="R223" s="52">
        <v>924481.41</v>
      </c>
      <c r="S223" s="93"/>
      <c r="T223" s="104"/>
      <c r="U223" s="104"/>
      <c r="V223" s="93"/>
      <c r="W223" s="100">
        <f>ABS(Q223-GNL!P220)</f>
        <v>8.0837644636631012E-3</v>
      </c>
      <c r="X223" s="100">
        <f>ABS(R223-GNL!Q220)</f>
        <v>5.9474529349245131E-2</v>
      </c>
    </row>
    <row r="224" spans="1:24" x14ac:dyDescent="0.2">
      <c r="A224" s="99">
        <v>16246</v>
      </c>
      <c r="B224" s="99">
        <v>56.06</v>
      </c>
      <c r="C224" s="99">
        <v>109.97</v>
      </c>
      <c r="D224" s="102">
        <f t="shared" si="20"/>
        <v>108.92</v>
      </c>
      <c r="E224" s="97">
        <v>-7600.39</v>
      </c>
      <c r="F224" s="97">
        <v>345.96</v>
      </c>
      <c r="G224" s="97">
        <v>11645.273556343242</v>
      </c>
      <c r="H224" s="93"/>
      <c r="I224" s="95">
        <f t="shared" si="21"/>
        <v>6335034.5107778646</v>
      </c>
      <c r="J224" s="95">
        <f t="shared" si="22"/>
        <v>6378206.4028652711</v>
      </c>
      <c r="K224" s="93"/>
      <c r="L224" s="96">
        <f t="shared" si="18"/>
        <v>-2.0951951892967856E-2</v>
      </c>
      <c r="M224" s="96">
        <f t="shared" si="19"/>
        <v>-89.222005749172936</v>
      </c>
      <c r="N224" s="95">
        <f t="shared" si="17"/>
        <v>11453.25026579613</v>
      </c>
      <c r="O224" s="93"/>
      <c r="P224" s="93"/>
      <c r="Q224" s="52">
        <v>10221421.49</v>
      </c>
      <c r="R224" s="52">
        <v>924555.17</v>
      </c>
      <c r="S224" s="93"/>
      <c r="T224" s="104"/>
      <c r="U224" s="104"/>
      <c r="V224" s="93"/>
      <c r="W224" s="100">
        <f>ABS(Q224-GNL!P221)</f>
        <v>6.9367699325084686E-4</v>
      </c>
      <c r="X224" s="100">
        <f>ABS(R224-GNL!Q221)</f>
        <v>6.0285958694294095E-2</v>
      </c>
    </row>
    <row r="225" spans="1:24" x14ac:dyDescent="0.2">
      <c r="A225" s="99">
        <v>16342</v>
      </c>
      <c r="B225" s="99">
        <v>56.39</v>
      </c>
      <c r="C225" s="99">
        <v>107.29</v>
      </c>
      <c r="D225" s="102">
        <f t="shared" si="20"/>
        <v>106.24000000000001</v>
      </c>
      <c r="E225" s="97">
        <v>-7624.49</v>
      </c>
      <c r="F225" s="97">
        <v>422.02</v>
      </c>
      <c r="G225" s="97">
        <v>11698.649772197743</v>
      </c>
      <c r="H225" s="93"/>
      <c r="I225" s="95">
        <f t="shared" si="21"/>
        <v>6335034.5108411871</v>
      </c>
      <c r="J225" s="95">
        <f t="shared" si="22"/>
        <v>6378206.402886522</v>
      </c>
      <c r="K225" s="93"/>
      <c r="L225" s="96">
        <f t="shared" si="18"/>
        <v>-2.101838822586129E-2</v>
      </c>
      <c r="M225" s="96">
        <f t="shared" si="19"/>
        <v>-89.221797494202278</v>
      </c>
      <c r="N225" s="95">
        <f t="shared" si="17"/>
        <v>11506.6263748982</v>
      </c>
      <c r="O225" s="93"/>
      <c r="P225" s="93"/>
      <c r="Q225" s="52">
        <v>10221396</v>
      </c>
      <c r="R225" s="52">
        <v>924630.79</v>
      </c>
      <c r="S225" s="93"/>
      <c r="T225" s="104"/>
      <c r="U225" s="104"/>
      <c r="V225" s="93"/>
      <c r="W225" s="100">
        <f>ABS(Q225-GNL!P222)</f>
        <v>1.3071410357952118E-3</v>
      </c>
      <c r="X225" s="100">
        <f>ABS(R225-GNL!Q222)</f>
        <v>6.0737704974599183E-2</v>
      </c>
    </row>
    <row r="226" spans="1:24" x14ac:dyDescent="0.2">
      <c r="A226" s="99">
        <v>16438</v>
      </c>
      <c r="B226" s="99">
        <v>56.75</v>
      </c>
      <c r="C226" s="99">
        <v>104.49</v>
      </c>
      <c r="D226" s="102">
        <f t="shared" si="20"/>
        <v>103.44</v>
      </c>
      <c r="E226" s="97">
        <v>-7645</v>
      </c>
      <c r="F226" s="97">
        <v>499.45</v>
      </c>
      <c r="G226" s="97">
        <v>11751.545124758759</v>
      </c>
      <c r="H226" s="93"/>
      <c r="I226" s="95">
        <f t="shared" si="21"/>
        <v>6335034.5108958194</v>
      </c>
      <c r="J226" s="95">
        <f t="shared" si="22"/>
        <v>6378206.402904857</v>
      </c>
      <c r="K226" s="93"/>
      <c r="L226" s="96">
        <f t="shared" si="18"/>
        <v>-2.1074928026177997E-2</v>
      </c>
      <c r="M226" s="96">
        <f t="shared" si="19"/>
        <v>-89.221585488123068</v>
      </c>
      <c r="N226" s="95">
        <f t="shared" si="17"/>
        <v>11559.521621668511</v>
      </c>
      <c r="O226" s="93"/>
      <c r="P226" s="93"/>
      <c r="Q226" s="52">
        <v>10221374.07</v>
      </c>
      <c r="R226" s="52">
        <v>924707.85</v>
      </c>
      <c r="S226" s="93"/>
      <c r="T226" s="104"/>
      <c r="U226" s="104"/>
      <c r="V226" s="93"/>
      <c r="W226" s="100">
        <f>ABS(Q226-GNL!P223)</f>
        <v>8.6018070578575134E-4</v>
      </c>
      <c r="X226" s="100">
        <f>ABS(R226-GNL!Q223)</f>
        <v>6.0074288747273386E-2</v>
      </c>
    </row>
    <row r="227" spans="1:24" x14ac:dyDescent="0.2">
      <c r="A227" s="99">
        <v>16534</v>
      </c>
      <c r="B227" s="99">
        <v>57.45</v>
      </c>
      <c r="C227" s="99">
        <v>101.25</v>
      </c>
      <c r="D227" s="102">
        <f t="shared" si="20"/>
        <v>100.2</v>
      </c>
      <c r="E227" s="97">
        <v>-7661.5</v>
      </c>
      <c r="F227" s="97">
        <v>578.33000000000004</v>
      </c>
      <c r="G227" s="97">
        <v>11803.699344715533</v>
      </c>
      <c r="H227" s="93"/>
      <c r="I227" s="95">
        <f t="shared" si="21"/>
        <v>6335034.5109424489</v>
      </c>
      <c r="J227" s="95">
        <f t="shared" si="22"/>
        <v>6378206.402920506</v>
      </c>
      <c r="K227" s="93"/>
      <c r="L227" s="96">
        <f t="shared" si="18"/>
        <v>-2.1120413482307632E-2</v>
      </c>
      <c r="M227" s="96">
        <f t="shared" si="19"/>
        <v>-89.221369511892476</v>
      </c>
      <c r="N227" s="95">
        <f t="shared" si="17"/>
        <v>11611.675737316846</v>
      </c>
      <c r="O227" s="93"/>
      <c r="P227" s="93"/>
      <c r="Q227" s="52">
        <v>10221356.130000001</v>
      </c>
      <c r="R227" s="52">
        <v>924786.43</v>
      </c>
      <c r="S227" s="93"/>
      <c r="T227" s="104"/>
      <c r="U227" s="104"/>
      <c r="V227" s="93"/>
      <c r="W227" s="100">
        <f>ABS(Q227-GNL!P224)</f>
        <v>5.1019489765167236E-3</v>
      </c>
      <c r="X227" s="100">
        <f>ABS(R227-GNL!Q224)</f>
        <v>5.8137084473855793E-2</v>
      </c>
    </row>
    <row r="228" spans="1:24" x14ac:dyDescent="0.2">
      <c r="A228" s="99">
        <v>16630</v>
      </c>
      <c r="B228" s="99">
        <v>58.44</v>
      </c>
      <c r="C228" s="99">
        <v>98.76</v>
      </c>
      <c r="D228" s="102">
        <f t="shared" si="20"/>
        <v>97.710000000000008</v>
      </c>
      <c r="E228" s="97">
        <v>-7674.15</v>
      </c>
      <c r="F228" s="97">
        <v>658.69</v>
      </c>
      <c r="G228" s="97">
        <v>11854.654847884769</v>
      </c>
      <c r="H228" s="93"/>
      <c r="I228" s="95">
        <f t="shared" si="21"/>
        <v>6335034.5109800529</v>
      </c>
      <c r="J228" s="95">
        <f t="shared" si="22"/>
        <v>6378206.4029331263</v>
      </c>
      <c r="K228" s="93"/>
      <c r="L228" s="96">
        <f t="shared" si="18"/>
        <v>-2.1155285665340143E-2</v>
      </c>
      <c r="M228" s="96">
        <f t="shared" si="19"/>
        <v>-89.221149483369473</v>
      </c>
      <c r="N228" s="95">
        <f t="shared" si="17"/>
        <v>11662.631138575074</v>
      </c>
      <c r="O228" s="93"/>
      <c r="P228" s="93"/>
      <c r="Q228" s="52">
        <v>10221342</v>
      </c>
      <c r="R228" s="52">
        <v>924866.56000000006</v>
      </c>
      <c r="S228" s="93"/>
      <c r="T228" s="104"/>
      <c r="U228" s="104"/>
      <c r="V228" s="93"/>
      <c r="W228" s="100">
        <f>ABS(Q228-GNL!P225)</f>
        <v>2.052847295999527E-3</v>
      </c>
      <c r="X228" s="100">
        <f>ABS(R228-GNL!Q225)</f>
        <v>6.0260085971094668E-2</v>
      </c>
    </row>
    <row r="229" spans="1:24" x14ac:dyDescent="0.2">
      <c r="A229" s="99">
        <v>16727</v>
      </c>
      <c r="B229" s="99">
        <v>59.52</v>
      </c>
      <c r="C229" s="99">
        <v>96.56</v>
      </c>
      <c r="D229" s="102">
        <f t="shared" si="20"/>
        <v>95.51</v>
      </c>
      <c r="E229" s="97">
        <v>-7683.71</v>
      </c>
      <c r="F229" s="97">
        <v>741.26</v>
      </c>
      <c r="G229" s="97">
        <v>11904.646331980595</v>
      </c>
      <c r="H229" s="93"/>
      <c r="I229" s="95">
        <f t="shared" si="21"/>
        <v>6335034.5110089378</v>
      </c>
      <c r="J229" s="95">
        <f t="shared" si="22"/>
        <v>6378206.4029428205</v>
      </c>
      <c r="K229" s="93"/>
      <c r="L229" s="96">
        <f t="shared" si="18"/>
        <v>-2.1181639662951945E-2</v>
      </c>
      <c r="M229" s="96">
        <f t="shared" si="19"/>
        <v>-89.22092340378822</v>
      </c>
      <c r="N229" s="95">
        <f t="shared" si="17"/>
        <v>11712.622522687932</v>
      </c>
      <c r="O229" s="93"/>
      <c r="P229" s="93"/>
      <c r="Q229" s="52">
        <v>10221330.93</v>
      </c>
      <c r="R229" s="52">
        <v>924948.95</v>
      </c>
      <c r="S229" s="93"/>
      <c r="T229" s="104"/>
      <c r="U229" s="104"/>
      <c r="V229" s="93"/>
      <c r="W229" s="100">
        <f>ABS(Q229-GNL!P226)</f>
        <v>4.4021476060152054E-3</v>
      </c>
      <c r="X229" s="100">
        <f>ABS(R229-GNL!Q226)</f>
        <v>6.3812114531174302E-2</v>
      </c>
    </row>
    <row r="230" spans="1:24" x14ac:dyDescent="0.2">
      <c r="A230" s="99">
        <v>16824</v>
      </c>
      <c r="B230" s="99">
        <v>60.59</v>
      </c>
      <c r="C230" s="99">
        <v>93.99</v>
      </c>
      <c r="D230" s="102">
        <f t="shared" si="20"/>
        <v>92.94</v>
      </c>
      <c r="E230" s="97">
        <v>-7689.89</v>
      </c>
      <c r="F230" s="97">
        <v>825.07</v>
      </c>
      <c r="G230" s="97">
        <v>11953.071063398078</v>
      </c>
      <c r="H230" s="93"/>
      <c r="I230" s="95">
        <f t="shared" si="21"/>
        <v>6335034.5110307978</v>
      </c>
      <c r="J230" s="95">
        <f t="shared" si="22"/>
        <v>6378206.4029501565</v>
      </c>
      <c r="K230" s="93"/>
      <c r="L230" s="96">
        <f t="shared" si="18"/>
        <v>-2.1198676033792989E-2</v>
      </c>
      <c r="M230" s="96">
        <f t="shared" si="19"/>
        <v>-89.220693929043065</v>
      </c>
      <c r="N230" s="95">
        <f t="shared" ref="N230:N249" si="23">G230*F$13/F$17 - E$20</f>
        <v>11761.047157255951</v>
      </c>
      <c r="O230" s="93"/>
      <c r="P230" s="93"/>
      <c r="Q230" s="52">
        <v>10221323.220000001</v>
      </c>
      <c r="R230" s="52">
        <v>925032.65</v>
      </c>
      <c r="S230" s="93"/>
      <c r="T230" s="104"/>
      <c r="U230" s="104"/>
      <c r="V230" s="93"/>
      <c r="W230" s="100">
        <f>ABS(Q230-GNL!P227)</f>
        <v>1.1977415531873703E-2</v>
      </c>
      <c r="X230" s="100">
        <f>ABS(R230-GNL!Q227)</f>
        <v>6.3598385197110474E-2</v>
      </c>
    </row>
    <row r="231" spans="1:24" x14ac:dyDescent="0.2">
      <c r="A231" s="99">
        <v>16920</v>
      </c>
      <c r="B231" s="99">
        <v>61.17</v>
      </c>
      <c r="C231" s="99">
        <v>91.47</v>
      </c>
      <c r="D231" s="102">
        <f t="shared" si="20"/>
        <v>90.42</v>
      </c>
      <c r="E231" s="97">
        <v>-7692.35</v>
      </c>
      <c r="F231" s="97">
        <v>908.89</v>
      </c>
      <c r="G231" s="97">
        <v>11999.794086104415</v>
      </c>
      <c r="H231" s="93"/>
      <c r="I231" s="95">
        <f t="shared" si="21"/>
        <v>6335034.5110449446</v>
      </c>
      <c r="J231" s="95">
        <f t="shared" si="22"/>
        <v>6378206.4029549044</v>
      </c>
      <c r="K231" s="93"/>
      <c r="L231" s="96">
        <f t="shared" ref="L231:L249" si="24">L230 + DEGREES((E231-E230)*F$13/I231)</f>
        <v>-2.1205457501797659E-2</v>
      </c>
      <c r="M231" s="96">
        <f t="shared" ref="M231:M249" si="25">M230 + DEGREES((F231-F230)*F$13/(J231*COS(RADIANS(L230))))</f>
        <v>-89.22046442691753</v>
      </c>
      <c r="N231" s="95">
        <f t="shared" si="23"/>
        <v>11807.770086516244</v>
      </c>
      <c r="O231" s="93"/>
      <c r="P231" s="93"/>
      <c r="Q231" s="52">
        <v>10221319.23</v>
      </c>
      <c r="R231" s="52">
        <v>925116.43</v>
      </c>
      <c r="S231" s="93"/>
      <c r="T231" s="104"/>
      <c r="U231" s="104"/>
      <c r="V231" s="93"/>
      <c r="W231" s="100">
        <f>ABS(Q231-GNL!P228)</f>
        <v>1.1517852544784546E-2</v>
      </c>
      <c r="X231" s="100">
        <f>ABS(R231-GNL!Q228)</f>
        <v>5.9766648453660309E-2</v>
      </c>
    </row>
    <row r="232" spans="1:24" x14ac:dyDescent="0.2">
      <c r="A232" s="99">
        <v>17016</v>
      </c>
      <c r="B232" s="99">
        <v>62</v>
      </c>
      <c r="C232" s="99">
        <v>88.38</v>
      </c>
      <c r="D232" s="102">
        <f t="shared" si="20"/>
        <v>87.33</v>
      </c>
      <c r="E232" s="97">
        <v>-7690.68</v>
      </c>
      <c r="F232" s="97">
        <v>993.29</v>
      </c>
      <c r="G232" s="97">
        <v>12045.484283544454</v>
      </c>
      <c r="H232" s="93"/>
      <c r="I232" s="95">
        <f t="shared" si="21"/>
        <v>6335034.5110505791</v>
      </c>
      <c r="J232" s="95">
        <f t="shared" si="22"/>
        <v>6378206.4029567949</v>
      </c>
      <c r="K232" s="93"/>
      <c r="L232" s="96">
        <f t="shared" si="24"/>
        <v>-2.1200853822298558E-2</v>
      </c>
      <c r="M232" s="96">
        <f t="shared" si="25"/>
        <v>-89.220233336731468</v>
      </c>
      <c r="N232" s="95">
        <f t="shared" si="23"/>
        <v>11853.460192575889</v>
      </c>
      <c r="O232" s="93"/>
      <c r="P232" s="93"/>
      <c r="Q232" s="52">
        <v>10221319.35</v>
      </c>
      <c r="R232" s="52">
        <v>925200.86</v>
      </c>
      <c r="S232" s="93"/>
      <c r="T232" s="104"/>
      <c r="U232" s="104"/>
      <c r="V232" s="93"/>
      <c r="W232" s="100">
        <f>ABS(Q232-GNL!P229)</f>
        <v>1.2068888172507286E-2</v>
      </c>
      <c r="X232" s="100">
        <f>ABS(R232-GNL!Q229)</f>
        <v>6.4084894256666303E-2</v>
      </c>
    </row>
    <row r="233" spans="1:24" x14ac:dyDescent="0.2">
      <c r="A233" s="99">
        <v>17113</v>
      </c>
      <c r="B233" s="99">
        <v>62.87</v>
      </c>
      <c r="C233" s="99">
        <v>85.72</v>
      </c>
      <c r="D233" s="102">
        <f t="shared" si="20"/>
        <v>84.67</v>
      </c>
      <c r="E233" s="97">
        <v>-7684.67</v>
      </c>
      <c r="F233" s="97">
        <v>1079.06</v>
      </c>
      <c r="G233" s="97">
        <v>12090.377384848483</v>
      </c>
      <c r="H233" s="93"/>
      <c r="I233" s="95">
        <f t="shared" si="21"/>
        <v>6335034.5110467542</v>
      </c>
      <c r="J233" s="95">
        <f t="shared" si="22"/>
        <v>6378206.4029555116</v>
      </c>
      <c r="K233" s="93"/>
      <c r="L233" s="96">
        <f t="shared" si="24"/>
        <v>-2.1184286089490398E-2</v>
      </c>
      <c r="M233" s="96">
        <f t="shared" si="25"/>
        <v>-89.21999849543694</v>
      </c>
      <c r="N233" s="95">
        <f t="shared" si="23"/>
        <v>11898.353204093715</v>
      </c>
      <c r="O233" s="93"/>
      <c r="P233" s="93"/>
      <c r="Q233" s="52">
        <v>10221323.789999999</v>
      </c>
      <c r="R233" s="52">
        <v>925286.74</v>
      </c>
      <c r="S233" s="93"/>
      <c r="T233" s="104"/>
      <c r="U233" s="104"/>
      <c r="V233" s="93"/>
      <c r="W233" s="100">
        <f>ABS(Q233-GNL!P230)</f>
        <v>1.8566291779279709E-2</v>
      </c>
      <c r="X233" s="100">
        <f>ABS(R233-GNL!Q230)</f>
        <v>6.3040135311894119E-2</v>
      </c>
    </row>
    <row r="234" spans="1:24" x14ac:dyDescent="0.2">
      <c r="A234" s="99">
        <v>17209</v>
      </c>
      <c r="B234" s="99">
        <v>63.91</v>
      </c>
      <c r="C234" s="99">
        <v>83.05</v>
      </c>
      <c r="D234" s="102">
        <f t="shared" si="20"/>
        <v>82</v>
      </c>
      <c r="E234" s="97">
        <v>-7674.71</v>
      </c>
      <c r="F234" s="97">
        <v>1164.3</v>
      </c>
      <c r="G234" s="97">
        <v>12133.382869037694</v>
      </c>
      <c r="H234" s="93"/>
      <c r="I234" s="95">
        <f t="shared" si="21"/>
        <v>6335034.5110329948</v>
      </c>
      <c r="J234" s="95">
        <f t="shared" si="22"/>
        <v>6378206.4029508941</v>
      </c>
      <c r="K234" s="93"/>
      <c r="L234" s="96">
        <f t="shared" si="24"/>
        <v>-2.1156829414154355E-2</v>
      </c>
      <c r="M234" s="96">
        <f t="shared" si="25"/>
        <v>-89.219765105301192</v>
      </c>
      <c r="N234" s="95">
        <f t="shared" si="23"/>
        <v>11941.358602271957</v>
      </c>
      <c r="O234" s="93"/>
      <c r="P234" s="93"/>
      <c r="Q234" s="52">
        <v>10221332.199999999</v>
      </c>
      <c r="R234" s="52">
        <v>925372.17</v>
      </c>
      <c r="S234" s="93"/>
      <c r="T234" s="104"/>
      <c r="U234" s="104"/>
      <c r="V234" s="93"/>
      <c r="W234" s="100">
        <f>ABS(Q234-GNL!P231)</f>
        <v>2.1102456375956535E-2</v>
      </c>
      <c r="X234" s="100">
        <f>ABS(R234-GNL!Q231)</f>
        <v>5.5501461727544665E-2</v>
      </c>
    </row>
    <row r="235" spans="1:24" x14ac:dyDescent="0.2">
      <c r="A235" s="99">
        <v>17305</v>
      </c>
      <c r="B235" s="99">
        <v>64.89</v>
      </c>
      <c r="C235" s="99">
        <v>80.17</v>
      </c>
      <c r="D235" s="102">
        <f t="shared" si="20"/>
        <v>79.12</v>
      </c>
      <c r="E235" s="97">
        <v>-7660.5</v>
      </c>
      <c r="F235" s="97">
        <v>1249.69</v>
      </c>
      <c r="G235" s="97">
        <v>12174.869699491055</v>
      </c>
      <c r="H235" s="93"/>
      <c r="I235" s="95">
        <f t="shared" si="21"/>
        <v>6335034.5110102175</v>
      </c>
      <c r="J235" s="95">
        <f t="shared" si="22"/>
        <v>6378206.4029432498</v>
      </c>
      <c r="K235" s="93"/>
      <c r="L235" s="96">
        <f t="shared" si="24"/>
        <v>-2.1117656787997072E-2</v>
      </c>
      <c r="M235" s="96">
        <f t="shared" si="25"/>
        <v>-89.219531304460176</v>
      </c>
      <c r="N235" s="95">
        <f t="shared" si="23"/>
        <v>11982.845349751657</v>
      </c>
      <c r="O235" s="93"/>
      <c r="P235" s="93"/>
      <c r="Q235" s="52">
        <v>10221344.85</v>
      </c>
      <c r="R235" s="52">
        <v>925457.82</v>
      </c>
      <c r="S235" s="93"/>
      <c r="T235" s="104"/>
      <c r="U235" s="104"/>
      <c r="V235" s="93"/>
      <c r="W235" s="100">
        <f>ABS(Q235-GNL!P232)</f>
        <v>2.9586642980575562E-2</v>
      </c>
      <c r="X235" s="100">
        <f>ABS(R235-GNL!Q232)</f>
        <v>5.6070995749905705E-2</v>
      </c>
    </row>
    <row r="236" spans="1:24" x14ac:dyDescent="0.2">
      <c r="A236" s="99">
        <v>17400</v>
      </c>
      <c r="B236" s="99">
        <v>65.31</v>
      </c>
      <c r="C236" s="99">
        <v>79.86</v>
      </c>
      <c r="D236" s="102">
        <f t="shared" si="20"/>
        <v>78.81</v>
      </c>
      <c r="E236" s="97">
        <v>-7644.01</v>
      </c>
      <c r="F236" s="97">
        <v>1334.26</v>
      </c>
      <c r="G236" s="97">
        <v>12214.868092484918</v>
      </c>
      <c r="H236" s="93"/>
      <c r="I236" s="95">
        <f t="shared" si="21"/>
        <v>6335034.5109777721</v>
      </c>
      <c r="J236" s="95">
        <f t="shared" si="22"/>
        <v>6378206.4029323608</v>
      </c>
      <c r="K236" s="93"/>
      <c r="L236" s="96">
        <f t="shared" si="24"/>
        <v>-2.10721988988108E-2</v>
      </c>
      <c r="M236" s="96">
        <f t="shared" si="25"/>
        <v>-89.219299748808226</v>
      </c>
      <c r="N236" s="95">
        <f t="shared" si="23"/>
        <v>12022.843662748734</v>
      </c>
      <c r="O236" s="93"/>
      <c r="P236" s="93"/>
      <c r="Q236" s="52">
        <v>10221359.800000001</v>
      </c>
      <c r="R236" s="52">
        <v>925542.69</v>
      </c>
      <c r="S236" s="93"/>
      <c r="T236" s="104"/>
      <c r="U236" s="104"/>
      <c r="V236" s="93"/>
      <c r="W236" s="100">
        <f>ABS(Q236-GNL!P233)</f>
        <v>3.5570641979575157E-2</v>
      </c>
      <c r="X236" s="100">
        <f>ABS(R236-GNL!Q233)</f>
        <v>6.5448909299448133E-2</v>
      </c>
    </row>
    <row r="237" spans="1:24" x14ac:dyDescent="0.2">
      <c r="A237" s="99">
        <v>17497</v>
      </c>
      <c r="B237" s="99">
        <v>65.739999999999995</v>
      </c>
      <c r="C237" s="99">
        <v>78.05</v>
      </c>
      <c r="D237" s="102">
        <f t="shared" si="20"/>
        <v>77</v>
      </c>
      <c r="E237" s="97">
        <v>-7625.51</v>
      </c>
      <c r="F237" s="97">
        <v>1420.58</v>
      </c>
      <c r="G237" s="97">
        <v>12255.057494067745</v>
      </c>
      <c r="H237" s="93"/>
      <c r="I237" s="95">
        <f t="shared" si="21"/>
        <v>6335034.5109401951</v>
      </c>
      <c r="J237" s="95">
        <f t="shared" si="22"/>
        <v>6378206.4029197497</v>
      </c>
      <c r="K237" s="93"/>
      <c r="L237" s="96">
        <f t="shared" si="24"/>
        <v>-2.1021200054059375E-2</v>
      </c>
      <c r="M237" s="96">
        <f t="shared" si="25"/>
        <v>-89.21906340159444</v>
      </c>
      <c r="N237" s="95">
        <f t="shared" si="23"/>
        <v>12063.032983952759</v>
      </c>
      <c r="O237" s="93"/>
      <c r="P237" s="93"/>
      <c r="Q237" s="52">
        <v>10221376.720000001</v>
      </c>
      <c r="R237" s="52">
        <v>925629.35</v>
      </c>
      <c r="S237" s="93"/>
      <c r="T237" s="104"/>
      <c r="U237" s="104"/>
      <c r="V237" s="93"/>
      <c r="W237" s="100">
        <f>ABS(Q237-GNL!P234)</f>
        <v>3.7671685218811035E-2</v>
      </c>
      <c r="X237" s="100">
        <f>ABS(R237-GNL!Q234)</f>
        <v>6.4572469680570066E-2</v>
      </c>
    </row>
    <row r="238" spans="1:24" x14ac:dyDescent="0.2">
      <c r="A238" s="99">
        <v>17594</v>
      </c>
      <c r="B238" s="99">
        <v>66.790000000000006</v>
      </c>
      <c r="C238" s="99">
        <v>75.69</v>
      </c>
      <c r="D238" s="102">
        <f t="shared" si="20"/>
        <v>74.64</v>
      </c>
      <c r="E238" s="97">
        <v>-7603.75</v>
      </c>
      <c r="F238" s="97">
        <v>1506.66</v>
      </c>
      <c r="G238" s="97">
        <v>12294.104757584497</v>
      </c>
      <c r="H238" s="93"/>
      <c r="I238" s="95">
        <f t="shared" si="21"/>
        <v>6335034.5108981347</v>
      </c>
      <c r="J238" s="95">
        <f t="shared" si="22"/>
        <v>6378206.4029056346</v>
      </c>
      <c r="K238" s="93"/>
      <c r="L238" s="96">
        <f t="shared" si="24"/>
        <v>-2.0961214385854056E-2</v>
      </c>
      <c r="M238" s="96">
        <f t="shared" si="25"/>
        <v>-89.218827711509221</v>
      </c>
      <c r="N238" s="95">
        <f t="shared" si="23"/>
        <v>12102.080169374984</v>
      </c>
      <c r="O238" s="93"/>
      <c r="P238" s="93"/>
      <c r="Q238" s="52">
        <v>10221396.9</v>
      </c>
      <c r="R238" s="52">
        <v>925715.83</v>
      </c>
      <c r="S238" s="93"/>
      <c r="T238" s="104"/>
      <c r="U238" s="104"/>
      <c r="V238" s="93"/>
      <c r="W238" s="100">
        <f>ABS(Q238-GNL!P235)</f>
        <v>3.8030948489904404E-2</v>
      </c>
      <c r="X238" s="100">
        <f>ABS(R238-GNL!Q235)</f>
        <v>6.3749758759513497E-2</v>
      </c>
    </row>
    <row r="239" spans="1:24" x14ac:dyDescent="0.2">
      <c r="A239" s="99">
        <v>17690</v>
      </c>
      <c r="B239" s="99">
        <v>68.010000000000005</v>
      </c>
      <c r="C239" s="99">
        <v>72.87</v>
      </c>
      <c r="D239" s="102">
        <f t="shared" si="20"/>
        <v>71.820000000000007</v>
      </c>
      <c r="E239" s="97">
        <v>-7578.17</v>
      </c>
      <c r="F239" s="97">
        <v>1591.5</v>
      </c>
      <c r="G239" s="97">
        <v>12331.00276018546</v>
      </c>
      <c r="H239" s="93"/>
      <c r="I239" s="95">
        <f t="shared" si="21"/>
        <v>6335034.5108487941</v>
      </c>
      <c r="J239" s="95">
        <f t="shared" si="22"/>
        <v>6378206.4028890748</v>
      </c>
      <c r="K239" s="93"/>
      <c r="L239" s="96">
        <f t="shared" si="24"/>
        <v>-2.0890698145380526E-2</v>
      </c>
      <c r="M239" s="96">
        <f t="shared" si="25"/>
        <v>-89.218595416587945</v>
      </c>
      <c r="N239" s="95">
        <f t="shared" si="23"/>
        <v>12138.978098179941</v>
      </c>
      <c r="O239" s="93"/>
      <c r="P239" s="93"/>
      <c r="Q239" s="52">
        <v>10221420.93</v>
      </c>
      <c r="R239" s="52">
        <v>925801.14</v>
      </c>
      <c r="S239" s="93"/>
      <c r="T239" s="104"/>
      <c r="U239" s="104"/>
      <c r="V239" s="93"/>
      <c r="W239" s="100">
        <f>ABS(Q239-GNL!P236)</f>
        <v>4.5245062559843063E-2</v>
      </c>
      <c r="X239" s="100">
        <f>ABS(R239-GNL!Q236)</f>
        <v>6.7470886162482202E-2</v>
      </c>
    </row>
    <row r="240" spans="1:24" x14ac:dyDescent="0.2">
      <c r="A240" s="99">
        <v>17786</v>
      </c>
      <c r="B240" s="99">
        <v>69.260000000000005</v>
      </c>
      <c r="C240" s="99">
        <v>70.42</v>
      </c>
      <c r="D240" s="102">
        <f t="shared" si="20"/>
        <v>69.37</v>
      </c>
      <c r="E240" s="97">
        <v>-7548.46</v>
      </c>
      <c r="F240" s="97">
        <v>1675.81</v>
      </c>
      <c r="G240" s="97">
        <v>12365.98025366703</v>
      </c>
      <c r="H240" s="93"/>
      <c r="I240" s="95">
        <f t="shared" si="21"/>
        <v>6335034.5107909702</v>
      </c>
      <c r="J240" s="95">
        <f t="shared" si="22"/>
        <v>6378206.4028696697</v>
      </c>
      <c r="K240" s="93"/>
      <c r="L240" s="96">
        <f t="shared" si="24"/>
        <v>-2.0808796757402118E-2</v>
      </c>
      <c r="M240" s="96">
        <f t="shared" si="25"/>
        <v>-89.218364572825521</v>
      </c>
      <c r="N240" s="95">
        <f t="shared" si="23"/>
        <v>12173.955521706524</v>
      </c>
      <c r="O240" s="93"/>
      <c r="P240" s="93"/>
      <c r="Q240" s="52">
        <v>10221449.1</v>
      </c>
      <c r="R240" s="52">
        <v>925886</v>
      </c>
      <c r="S240" s="93"/>
      <c r="T240" s="104"/>
      <c r="U240" s="104"/>
      <c r="V240" s="93"/>
      <c r="W240" s="100">
        <f>ABS(Q240-GNL!P237)</f>
        <v>5.2285274490714073E-2</v>
      </c>
      <c r="X240" s="100">
        <f>ABS(R240-GNL!Q237)</f>
        <v>6.5071254270151258E-2</v>
      </c>
    </row>
    <row r="241" spans="1:24" x14ac:dyDescent="0.2">
      <c r="A241" s="99">
        <v>17882</v>
      </c>
      <c r="B241" s="99">
        <v>70.39</v>
      </c>
      <c r="C241" s="99">
        <v>67.86</v>
      </c>
      <c r="D241" s="102">
        <f t="shared" si="20"/>
        <v>66.81</v>
      </c>
      <c r="E241" s="97">
        <v>-7514.84</v>
      </c>
      <c r="F241" s="97">
        <v>1759.4</v>
      </c>
      <c r="G241" s="97">
        <v>12399.093883134918</v>
      </c>
      <c r="H241" s="93"/>
      <c r="I241" s="95">
        <f t="shared" si="21"/>
        <v>6335034.5107240565</v>
      </c>
      <c r="J241" s="95">
        <f t="shared" si="22"/>
        <v>6378206.4028472127</v>
      </c>
      <c r="K241" s="93"/>
      <c r="L241" s="96">
        <f t="shared" si="24"/>
        <v>-2.0716116694666904E-2</v>
      </c>
      <c r="M241" s="96">
        <f t="shared" si="25"/>
        <v>-89.218135700448698</v>
      </c>
      <c r="N241" s="95">
        <f t="shared" si="23"/>
        <v>12207.069084947152</v>
      </c>
      <c r="O241" s="93"/>
      <c r="P241" s="93"/>
      <c r="Q241" s="52">
        <v>10221481.199999999</v>
      </c>
      <c r="R241" s="52">
        <v>925970.2</v>
      </c>
      <c r="S241" s="93"/>
      <c r="T241" s="104"/>
      <c r="U241" s="104"/>
      <c r="V241" s="93"/>
      <c r="W241" s="100">
        <f>ABS(Q241-GNL!P238)</f>
        <v>5.6516868993639946E-2</v>
      </c>
      <c r="X241" s="100">
        <f>ABS(R241-GNL!Q238)</f>
        <v>7.1484106592833996E-2</v>
      </c>
    </row>
    <row r="242" spans="1:24" x14ac:dyDescent="0.2">
      <c r="A242" s="99">
        <v>17978</v>
      </c>
      <c r="B242" s="99">
        <v>71.650000000000006</v>
      </c>
      <c r="C242" s="99">
        <v>65.5</v>
      </c>
      <c r="D242" s="102">
        <f t="shared" si="20"/>
        <v>64.45</v>
      </c>
      <c r="E242" s="97">
        <v>-7477.38</v>
      </c>
      <c r="F242" s="97">
        <v>1842.08</v>
      </c>
      <c r="G242" s="97">
        <v>12430.320058176116</v>
      </c>
      <c r="H242" s="93"/>
      <c r="I242" s="95">
        <f t="shared" si="21"/>
        <v>6335034.5106486529</v>
      </c>
      <c r="J242" s="95">
        <f t="shared" si="22"/>
        <v>6378206.4028219068</v>
      </c>
      <c r="K242" s="93"/>
      <c r="L242" s="96">
        <f t="shared" si="24"/>
        <v>-2.0612850925776291E-2</v>
      </c>
      <c r="M242" s="96">
        <f t="shared" si="25"/>
        <v>-89.217909319684196</v>
      </c>
      <c r="N242" s="95">
        <f t="shared" si="23"/>
        <v>12238.295197536001</v>
      </c>
      <c r="O242" s="93"/>
      <c r="P242" s="93"/>
      <c r="Q242" s="52">
        <v>10221517.15</v>
      </c>
      <c r="R242" s="52">
        <v>926053.57</v>
      </c>
      <c r="S242" s="93"/>
      <c r="T242" s="104"/>
      <c r="U242" s="104"/>
      <c r="V242" s="93"/>
      <c r="W242" s="100">
        <f>ABS(Q242-GNL!P239)</f>
        <v>6.0146104544401169E-2</v>
      </c>
      <c r="X242" s="100">
        <f>ABS(R242-GNL!Q239)</f>
        <v>7.0023535052314401E-2</v>
      </c>
    </row>
    <row r="243" spans="1:24" x14ac:dyDescent="0.2">
      <c r="A243" s="99">
        <v>18074</v>
      </c>
      <c r="B243" s="99">
        <v>71.12</v>
      </c>
      <c r="C243" s="99">
        <v>62.38</v>
      </c>
      <c r="D243" s="102">
        <f t="shared" si="20"/>
        <v>61.330000000000005</v>
      </c>
      <c r="E243" s="97">
        <v>-7435.93</v>
      </c>
      <c r="F243" s="97">
        <v>1923.06</v>
      </c>
      <c r="G243" s="97">
        <v>12460.970663920159</v>
      </c>
      <c r="H243" s="93"/>
      <c r="I243" s="95">
        <f t="shared" si="21"/>
        <v>6335034.5105650323</v>
      </c>
      <c r="J243" s="95">
        <f t="shared" si="22"/>
        <v>6378206.4027938433</v>
      </c>
      <c r="K243" s="93"/>
      <c r="L243" s="96">
        <f t="shared" si="24"/>
        <v>-2.0498585946583221E-2</v>
      </c>
      <c r="M243" s="96">
        <f t="shared" si="25"/>
        <v>-89.217687593579967</v>
      </c>
      <c r="N243" s="95">
        <f t="shared" si="23"/>
        <v>12268.945741978832</v>
      </c>
      <c r="O243" s="93"/>
      <c r="P243" s="93"/>
      <c r="Q243" s="52">
        <v>10221557.119999999</v>
      </c>
      <c r="R243" s="52">
        <v>926135.3</v>
      </c>
      <c r="S243" s="93"/>
      <c r="T243" s="104"/>
      <c r="U243" s="104"/>
      <c r="V243" s="93"/>
      <c r="W243" s="100">
        <f>ABS(Q243-GNL!P240)</f>
        <v>6.4640622586011887E-2</v>
      </c>
      <c r="X243" s="100">
        <f>ABS(R243-GNL!Q240)</f>
        <v>7.2920061880722642E-2</v>
      </c>
    </row>
    <row r="244" spans="1:24" x14ac:dyDescent="0.2">
      <c r="A244" s="99">
        <v>18171</v>
      </c>
      <c r="B244" s="99">
        <v>68.849999999999994</v>
      </c>
      <c r="C244" s="99">
        <v>61.45</v>
      </c>
      <c r="D244" s="102">
        <f t="shared" si="20"/>
        <v>60.400000000000006</v>
      </c>
      <c r="E244" s="97">
        <v>-7391.56</v>
      </c>
      <c r="F244" s="97">
        <v>2002.66</v>
      </c>
      <c r="G244" s="97">
        <v>12494.16895192945</v>
      </c>
      <c r="H244" s="93"/>
      <c r="I244" s="95">
        <f t="shared" si="21"/>
        <v>6335034.5104729943</v>
      </c>
      <c r="J244" s="95">
        <f t="shared" si="22"/>
        <v>6378206.4027629551</v>
      </c>
      <c r="K244" s="93"/>
      <c r="L244" s="96">
        <f t="shared" si="24"/>
        <v>-2.0376271420000105E-2</v>
      </c>
      <c r="M244" s="96">
        <f t="shared" si="25"/>
        <v>-89.217469645964698</v>
      </c>
      <c r="N244" s="95">
        <f t="shared" si="23"/>
        <v>12302.143963591549</v>
      </c>
      <c r="O244" s="93"/>
      <c r="P244" s="93"/>
      <c r="Q244" s="52">
        <v>10221600.029999999</v>
      </c>
      <c r="R244" s="52">
        <v>926215.72</v>
      </c>
      <c r="S244" s="93"/>
      <c r="T244" s="104"/>
      <c r="U244" s="104"/>
      <c r="V244" s="93"/>
      <c r="W244" s="100">
        <f>ABS(Q244-GNL!P241)</f>
        <v>6.7080646753311157E-2</v>
      </c>
      <c r="X244" s="100">
        <f>ABS(R244-GNL!Q241)</f>
        <v>7.3638020432554185E-2</v>
      </c>
    </row>
    <row r="245" spans="1:24" x14ac:dyDescent="0.2">
      <c r="A245" s="99">
        <v>18267</v>
      </c>
      <c r="B245" s="99">
        <v>67.02</v>
      </c>
      <c r="C245" s="99">
        <v>61.89</v>
      </c>
      <c r="D245" s="102">
        <f t="shared" si="20"/>
        <v>60.84</v>
      </c>
      <c r="E245" s="97">
        <v>-7347.91</v>
      </c>
      <c r="F245" s="97">
        <v>2080.1799999999998</v>
      </c>
      <c r="G245" s="97">
        <v>12530.230759326967</v>
      </c>
      <c r="H245" s="93"/>
      <c r="I245" s="95">
        <f t="shared" si="21"/>
        <v>6335034.5103750378</v>
      </c>
      <c r="J245" s="95">
        <f t="shared" si="22"/>
        <v>6378206.4027300803</v>
      </c>
      <c r="K245" s="93"/>
      <c r="L245" s="96">
        <f t="shared" si="24"/>
        <v>-2.0255941713319112E-2</v>
      </c>
      <c r="M245" s="96">
        <f t="shared" si="25"/>
        <v>-89.217257393463157</v>
      </c>
      <c r="N245" s="95">
        <f t="shared" si="23"/>
        <v>12338.205698865449</v>
      </c>
      <c r="O245" s="93"/>
      <c r="P245" s="93"/>
      <c r="Q245" s="52">
        <v>10221642.27</v>
      </c>
      <c r="R245" s="52">
        <v>926294.04</v>
      </c>
      <c r="S245" s="93"/>
      <c r="T245" s="104"/>
      <c r="U245" s="104"/>
      <c r="V245" s="93"/>
      <c r="W245" s="100">
        <f>ABS(Q245-GNL!P242)</f>
        <v>7.9141737893223763E-2</v>
      </c>
      <c r="X245" s="100">
        <f>ABS(R245-GNL!Q242)</f>
        <v>7.6491897110827267E-2</v>
      </c>
    </row>
    <row r="246" spans="1:24" x14ac:dyDescent="0.2">
      <c r="A246" s="99">
        <v>18363</v>
      </c>
      <c r="B246" s="99">
        <v>64.69</v>
      </c>
      <c r="C246" s="99">
        <v>62.47</v>
      </c>
      <c r="D246" s="102">
        <f t="shared" si="20"/>
        <v>61.42</v>
      </c>
      <c r="E246" s="97">
        <v>-7305.62</v>
      </c>
      <c r="F246" s="97">
        <v>2156.89</v>
      </c>
      <c r="G246" s="97">
        <v>12569.496870929253</v>
      </c>
      <c r="H246" s="93"/>
      <c r="I246" s="95">
        <f t="shared" si="21"/>
        <v>6335034.5102792429</v>
      </c>
      <c r="J246" s="95">
        <f t="shared" si="22"/>
        <v>6378206.402697931</v>
      </c>
      <c r="K246" s="93"/>
      <c r="L246" s="96">
        <f t="shared" si="24"/>
        <v>-2.0139361110899499E-2</v>
      </c>
      <c r="M246" s="96">
        <f t="shared" si="25"/>
        <v>-89.217047358770415</v>
      </c>
      <c r="N246" s="95">
        <f t="shared" si="23"/>
        <v>12377.471731935513</v>
      </c>
      <c r="O246" s="93"/>
      <c r="P246" s="93"/>
      <c r="Q246" s="52">
        <v>10221683.16</v>
      </c>
      <c r="R246" s="52">
        <v>926371.52</v>
      </c>
      <c r="S246" s="93"/>
      <c r="T246" s="104"/>
      <c r="U246" s="104"/>
      <c r="V246" s="93"/>
      <c r="W246" s="100">
        <f>ABS(Q246-GNL!P243)</f>
        <v>7.7905727550387383E-2</v>
      </c>
      <c r="X246" s="100">
        <f>ABS(R246-GNL!Q243)</f>
        <v>7.938253867905587E-2</v>
      </c>
    </row>
    <row r="247" spans="1:24" x14ac:dyDescent="0.2">
      <c r="A247" s="99">
        <v>18457</v>
      </c>
      <c r="B247" s="99">
        <v>61.75</v>
      </c>
      <c r="C247" s="99">
        <v>62.95</v>
      </c>
      <c r="D247" s="102">
        <f t="shared" si="20"/>
        <v>61.900000000000006</v>
      </c>
      <c r="E247" s="97">
        <v>-7265.78</v>
      </c>
      <c r="F247" s="97">
        <v>2230.7399999999998</v>
      </c>
      <c r="G247" s="97">
        <v>12611.845620532189</v>
      </c>
      <c r="H247" s="93"/>
      <c r="I247" s="95">
        <f t="shared" si="21"/>
        <v>6335034.510186974</v>
      </c>
      <c r="J247" s="95">
        <f t="shared" si="22"/>
        <v>6378206.4026669646</v>
      </c>
      <c r="K247" s="93"/>
      <c r="L247" s="96">
        <f t="shared" si="24"/>
        <v>-2.0029534409540667E-2</v>
      </c>
      <c r="M247" s="96">
        <f t="shared" si="25"/>
        <v>-89.216845154858959</v>
      </c>
      <c r="N247" s="95">
        <f t="shared" si="23"/>
        <v>12419.820396840949</v>
      </c>
      <c r="O247" s="93"/>
      <c r="P247" s="93"/>
      <c r="Q247" s="52">
        <v>10221721.65</v>
      </c>
      <c r="R247" s="52">
        <v>926446.09</v>
      </c>
      <c r="S247" s="93"/>
      <c r="T247" s="104"/>
      <c r="U247" s="104"/>
      <c r="V247" s="93"/>
      <c r="W247" s="100">
        <f>ABS(Q247-GNL!P244)</f>
        <v>8.521130308508873E-2</v>
      </c>
      <c r="X247" s="100">
        <f>ABS(R247-GNL!Q244)</f>
        <v>9.0246214997023344E-2</v>
      </c>
    </row>
    <row r="248" spans="1:24" x14ac:dyDescent="0.2">
      <c r="A248" s="99">
        <v>18545</v>
      </c>
      <c r="B248" s="99">
        <v>58.84</v>
      </c>
      <c r="C248" s="99">
        <v>63.02</v>
      </c>
      <c r="D248" s="102">
        <f t="shared" si="20"/>
        <v>61.970000000000006</v>
      </c>
      <c r="E248" s="97">
        <v>-7229.82</v>
      </c>
      <c r="F248" s="97">
        <v>2298.1799999999998</v>
      </c>
      <c r="G248" s="97">
        <v>12655.447971138217</v>
      </c>
      <c r="H248" s="93"/>
      <c r="I248" s="95">
        <f t="shared" si="21"/>
        <v>6335034.510100537</v>
      </c>
      <c r="J248" s="95">
        <f t="shared" si="22"/>
        <v>6378206.4026379567</v>
      </c>
      <c r="K248" s="93"/>
      <c r="L248" s="96">
        <f t="shared" si="24"/>
        <v>-1.9930403682107998E-2</v>
      </c>
      <c r="M248" s="96">
        <f t="shared" si="25"/>
        <v>-89.216660501754291</v>
      </c>
      <c r="N248" s="95">
        <f t="shared" si="23"/>
        <v>12463.422660242277</v>
      </c>
      <c r="O248" s="93"/>
      <c r="P248" s="93"/>
      <c r="Q248" s="52">
        <v>10221756.380000001</v>
      </c>
      <c r="R248" s="52">
        <v>926514.19</v>
      </c>
      <c r="S248" s="93"/>
      <c r="T248" s="104"/>
      <c r="U248" s="104"/>
      <c r="V248" s="93"/>
      <c r="W248" s="100">
        <f>ABS(Q248-GNL!P245)</f>
        <v>9.2945000156760216E-2</v>
      </c>
      <c r="X248" s="100">
        <f>ABS(R248-GNL!Q245)</f>
        <v>9.0959257096983492E-2</v>
      </c>
    </row>
    <row r="249" spans="1:24" x14ac:dyDescent="0.2">
      <c r="A249" s="99">
        <v>18587</v>
      </c>
      <c r="B249" s="99">
        <v>58.84</v>
      </c>
      <c r="C249" s="99">
        <v>63.02</v>
      </c>
      <c r="D249" s="102">
        <f t="shared" si="20"/>
        <v>61.970000000000006</v>
      </c>
      <c r="E249" s="97">
        <v>-7212.93</v>
      </c>
      <c r="F249" s="97">
        <v>2329.9</v>
      </c>
      <c r="G249" s="97">
        <v>12677.180019641803</v>
      </c>
      <c r="H249" s="93"/>
      <c r="I249" s="95">
        <f t="shared" si="21"/>
        <v>6335034.5100229252</v>
      </c>
      <c r="J249" s="95">
        <f t="shared" si="22"/>
        <v>6378206.4026119094</v>
      </c>
      <c r="K249" s="93"/>
      <c r="L249" s="96">
        <f t="shared" si="24"/>
        <v>-1.9883843115190362E-2</v>
      </c>
      <c r="M249" s="96">
        <f t="shared" si="25"/>
        <v>-89.216573651272725</v>
      </c>
      <c r="N249" s="95">
        <f t="shared" si="23"/>
        <v>12485.154665281765</v>
      </c>
      <c r="O249" s="93"/>
      <c r="P249" s="93"/>
      <c r="Q249" s="52">
        <v>10221772.689999999</v>
      </c>
      <c r="R249" s="52">
        <v>926546.22</v>
      </c>
      <c r="S249" s="93"/>
      <c r="T249" s="48">
        <v>1.0001844</v>
      </c>
      <c r="U249" s="48">
        <v>-1.0458400000000001</v>
      </c>
      <c r="V249" s="93"/>
      <c r="W249" s="100">
        <f>ABS(Q249-GNL!P246)</f>
        <v>9.4455134123563766E-2</v>
      </c>
      <c r="X249" s="100">
        <f>ABS(R249-GNL!Q246)</f>
        <v>9.5811980194412172E-2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B8D1-A4F0-4128-BC52-59AA05AF06CB}">
  <dimension ref="A1:U227"/>
  <sheetViews>
    <sheetView workbookViewId="0">
      <pane ySplit="14" topLeftCell="A15" activePane="bottomLeft" state="frozen"/>
      <selection pane="bottomLeft" sqref="A1:XFD7"/>
    </sheetView>
  </sheetViews>
  <sheetFormatPr defaultColWidth="9.109375" defaultRowHeight="10.199999999999999" x14ac:dyDescent="0.2"/>
  <cols>
    <col min="1" max="9" width="9.109375" style="1"/>
    <col min="10" max="10" width="13.6640625" style="1" customWidth="1"/>
    <col min="11" max="13" width="9.109375" style="1"/>
    <col min="14" max="14" width="4.33203125" style="1" customWidth="1"/>
    <col min="15" max="16384" width="9.109375" style="1"/>
  </cols>
  <sheetData>
    <row r="1" spans="1:21" x14ac:dyDescent="0.2">
      <c r="A1" s="1" t="s">
        <v>120</v>
      </c>
    </row>
    <row r="2" spans="1:21" x14ac:dyDescent="0.2">
      <c r="A2" s="1" t="s">
        <v>154</v>
      </c>
    </row>
    <row r="3" spans="1:21" x14ac:dyDescent="0.2">
      <c r="A3" s="1" t="s">
        <v>16</v>
      </c>
      <c r="U3" s="29"/>
    </row>
    <row r="4" spans="1:21" x14ac:dyDescent="0.2">
      <c r="U4" s="29"/>
    </row>
    <row r="5" spans="1:21" x14ac:dyDescent="0.2">
      <c r="A5" s="1" t="s">
        <v>102</v>
      </c>
    </row>
    <row r="6" spans="1:21" x14ac:dyDescent="0.2">
      <c r="A6" s="1" t="s">
        <v>103</v>
      </c>
    </row>
    <row r="9" spans="1:21" x14ac:dyDescent="0.2">
      <c r="B9" s="1" t="s">
        <v>39</v>
      </c>
      <c r="E9" s="94">
        <v>-1.05</v>
      </c>
      <c r="F9" s="1" t="s">
        <v>25</v>
      </c>
      <c r="G9" s="1" t="s">
        <v>182</v>
      </c>
      <c r="K9" s="1" t="s">
        <v>122</v>
      </c>
      <c r="O9" s="1" t="s">
        <v>121</v>
      </c>
    </row>
    <row r="10" spans="1:21" x14ac:dyDescent="0.2">
      <c r="K10" s="1" t="s">
        <v>117</v>
      </c>
      <c r="O10" s="1" t="s">
        <v>123</v>
      </c>
    </row>
    <row r="11" spans="1:21" x14ac:dyDescent="0.2">
      <c r="B11" s="1" t="s">
        <v>126</v>
      </c>
      <c r="F11" s="1" t="s">
        <v>126</v>
      </c>
    </row>
    <row r="12" spans="1:21" x14ac:dyDescent="0.2">
      <c r="B12" s="17" t="s">
        <v>106</v>
      </c>
      <c r="C12" s="18"/>
      <c r="K12" s="13" t="s">
        <v>127</v>
      </c>
      <c r="L12" s="13"/>
      <c r="M12" s="20" t="s">
        <v>15</v>
      </c>
      <c r="O12" s="13" t="s">
        <v>128</v>
      </c>
      <c r="P12" s="13"/>
      <c r="Q12" s="20" t="s">
        <v>15</v>
      </c>
    </row>
    <row r="13" spans="1:21" x14ac:dyDescent="0.2">
      <c r="A13" s="98" t="s">
        <v>181</v>
      </c>
      <c r="B13" s="29" t="s">
        <v>91</v>
      </c>
      <c r="F13" s="29" t="s">
        <v>90</v>
      </c>
      <c r="K13" s="29" t="s">
        <v>124</v>
      </c>
      <c r="M13" s="47">
        <f>MAX(M15:M131)</f>
        <v>8.5699489003206088E-3</v>
      </c>
      <c r="O13" s="29" t="s">
        <v>125</v>
      </c>
      <c r="Q13" s="47">
        <f>MAX(Q15:Q131)</f>
        <v>8.5699489002935697E-3</v>
      </c>
    </row>
    <row r="14" spans="1:21" x14ac:dyDescent="0.2">
      <c r="A14" s="30" t="s">
        <v>86</v>
      </c>
      <c r="B14" s="11" t="s">
        <v>104</v>
      </c>
      <c r="C14" s="11" t="s">
        <v>105</v>
      </c>
      <c r="E14" s="30" t="s">
        <v>84</v>
      </c>
      <c r="F14" s="11" t="s">
        <v>104</v>
      </c>
      <c r="G14" s="11" t="s">
        <v>105</v>
      </c>
      <c r="J14" s="11" t="s">
        <v>110</v>
      </c>
      <c r="K14" s="24" t="s">
        <v>118</v>
      </c>
      <c r="L14" s="24" t="s">
        <v>119</v>
      </c>
      <c r="M14" s="1" t="s">
        <v>57</v>
      </c>
      <c r="O14" s="24" t="s">
        <v>112</v>
      </c>
      <c r="P14" s="24" t="s">
        <v>111</v>
      </c>
      <c r="Q14" s="1" t="s">
        <v>57</v>
      </c>
    </row>
    <row r="15" spans="1:21" x14ac:dyDescent="0.2">
      <c r="A15" s="32">
        <v>55.47</v>
      </c>
      <c r="B15" s="27">
        <v>0</v>
      </c>
      <c r="C15" s="27">
        <v>0</v>
      </c>
      <c r="E15" s="43">
        <v>54.42</v>
      </c>
      <c r="F15" s="27">
        <v>0</v>
      </c>
      <c r="G15" s="27">
        <v>0</v>
      </c>
      <c r="J15" s="43">
        <f>E15-A15</f>
        <v>-1.0499999999999972</v>
      </c>
      <c r="K15" s="54">
        <f t="shared" ref="K15:K46" si="0">SIN(RADIANS(J15))*G15 + COS(RADIANS(J15))*F15</f>
        <v>0</v>
      </c>
      <c r="L15" s="54">
        <f t="shared" ref="L15:L76" si="1">COS(RADIANS(J15))*G15 + -SIN(RADIANS(J15))*F15</f>
        <v>0</v>
      </c>
      <c r="M15" s="47">
        <f>SQRT(SUMSQ(K15-B15,L15-C15))</f>
        <v>0</v>
      </c>
      <c r="N15" s="47"/>
      <c r="O15" s="54">
        <f>SIN(RADIANS(-J15))*C15 + COS(RADIANS(-J15))*B15</f>
        <v>0</v>
      </c>
      <c r="P15" s="54">
        <f>COS(RADIANS(-J15))*C15  + -SIN(RADIANS(-J15))*B15</f>
        <v>0</v>
      </c>
      <c r="Q15" s="47">
        <f>SQRT(SUMSQ(O15-F15,P15-G15))</f>
        <v>0</v>
      </c>
    </row>
    <row r="16" spans="1:21" x14ac:dyDescent="0.2">
      <c r="A16" s="32">
        <v>55.47</v>
      </c>
      <c r="B16" s="28">
        <v>0</v>
      </c>
      <c r="C16" s="28">
        <v>0</v>
      </c>
      <c r="E16" s="43">
        <v>54.42</v>
      </c>
      <c r="F16" s="28">
        <v>0</v>
      </c>
      <c r="G16" s="28">
        <v>0</v>
      </c>
      <c r="J16" s="43">
        <f t="shared" ref="J16:J23" si="2">E16-A16</f>
        <v>-1.0499999999999972</v>
      </c>
      <c r="K16" s="54">
        <f t="shared" si="0"/>
        <v>0</v>
      </c>
      <c r="L16" s="54">
        <f t="shared" si="1"/>
        <v>0</v>
      </c>
      <c r="M16" s="47">
        <f t="shared" ref="M16:M79" si="3">SQRT(SUMSQ(K16-B16,L16-C16))</f>
        <v>0</v>
      </c>
      <c r="N16" s="47"/>
      <c r="O16" s="54">
        <f t="shared" ref="O16:O79" si="4">SIN(RADIANS(-J16))*C16 + COS(RADIANS(-J16))*B16</f>
        <v>0</v>
      </c>
      <c r="P16" s="54">
        <f t="shared" ref="P16:P79" si="5">COS(RADIANS(-J16))*C16  + -SIN(RADIANS(-J16))*B16</f>
        <v>0</v>
      </c>
      <c r="Q16" s="47">
        <f t="shared" ref="Q16:Q79" si="6">SQRT(SUMSQ(O16-F16,P16-G16))</f>
        <v>0</v>
      </c>
    </row>
    <row r="17" spans="1:17" x14ac:dyDescent="0.2">
      <c r="A17" s="32">
        <v>55.47</v>
      </c>
      <c r="B17" s="28">
        <v>5.3372792574907055E-2</v>
      </c>
      <c r="C17" s="28">
        <v>7.7570852493516751E-2</v>
      </c>
      <c r="E17" s="43">
        <v>54.42</v>
      </c>
      <c r="F17" s="28">
        <v>0.05</v>
      </c>
      <c r="G17" s="28">
        <v>0.08</v>
      </c>
      <c r="J17" s="43">
        <f t="shared" si="2"/>
        <v>-1.0499999999999972</v>
      </c>
      <c r="K17" s="54">
        <f t="shared" si="0"/>
        <v>4.8525609705653325E-2</v>
      </c>
      <c r="L17" s="54">
        <f t="shared" si="1"/>
        <v>8.0902813317551614E-2</v>
      </c>
      <c r="M17" s="47">
        <f t="shared" si="3"/>
        <v>5.8819337552279442E-3</v>
      </c>
      <c r="N17" s="47"/>
      <c r="O17" s="54">
        <f t="shared" si="4"/>
        <v>5.4785310997861277E-2</v>
      </c>
      <c r="P17" s="54">
        <f t="shared" si="5"/>
        <v>7.6579774370799825E-2</v>
      </c>
      <c r="Q17" s="47">
        <f t="shared" si="6"/>
        <v>5.8819337552279355E-3</v>
      </c>
    </row>
    <row r="18" spans="1:17" x14ac:dyDescent="0.2">
      <c r="A18" s="32">
        <v>56.8</v>
      </c>
      <c r="B18" s="28">
        <v>0.24201980916402804</v>
      </c>
      <c r="C18" s="28">
        <v>0.35817822029587448</v>
      </c>
      <c r="E18" s="43">
        <v>55.75</v>
      </c>
      <c r="F18" s="28">
        <v>0.25</v>
      </c>
      <c r="G18" s="28">
        <v>0.35</v>
      </c>
      <c r="J18" s="43">
        <f t="shared" si="2"/>
        <v>-1.0499999999999972</v>
      </c>
      <c r="K18" s="54">
        <f t="shared" si="0"/>
        <v>0.24354429509807174</v>
      </c>
      <c r="L18" s="54">
        <f t="shared" si="1"/>
        <v>0.3545224623704164</v>
      </c>
      <c r="M18" s="47">
        <f t="shared" si="3"/>
        <v>3.960886690205446E-3</v>
      </c>
      <c r="N18" s="47"/>
      <c r="O18" s="54">
        <f t="shared" si="4"/>
        <v>0.24854276156419244</v>
      </c>
      <c r="P18" s="54">
        <f t="shared" si="5"/>
        <v>0.35368308016663386</v>
      </c>
      <c r="Q18" s="47">
        <f t="shared" si="6"/>
        <v>3.9608866902054512E-3</v>
      </c>
    </row>
    <row r="19" spans="1:17" x14ac:dyDescent="0.2">
      <c r="A19" s="32">
        <v>66.83</v>
      </c>
      <c r="B19" s="28">
        <v>0.39841490870874025</v>
      </c>
      <c r="C19" s="28">
        <v>0.65407473007290307</v>
      </c>
      <c r="E19" s="43">
        <v>65.78</v>
      </c>
      <c r="F19" s="28">
        <v>0.41</v>
      </c>
      <c r="G19" s="28">
        <v>0.65</v>
      </c>
      <c r="J19" s="43">
        <f t="shared" si="2"/>
        <v>-1.0499999999999972</v>
      </c>
      <c r="K19" s="54">
        <f t="shared" si="0"/>
        <v>0.39801994917473382</v>
      </c>
      <c r="L19" s="54">
        <f t="shared" si="1"/>
        <v>0.65740407669784218</v>
      </c>
      <c r="M19" s="47">
        <f t="shared" si="3"/>
        <v>3.3526917517863199E-3</v>
      </c>
      <c r="N19" s="47"/>
      <c r="O19" s="54">
        <f t="shared" si="4"/>
        <v>0.41033388316562242</v>
      </c>
      <c r="P19" s="54">
        <f t="shared" si="5"/>
        <v>0.64666397481810922</v>
      </c>
      <c r="Q19" s="47">
        <f t="shared" si="6"/>
        <v>3.3526917517862583E-3</v>
      </c>
    </row>
    <row r="20" spans="1:17" x14ac:dyDescent="0.2">
      <c r="A20" s="32">
        <v>68.67</v>
      </c>
      <c r="B20" s="28">
        <v>0.53783781099925931</v>
      </c>
      <c r="C20" s="28">
        <v>0.9953322067603354</v>
      </c>
      <c r="E20" s="43">
        <v>67.62</v>
      </c>
      <c r="F20" s="28">
        <v>0.56000000000000005</v>
      </c>
      <c r="G20" s="28">
        <v>0.99</v>
      </c>
      <c r="J20" s="43">
        <f t="shared" si="2"/>
        <v>-1.0499999999999972</v>
      </c>
      <c r="K20" s="54">
        <f t="shared" si="0"/>
        <v>0.54176428515208352</v>
      </c>
      <c r="L20" s="54">
        <f t="shared" si="1"/>
        <v>1.0000957250851801</v>
      </c>
      <c r="M20" s="47">
        <f t="shared" si="3"/>
        <v>6.1731925374094408E-3</v>
      </c>
      <c r="N20" s="47"/>
      <c r="O20" s="54">
        <f t="shared" si="4"/>
        <v>0.55598689401714096</v>
      </c>
      <c r="P20" s="54">
        <f t="shared" si="5"/>
        <v>0.98530923391392533</v>
      </c>
      <c r="Q20" s="47">
        <f t="shared" si="6"/>
        <v>6.17319253740944E-3</v>
      </c>
    </row>
    <row r="21" spans="1:17" x14ac:dyDescent="0.2">
      <c r="A21" s="32">
        <v>70.62</v>
      </c>
      <c r="B21" s="28">
        <v>0.66985526245103855</v>
      </c>
      <c r="C21" s="28">
        <v>1.3511716096930138</v>
      </c>
      <c r="E21" s="43">
        <v>69.570000000000007</v>
      </c>
      <c r="F21" s="28">
        <v>0.69</v>
      </c>
      <c r="G21" s="28">
        <v>1.34</v>
      </c>
      <c r="J21" s="43">
        <f t="shared" si="2"/>
        <v>-1.0499999999999972</v>
      </c>
      <c r="K21" s="54">
        <f t="shared" si="0"/>
        <v>0.66532873012853544</v>
      </c>
      <c r="L21" s="54">
        <f t="shared" si="1"/>
        <v>1.3524191956880642</v>
      </c>
      <c r="M21" s="47">
        <f t="shared" si="3"/>
        <v>4.6953131611971828E-3</v>
      </c>
      <c r="N21" s="47"/>
      <c r="O21" s="54">
        <f t="shared" si="4"/>
        <v>0.69450291031910139</v>
      </c>
      <c r="P21" s="54">
        <f t="shared" si="5"/>
        <v>1.3386696750998948</v>
      </c>
      <c r="Q21" s="47">
        <f t="shared" si="6"/>
        <v>4.6953131611970718E-3</v>
      </c>
    </row>
    <row r="22" spans="1:17" x14ac:dyDescent="0.2">
      <c r="A22" s="32">
        <v>70.150000000000006</v>
      </c>
      <c r="B22" s="28">
        <v>0.7943205062172185</v>
      </c>
      <c r="C22" s="28">
        <v>1.7005278719880284</v>
      </c>
      <c r="E22" s="43">
        <v>69.100000000000009</v>
      </c>
      <c r="F22" s="28">
        <v>0.83</v>
      </c>
      <c r="G22" s="28">
        <v>1.69</v>
      </c>
      <c r="J22" s="43">
        <f t="shared" si="2"/>
        <v>-1.0499999999999972</v>
      </c>
      <c r="K22" s="54">
        <f t="shared" si="0"/>
        <v>0.79889149594845588</v>
      </c>
      <c r="L22" s="54">
        <f t="shared" si="1"/>
        <v>1.7049259156049092</v>
      </c>
      <c r="M22" s="47">
        <f t="shared" si="3"/>
        <v>6.3432432382074331E-3</v>
      </c>
      <c r="N22" s="47"/>
      <c r="O22" s="54">
        <f t="shared" si="4"/>
        <v>0.82534918396193258</v>
      </c>
      <c r="P22" s="54">
        <f t="shared" si="5"/>
        <v>1.685686457956723</v>
      </c>
      <c r="Q22" s="47">
        <f t="shared" si="6"/>
        <v>6.3432432382072986E-3</v>
      </c>
    </row>
    <row r="23" spans="1:17" x14ac:dyDescent="0.2">
      <c r="A23" s="33">
        <v>65.7</v>
      </c>
      <c r="B23" s="28">
        <v>0.92583005823955855</v>
      </c>
      <c r="C23" s="28">
        <v>2.0259294411808457</v>
      </c>
      <c r="E23" s="43">
        <v>64.650000000000006</v>
      </c>
      <c r="F23" s="28">
        <v>0.96</v>
      </c>
      <c r="G23" s="28">
        <v>2.0099999999999998</v>
      </c>
      <c r="J23" s="43">
        <f t="shared" si="2"/>
        <v>-1.0499999999999972</v>
      </c>
      <c r="K23" s="54">
        <f t="shared" si="0"/>
        <v>0.92300568886679102</v>
      </c>
      <c r="L23" s="54">
        <f t="shared" si="1"/>
        <v>2.0272544236773884</v>
      </c>
      <c r="M23" s="47">
        <f t="shared" si="3"/>
        <v>3.1197180914261649E-3</v>
      </c>
      <c r="N23" s="47"/>
      <c r="O23" s="54">
        <f t="shared" si="4"/>
        <v>0.96279961490358934</v>
      </c>
      <c r="P23" s="54">
        <f t="shared" si="5"/>
        <v>2.0086234836137655</v>
      </c>
      <c r="Q23" s="47">
        <f t="shared" si="6"/>
        <v>3.1197180914260794E-3</v>
      </c>
    </row>
    <row r="24" spans="1:17" x14ac:dyDescent="0.2">
      <c r="A24" s="33">
        <v>60.97</v>
      </c>
      <c r="B24" s="28">
        <v>1.0572582136735207</v>
      </c>
      <c r="C24" s="28">
        <v>2.2916552522639213</v>
      </c>
      <c r="E24" s="43">
        <v>59.92</v>
      </c>
      <c r="F24" s="28">
        <v>1.1000000000000001</v>
      </c>
      <c r="G24" s="28">
        <v>2.27</v>
      </c>
      <c r="J24" s="43">
        <f t="shared" ref="J24:J87" si="7">E24-A24</f>
        <v>-1.0499999999999972</v>
      </c>
      <c r="K24" s="54">
        <f t="shared" si="0"/>
        <v>1.0582176985123606</v>
      </c>
      <c r="L24" s="54">
        <f t="shared" si="1"/>
        <v>2.289776256003019</v>
      </c>
      <c r="M24" s="47">
        <f t="shared" si="3"/>
        <v>2.1097957494620938E-3</v>
      </c>
      <c r="N24" s="47"/>
      <c r="O24" s="54">
        <f t="shared" si="4"/>
        <v>1.0990751087512582</v>
      </c>
      <c r="P24" s="54">
        <f t="shared" si="5"/>
        <v>2.2718962632418656</v>
      </c>
      <c r="Q24" s="47">
        <f t="shared" si="6"/>
        <v>2.1097957494624077E-3</v>
      </c>
    </row>
    <row r="25" spans="1:17" x14ac:dyDescent="0.2">
      <c r="A25" s="33">
        <v>66.2</v>
      </c>
      <c r="B25" s="28">
        <v>1.1644413035346437</v>
      </c>
      <c r="C25" s="28">
        <v>2.5060899203768847</v>
      </c>
      <c r="E25" s="43">
        <v>65.150000000000006</v>
      </c>
      <c r="F25" s="28">
        <v>1.21</v>
      </c>
      <c r="G25" s="28">
        <v>2.48</v>
      </c>
      <c r="J25" s="43">
        <f t="shared" si="7"/>
        <v>-1.0499999999999972</v>
      </c>
      <c r="K25" s="54">
        <f t="shared" si="0"/>
        <v>1.1643509921973305</v>
      </c>
      <c r="L25" s="54">
        <f t="shared" si="1"/>
        <v>2.5017567361694244</v>
      </c>
      <c r="M25" s="47">
        <f t="shared" si="3"/>
        <v>4.3341252304739406E-3</v>
      </c>
      <c r="N25" s="47"/>
      <c r="O25" s="54">
        <f t="shared" si="4"/>
        <v>1.2101697014759545</v>
      </c>
      <c r="P25" s="54">
        <f t="shared" si="5"/>
        <v>2.4843308016489432</v>
      </c>
      <c r="Q25" s="47">
        <f t="shared" si="6"/>
        <v>4.3341252304738538E-3</v>
      </c>
    </row>
    <row r="26" spans="1:17" x14ac:dyDescent="0.2">
      <c r="A26" s="33">
        <v>67.5</v>
      </c>
      <c r="B26" s="28">
        <v>1.2452863443481732</v>
      </c>
      <c r="C26" s="28">
        <v>2.6945415509810653</v>
      </c>
      <c r="E26" s="43">
        <v>66.45</v>
      </c>
      <c r="F26" s="28">
        <v>1.29</v>
      </c>
      <c r="G26" s="28">
        <v>2.67</v>
      </c>
      <c r="J26" s="43">
        <f t="shared" si="7"/>
        <v>-1.0499999999999972</v>
      </c>
      <c r="K26" s="54">
        <f t="shared" si="0"/>
        <v>1.2408558219798174</v>
      </c>
      <c r="L26" s="54">
        <f t="shared" si="1"/>
        <v>2.6931908267070104</v>
      </c>
      <c r="M26" s="47">
        <f t="shared" si="3"/>
        <v>4.631844613220807E-3</v>
      </c>
      <c r="N26" s="47"/>
      <c r="O26" s="54">
        <f t="shared" si="4"/>
        <v>1.2944545303439556</v>
      </c>
      <c r="P26" s="54">
        <f t="shared" si="5"/>
        <v>2.6712693084478571</v>
      </c>
      <c r="Q26" s="47">
        <f t="shared" si="6"/>
        <v>4.6318446132208374E-3</v>
      </c>
    </row>
    <row r="27" spans="1:17" x14ac:dyDescent="0.2">
      <c r="A27" s="33">
        <v>75.180000000000007</v>
      </c>
      <c r="B27" s="28">
        <v>1.2982081930194789</v>
      </c>
      <c r="C27" s="28">
        <v>2.8466861499974878</v>
      </c>
      <c r="E27" s="43">
        <v>74.13000000000001</v>
      </c>
      <c r="F27" s="28">
        <v>1.35</v>
      </c>
      <c r="G27" s="28">
        <v>2.82</v>
      </c>
      <c r="J27" s="43">
        <f t="shared" si="7"/>
        <v>-1.0499999999999972</v>
      </c>
      <c r="K27" s="54">
        <f t="shared" si="0"/>
        <v>1.2980970073312119</v>
      </c>
      <c r="L27" s="54">
        <f t="shared" si="1"/>
        <v>2.8442651352428014</v>
      </c>
      <c r="M27" s="47">
        <f t="shared" si="3"/>
        <v>2.4235665247078512E-3</v>
      </c>
      <c r="N27" s="47"/>
      <c r="O27" s="54">
        <f t="shared" si="4"/>
        <v>1.3501555319477381</v>
      </c>
      <c r="P27" s="54">
        <f t="shared" si="5"/>
        <v>2.8224185707583027</v>
      </c>
      <c r="Q27" s="47">
        <f t="shared" si="6"/>
        <v>2.4235665247079375E-3</v>
      </c>
    </row>
    <row r="28" spans="1:17" x14ac:dyDescent="0.2">
      <c r="A28" s="32">
        <v>54.48</v>
      </c>
      <c r="B28" s="28">
        <v>1.3414154560456397</v>
      </c>
      <c r="C28" s="28">
        <v>2.9496902067012982</v>
      </c>
      <c r="E28" s="43">
        <v>53.43</v>
      </c>
      <c r="F28" s="28">
        <v>1.4</v>
      </c>
      <c r="G28" s="28">
        <v>2.92</v>
      </c>
      <c r="J28" s="43">
        <f t="shared" si="7"/>
        <v>-1.0499999999999972</v>
      </c>
      <c r="K28" s="54">
        <f t="shared" si="0"/>
        <v>1.346256118408943</v>
      </c>
      <c r="L28" s="54">
        <f t="shared" si="1"/>
        <v>2.9451645902472898</v>
      </c>
      <c r="M28" s="47">
        <f t="shared" si="3"/>
        <v>6.626704792300043E-3</v>
      </c>
      <c r="N28" s="47"/>
      <c r="O28" s="54">
        <f t="shared" si="4"/>
        <v>1.395243082070724</v>
      </c>
      <c r="P28" s="54">
        <f t="shared" si="5"/>
        <v>2.924613561337885</v>
      </c>
      <c r="Q28" s="47">
        <f t="shared" si="6"/>
        <v>6.6267047923001809E-3</v>
      </c>
    </row>
    <row r="29" spans="1:17" x14ac:dyDescent="0.2">
      <c r="A29" s="32">
        <v>28.03</v>
      </c>
      <c r="B29" s="28">
        <v>1.3821718126792373</v>
      </c>
      <c r="C29" s="28">
        <v>2.9934056877823032</v>
      </c>
      <c r="E29" s="43">
        <v>26.98</v>
      </c>
      <c r="F29" s="28">
        <v>1.44</v>
      </c>
      <c r="G29" s="28">
        <v>2.97</v>
      </c>
      <c r="J29" s="43">
        <f t="shared" si="7"/>
        <v>-1.0500000000000007</v>
      </c>
      <c r="K29" s="54">
        <f t="shared" si="0"/>
        <v>1.385333155213011</v>
      </c>
      <c r="L29" s="54">
        <f t="shared" si="1"/>
        <v>2.995889191720476</v>
      </c>
      <c r="M29" s="47">
        <f t="shared" si="3"/>
        <v>4.0201838797207642E-3</v>
      </c>
      <c r="N29" s="47"/>
      <c r="O29" s="54">
        <f t="shared" si="4"/>
        <v>1.4367936782658339</v>
      </c>
      <c r="P29" s="54">
        <f t="shared" si="5"/>
        <v>2.9675748444660646</v>
      </c>
      <c r="Q29" s="47">
        <f t="shared" si="6"/>
        <v>4.0201838797204277E-3</v>
      </c>
    </row>
    <row r="30" spans="1:17" x14ac:dyDescent="0.2">
      <c r="A30" s="32">
        <v>354.18</v>
      </c>
      <c r="B30" s="28">
        <v>1.4257932472376023</v>
      </c>
      <c r="C30" s="28">
        <v>2.9987316131045629</v>
      </c>
      <c r="E30" s="43">
        <v>353.13</v>
      </c>
      <c r="F30" s="28">
        <v>1.48</v>
      </c>
      <c r="G30" s="28">
        <v>2.97</v>
      </c>
      <c r="J30" s="43">
        <f t="shared" si="7"/>
        <v>-1.0500000000000114</v>
      </c>
      <c r="K30" s="54">
        <f t="shared" si="0"/>
        <v>1.4253264385868836</v>
      </c>
      <c r="L30" s="54">
        <f t="shared" si="1"/>
        <v>2.9966221889763203</v>
      </c>
      <c r="M30" s="47">
        <f t="shared" si="3"/>
        <v>2.1604583933040986E-3</v>
      </c>
      <c r="N30" s="47"/>
      <c r="O30" s="54">
        <f t="shared" si="4"/>
        <v>1.4805053853186745</v>
      </c>
      <c r="P30" s="54">
        <f t="shared" si="5"/>
        <v>2.9721005156864133</v>
      </c>
      <c r="Q30" s="47">
        <f t="shared" si="6"/>
        <v>2.1604583933043696E-3</v>
      </c>
    </row>
    <row r="31" spans="1:17" x14ac:dyDescent="0.2">
      <c r="A31" s="32">
        <v>289.58</v>
      </c>
      <c r="B31" s="28">
        <v>1.4591265108077129</v>
      </c>
      <c r="C31" s="28">
        <v>2.9814671043882295</v>
      </c>
      <c r="E31" s="43">
        <v>288.52999999999997</v>
      </c>
      <c r="F31" s="28">
        <v>1.51</v>
      </c>
      <c r="G31" s="28">
        <v>2.95</v>
      </c>
      <c r="J31" s="43">
        <f t="shared" si="7"/>
        <v>-1.0500000000000114</v>
      </c>
      <c r="K31" s="54">
        <f t="shared" si="0"/>
        <v>1.4556878997452107</v>
      </c>
      <c r="L31" s="54">
        <f t="shared" si="1"/>
        <v>2.9771752952312664</v>
      </c>
      <c r="M31" s="47">
        <f t="shared" si="3"/>
        <v>5.4994246861789367E-3</v>
      </c>
      <c r="N31" s="47"/>
      <c r="O31" s="54">
        <f t="shared" si="4"/>
        <v>1.5135166807742462</v>
      </c>
      <c r="P31" s="54">
        <f t="shared" si="5"/>
        <v>2.9542280761832074</v>
      </c>
      <c r="Q31" s="47">
        <f t="shared" si="6"/>
        <v>5.4994246861791388E-3</v>
      </c>
    </row>
    <row r="32" spans="1:17" x14ac:dyDescent="0.2">
      <c r="A32" s="32">
        <v>353.72</v>
      </c>
      <c r="B32" s="28">
        <v>1.4902672085014104</v>
      </c>
      <c r="C32" s="28">
        <v>2.9642148096735221</v>
      </c>
      <c r="E32" s="43">
        <v>352.67</v>
      </c>
      <c r="F32" s="28">
        <v>1.54</v>
      </c>
      <c r="G32" s="28">
        <v>2.94</v>
      </c>
      <c r="J32" s="43">
        <f t="shared" si="7"/>
        <v>-1.0500000000000114</v>
      </c>
      <c r="K32" s="54">
        <f t="shared" si="0"/>
        <v>1.4858661115895768</v>
      </c>
      <c r="L32" s="54">
        <f t="shared" si="1"/>
        <v>2.9677267223296813</v>
      </c>
      <c r="M32" s="47">
        <f t="shared" si="3"/>
        <v>5.6305581012757048E-3</v>
      </c>
      <c r="N32" s="47"/>
      <c r="O32" s="54">
        <f t="shared" si="4"/>
        <v>1.5443360023402781</v>
      </c>
      <c r="P32" s="54">
        <f t="shared" si="5"/>
        <v>2.9364080272499717</v>
      </c>
      <c r="Q32" s="47">
        <f t="shared" si="6"/>
        <v>5.6305581012757741E-3</v>
      </c>
    </row>
    <row r="33" spans="1:17" x14ac:dyDescent="0.2">
      <c r="A33" s="32">
        <v>356.23</v>
      </c>
      <c r="B33" s="28">
        <v>1.5554748985979723</v>
      </c>
      <c r="C33" s="28">
        <v>2.9587690083175269</v>
      </c>
      <c r="E33" s="43">
        <v>355.18</v>
      </c>
      <c r="F33" s="28">
        <v>1.61</v>
      </c>
      <c r="G33" s="28">
        <v>2.93</v>
      </c>
      <c r="J33" s="43">
        <f t="shared" si="7"/>
        <v>-1.0500000000000114</v>
      </c>
      <c r="K33" s="54">
        <f t="shared" si="0"/>
        <v>1.5560376068078159</v>
      </c>
      <c r="L33" s="54">
        <f t="shared" si="1"/>
        <v>2.9590111466839404</v>
      </c>
      <c r="M33" s="47">
        <f t="shared" si="3"/>
        <v>6.1259408903025251E-4</v>
      </c>
      <c r="N33" s="47"/>
      <c r="O33" s="54">
        <f t="shared" si="4"/>
        <v>1.6094329491087203</v>
      </c>
      <c r="P33" s="54">
        <f t="shared" si="5"/>
        <v>2.9297682138817502</v>
      </c>
      <c r="Q33" s="47">
        <f t="shared" si="6"/>
        <v>6.1259408903010864E-4</v>
      </c>
    </row>
    <row r="34" spans="1:17" x14ac:dyDescent="0.2">
      <c r="A34" s="32">
        <v>333.68</v>
      </c>
      <c r="B34" s="28">
        <v>1.620081153530738</v>
      </c>
      <c r="C34" s="28">
        <v>2.9436118853114115</v>
      </c>
      <c r="E34" s="43">
        <v>332.63</v>
      </c>
      <c r="F34" s="28">
        <v>1.67</v>
      </c>
      <c r="G34" s="28">
        <v>2.91</v>
      </c>
      <c r="J34" s="43">
        <f t="shared" si="7"/>
        <v>-1.0500000000000114</v>
      </c>
      <c r="K34" s="54">
        <f t="shared" si="0"/>
        <v>1.6163940304965476</v>
      </c>
      <c r="L34" s="54">
        <f t="shared" si="1"/>
        <v>2.9401140008807696</v>
      </c>
      <c r="M34" s="47">
        <f t="shared" si="3"/>
        <v>5.082329363528545E-3</v>
      </c>
      <c r="N34" s="47"/>
      <c r="O34" s="54">
        <f t="shared" si="4"/>
        <v>1.6737506024007409</v>
      </c>
      <c r="P34" s="54">
        <f t="shared" si="5"/>
        <v>2.9134297308044426</v>
      </c>
      <c r="Q34" s="47">
        <f t="shared" si="6"/>
        <v>5.0823293635286291E-3</v>
      </c>
    </row>
    <row r="35" spans="1:17" x14ac:dyDescent="0.2">
      <c r="A35" s="32">
        <v>12.47</v>
      </c>
      <c r="B35" s="28">
        <v>1.6944969175862699</v>
      </c>
      <c r="C35" s="28">
        <v>2.9418716851684437</v>
      </c>
      <c r="E35" s="43">
        <v>11.42</v>
      </c>
      <c r="F35" s="28">
        <v>1.75</v>
      </c>
      <c r="G35" s="28">
        <v>2.91</v>
      </c>
      <c r="J35" s="43">
        <f t="shared" si="7"/>
        <v>-1.0500000000000007</v>
      </c>
      <c r="K35" s="54">
        <f t="shared" si="0"/>
        <v>1.6963805972442949</v>
      </c>
      <c r="L35" s="54">
        <f t="shared" si="1"/>
        <v>2.9415799953924577</v>
      </c>
      <c r="M35" s="47">
        <f t="shared" si="3"/>
        <v>1.906130105599324E-3</v>
      </c>
      <c r="N35" s="47"/>
      <c r="O35" s="54">
        <f t="shared" si="4"/>
        <v>1.7481219818364091</v>
      </c>
      <c r="P35" s="54">
        <f t="shared" si="5"/>
        <v>2.9103261590972127</v>
      </c>
      <c r="Q35" s="47">
        <f t="shared" si="6"/>
        <v>1.9061301055992613E-3</v>
      </c>
    </row>
    <row r="36" spans="1:17" x14ac:dyDescent="0.2">
      <c r="A36" s="32">
        <v>5.18</v>
      </c>
      <c r="B36" s="28">
        <v>1.791291677863077</v>
      </c>
      <c r="C36" s="28">
        <v>2.9570399138118106</v>
      </c>
      <c r="E36" s="43">
        <v>4.13</v>
      </c>
      <c r="F36" s="28">
        <v>1.85</v>
      </c>
      <c r="G36" s="28">
        <v>2.92</v>
      </c>
      <c r="J36" s="43">
        <f t="shared" si="7"/>
        <v>-1.0499999999999998</v>
      </c>
      <c r="K36" s="54">
        <f t="shared" si="0"/>
        <v>1.7961805563650168</v>
      </c>
      <c r="L36" s="54">
        <f t="shared" si="1"/>
        <v>2.9534108093755362</v>
      </c>
      <c r="M36" s="47">
        <f t="shared" si="3"/>
        <v>6.0886395866495743E-3</v>
      </c>
      <c r="N36" s="47"/>
      <c r="O36" s="54">
        <f t="shared" si="4"/>
        <v>1.8451784455071112</v>
      </c>
      <c r="P36" s="54">
        <f t="shared" si="5"/>
        <v>2.9237180834159848</v>
      </c>
      <c r="Q36" s="47">
        <f t="shared" si="6"/>
        <v>6.0886395866498024E-3</v>
      </c>
    </row>
    <row r="37" spans="1:17" x14ac:dyDescent="0.2">
      <c r="A37" s="32">
        <v>352.23</v>
      </c>
      <c r="B37" s="28">
        <v>1.8866478715872066</v>
      </c>
      <c r="C37" s="28">
        <v>2.9548843047265305</v>
      </c>
      <c r="E37" s="43">
        <v>351.18</v>
      </c>
      <c r="F37" s="28">
        <v>1.94</v>
      </c>
      <c r="G37" s="28">
        <v>2.92</v>
      </c>
      <c r="J37" s="43">
        <f t="shared" si="7"/>
        <v>-1.0500000000000114</v>
      </c>
      <c r="K37" s="54">
        <f t="shared" si="0"/>
        <v>1.886165443956231</v>
      </c>
      <c r="L37" s="54">
        <f t="shared" si="1"/>
        <v>2.9550600532011857</v>
      </c>
      <c r="M37" s="47">
        <f t="shared" si="3"/>
        <v>5.1344322516940876E-4</v>
      </c>
      <c r="N37" s="47"/>
      <c r="O37" s="54">
        <f t="shared" si="4"/>
        <v>1.940479126045084</v>
      </c>
      <c r="P37" s="54">
        <f t="shared" si="5"/>
        <v>2.9198154405830232</v>
      </c>
      <c r="Q37" s="47">
        <f t="shared" si="6"/>
        <v>5.134432251696951E-4</v>
      </c>
    </row>
    <row r="38" spans="1:17" x14ac:dyDescent="0.2">
      <c r="A38" s="32">
        <v>349.2</v>
      </c>
      <c r="B38" s="28">
        <v>1.992064929705331</v>
      </c>
      <c r="C38" s="28">
        <v>2.9373577092662257</v>
      </c>
      <c r="E38" s="43">
        <v>348.15</v>
      </c>
      <c r="F38" s="28">
        <v>2.0499999999999998</v>
      </c>
      <c r="G38" s="28">
        <v>2.9</v>
      </c>
      <c r="J38" s="43">
        <f t="shared" si="7"/>
        <v>-1.0500000000000114</v>
      </c>
      <c r="K38" s="54">
        <f t="shared" si="0"/>
        <v>1.9965134718623041</v>
      </c>
      <c r="L38" s="54">
        <f t="shared" si="1"/>
        <v>2.93707915396782</v>
      </c>
      <c r="M38" s="47">
        <f t="shared" si="3"/>
        <v>4.45725480274987E-3</v>
      </c>
      <c r="N38" s="47"/>
      <c r="O38" s="54">
        <f t="shared" si="4"/>
        <v>2.045557309329622</v>
      </c>
      <c r="P38" s="54">
        <f t="shared" si="5"/>
        <v>2.9003600277544499</v>
      </c>
      <c r="Q38" s="47">
        <f t="shared" si="6"/>
        <v>4.4572548027498457E-3</v>
      </c>
    </row>
    <row r="39" spans="1:17" x14ac:dyDescent="0.2">
      <c r="A39" s="32">
        <v>352.58</v>
      </c>
      <c r="B39" s="28">
        <v>2.1105009647910906</v>
      </c>
      <c r="C39" s="28">
        <v>2.9184312903984022</v>
      </c>
      <c r="E39" s="43">
        <v>351.53</v>
      </c>
      <c r="F39" s="28">
        <v>2.16</v>
      </c>
      <c r="G39" s="28">
        <v>2.88</v>
      </c>
      <c r="J39" s="43">
        <f t="shared" si="7"/>
        <v>-1.0500000000000114</v>
      </c>
      <c r="K39" s="54">
        <f t="shared" si="0"/>
        <v>2.1068614997683781</v>
      </c>
      <c r="L39" s="54">
        <f t="shared" si="1"/>
        <v>2.9190982547344553</v>
      </c>
      <c r="M39" s="47">
        <f t="shared" si="3"/>
        <v>3.7000739286012188E-3</v>
      </c>
      <c r="N39" s="47"/>
      <c r="O39" s="54">
        <f t="shared" si="4"/>
        <v>2.1636266318238642</v>
      </c>
      <c r="P39" s="54">
        <f t="shared" si="5"/>
        <v>2.87926645471084</v>
      </c>
      <c r="Q39" s="47">
        <f t="shared" si="6"/>
        <v>3.7000739286008875E-3</v>
      </c>
    </row>
    <row r="40" spans="1:17" x14ac:dyDescent="0.2">
      <c r="A40" s="32">
        <v>4.55</v>
      </c>
      <c r="B40" s="28">
        <v>2.2406685269723874</v>
      </c>
      <c r="C40" s="28">
        <v>2.9160806840364502</v>
      </c>
      <c r="E40" s="43">
        <v>3.5</v>
      </c>
      <c r="F40" s="28">
        <v>2.29</v>
      </c>
      <c r="G40" s="28">
        <v>2.87</v>
      </c>
      <c r="J40" s="43">
        <f t="shared" si="7"/>
        <v>-1.0499999999999998</v>
      </c>
      <c r="K40" s="54">
        <f t="shared" si="0"/>
        <v>2.2370229200474272</v>
      </c>
      <c r="L40" s="54">
        <f t="shared" si="1"/>
        <v>2.91148217497248</v>
      </c>
      <c r="M40" s="47">
        <f t="shared" si="3"/>
        <v>5.8682821560260444E-3</v>
      </c>
      <c r="N40" s="47"/>
      <c r="O40" s="54">
        <f t="shared" si="4"/>
        <v>2.2937292621336134</v>
      </c>
      <c r="P40" s="54">
        <f t="shared" si="5"/>
        <v>2.8745309314055203</v>
      </c>
      <c r="Q40" s="47">
        <f t="shared" si="6"/>
        <v>5.8682821560258648E-3</v>
      </c>
    </row>
    <row r="41" spans="1:17" x14ac:dyDescent="0.2">
      <c r="A41" s="32">
        <v>0.23</v>
      </c>
      <c r="B41" s="28">
        <v>2.3648022615312287</v>
      </c>
      <c r="C41" s="28">
        <v>2.9218378102928422</v>
      </c>
      <c r="E41" s="43">
        <v>-0.82000000000000006</v>
      </c>
      <c r="F41" s="28">
        <v>2.42</v>
      </c>
      <c r="G41" s="28">
        <v>2.88</v>
      </c>
      <c r="J41" s="43">
        <f t="shared" si="7"/>
        <v>-1.05</v>
      </c>
      <c r="K41" s="54">
        <f t="shared" si="0"/>
        <v>2.3668178416985546</v>
      </c>
      <c r="L41" s="54">
        <f t="shared" si="1"/>
        <v>2.9238627368974415</v>
      </c>
      <c r="M41" s="47">
        <f t="shared" si="3"/>
        <v>2.8570773816841725E-3</v>
      </c>
      <c r="N41" s="47"/>
      <c r="O41" s="54">
        <f t="shared" si="4"/>
        <v>2.417947651639023</v>
      </c>
      <c r="P41" s="54">
        <f t="shared" si="5"/>
        <v>2.8780123487805636</v>
      </c>
      <c r="Q41" s="47">
        <f t="shared" si="6"/>
        <v>2.8570773816841769E-3</v>
      </c>
    </row>
    <row r="42" spans="1:17" x14ac:dyDescent="0.2">
      <c r="A42" s="32">
        <v>15.48</v>
      </c>
      <c r="B42" s="28">
        <v>2.5391852868131854</v>
      </c>
      <c r="C42" s="28">
        <v>2.955246819927007</v>
      </c>
      <c r="E42" s="43">
        <v>14.43</v>
      </c>
      <c r="F42" s="28">
        <v>2.59</v>
      </c>
      <c r="G42" s="28">
        <v>2.91</v>
      </c>
      <c r="J42" s="43">
        <f t="shared" si="7"/>
        <v>-1.0500000000000007</v>
      </c>
      <c r="K42" s="54">
        <f t="shared" si="0"/>
        <v>2.5362395480956326</v>
      </c>
      <c r="L42" s="54">
        <f t="shared" si="1"/>
        <v>2.9569729377651841</v>
      </c>
      <c r="M42" s="47">
        <f t="shared" si="3"/>
        <v>3.4142143142110036E-3</v>
      </c>
      <c r="N42" s="47"/>
      <c r="O42" s="54">
        <f t="shared" si="4"/>
        <v>2.5929136130909458</v>
      </c>
      <c r="P42" s="54">
        <f t="shared" si="5"/>
        <v>2.9082201915441175</v>
      </c>
      <c r="Q42" s="47">
        <f t="shared" si="6"/>
        <v>3.4142143142109655E-3</v>
      </c>
    </row>
    <row r="43" spans="1:17" x14ac:dyDescent="0.2">
      <c r="A43" s="32">
        <v>5.03</v>
      </c>
      <c r="B43" s="28">
        <v>2.7416103781754848</v>
      </c>
      <c r="C43" s="28">
        <v>2.9957055093925522</v>
      </c>
      <c r="E43" s="43">
        <v>3.9800000000000004</v>
      </c>
      <c r="F43" s="28">
        <v>2.8</v>
      </c>
      <c r="G43" s="28">
        <v>2.94</v>
      </c>
      <c r="J43" s="43">
        <f t="shared" si="7"/>
        <v>-1.0499999999999998</v>
      </c>
      <c r="K43" s="54">
        <f t="shared" si="0"/>
        <v>2.7456545378665838</v>
      </c>
      <c r="L43" s="54">
        <f t="shared" si="1"/>
        <v>2.9908161358887706</v>
      </c>
      <c r="M43" s="47">
        <f t="shared" si="3"/>
        <v>6.3451714607716562E-3</v>
      </c>
      <c r="N43" s="47"/>
      <c r="O43" s="54">
        <f t="shared" si="4"/>
        <v>2.7960461168206434</v>
      </c>
      <c r="P43" s="54">
        <f t="shared" si="5"/>
        <v>2.9449626614503304</v>
      </c>
      <c r="Q43" s="47">
        <f t="shared" si="6"/>
        <v>6.3451714607718184E-3</v>
      </c>
    </row>
    <row r="44" spans="1:17" x14ac:dyDescent="0.2">
      <c r="A44" s="32">
        <v>3.67</v>
      </c>
      <c r="B44" s="28">
        <v>2.9112804435253121</v>
      </c>
      <c r="C44" s="28">
        <v>3.0085600455168811</v>
      </c>
      <c r="E44" s="43">
        <v>2.62</v>
      </c>
      <c r="F44" s="28">
        <v>2.97</v>
      </c>
      <c r="G44" s="28">
        <v>2.95</v>
      </c>
      <c r="J44" s="43">
        <f t="shared" si="7"/>
        <v>-1.0499999999999998</v>
      </c>
      <c r="K44" s="54">
        <f t="shared" si="0"/>
        <v>2.9154427428915843</v>
      </c>
      <c r="L44" s="54">
        <f t="shared" si="1"/>
        <v>3.003929695069576</v>
      </c>
      <c r="M44" s="47">
        <f t="shared" si="3"/>
        <v>6.2261449773779367E-3</v>
      </c>
      <c r="N44" s="47"/>
      <c r="O44" s="54">
        <f t="shared" si="4"/>
        <v>2.9659232504032316</v>
      </c>
      <c r="P44" s="54">
        <f t="shared" si="5"/>
        <v>2.9547058467893224</v>
      </c>
      <c r="Q44" s="47">
        <f t="shared" si="6"/>
        <v>6.2261449773778144E-3</v>
      </c>
    </row>
    <row r="45" spans="1:17" x14ac:dyDescent="0.2">
      <c r="A45" s="32">
        <v>8.48</v>
      </c>
      <c r="B45" s="28">
        <v>3.0889944680789991</v>
      </c>
      <c r="C45" s="28">
        <v>3.0276578983641564</v>
      </c>
      <c r="E45" s="43">
        <v>7.4300000000000006</v>
      </c>
      <c r="F45" s="28">
        <v>3.14</v>
      </c>
      <c r="G45" s="28">
        <v>2.97</v>
      </c>
      <c r="J45" s="43">
        <f t="shared" si="7"/>
        <v>-1.0499999999999998</v>
      </c>
      <c r="K45" s="54">
        <f t="shared" si="0"/>
        <v>3.0850476986026236</v>
      </c>
      <c r="L45" s="54">
        <f t="shared" si="1"/>
        <v>3.0270415750938504</v>
      </c>
      <c r="M45" s="47">
        <f t="shared" si="3"/>
        <v>3.9946018165982634E-3</v>
      </c>
      <c r="N45" s="47"/>
      <c r="O45" s="54">
        <f t="shared" si="4"/>
        <v>3.1439574008336475</v>
      </c>
      <c r="P45" s="54">
        <f t="shared" si="5"/>
        <v>2.9705438955000911</v>
      </c>
      <c r="Q45" s="47">
        <f t="shared" si="6"/>
        <v>3.9946018165985062E-3</v>
      </c>
    </row>
    <row r="46" spans="1:17" x14ac:dyDescent="0.2">
      <c r="A46" s="32">
        <v>6.85</v>
      </c>
      <c r="B46" s="28">
        <v>3.2705965903986676</v>
      </c>
      <c r="C46" s="28">
        <v>3.0520985155944653</v>
      </c>
      <c r="E46" s="43">
        <v>5.8</v>
      </c>
      <c r="F46" s="28">
        <v>3.33</v>
      </c>
      <c r="G46" s="28">
        <v>2.99</v>
      </c>
      <c r="J46" s="43">
        <f t="shared" si="7"/>
        <v>-1.0499999999999998</v>
      </c>
      <c r="K46" s="54">
        <f t="shared" si="0"/>
        <v>3.2746492960005993</v>
      </c>
      <c r="L46" s="54">
        <f t="shared" si="1"/>
        <v>3.0505199537460466</v>
      </c>
      <c r="M46" s="47">
        <f t="shared" si="3"/>
        <v>4.3492850223010174E-3</v>
      </c>
      <c r="N46" s="47"/>
      <c r="O46" s="54">
        <f t="shared" si="4"/>
        <v>3.3259769019483536</v>
      </c>
      <c r="P46" s="54">
        <f t="shared" si="5"/>
        <v>2.9916525623352994</v>
      </c>
      <c r="Q46" s="47">
        <f t="shared" si="6"/>
        <v>4.3492850223009246E-3</v>
      </c>
    </row>
    <row r="47" spans="1:17" x14ac:dyDescent="0.2">
      <c r="A47" s="32">
        <v>357.23</v>
      </c>
      <c r="B47" s="28">
        <v>3.4443771833432835</v>
      </c>
      <c r="C47" s="28">
        <v>3.0590207312796154</v>
      </c>
      <c r="E47" s="43">
        <v>356.18</v>
      </c>
      <c r="F47" s="28">
        <v>3.5</v>
      </c>
      <c r="G47" s="28">
        <v>3</v>
      </c>
      <c r="J47" s="43">
        <f t="shared" si="7"/>
        <v>-1.0500000000000114</v>
      </c>
      <c r="K47" s="54">
        <f t="shared" ref="K47:K78" si="8">SIN(RADIANS(J47))*G47 + COS(RADIANS(J47))*F47</f>
        <v>3.444437501025599</v>
      </c>
      <c r="L47" s="54">
        <f t="shared" si="1"/>
        <v>3.0636335129268528</v>
      </c>
      <c r="M47" s="47">
        <f t="shared" si="3"/>
        <v>4.613175993596003E-3</v>
      </c>
      <c r="N47" s="47"/>
      <c r="O47" s="54">
        <f t="shared" si="4"/>
        <v>3.4998551635387369</v>
      </c>
      <c r="P47" s="54">
        <f t="shared" si="5"/>
        <v>2.9953890982283964</v>
      </c>
      <c r="Q47" s="47">
        <f t="shared" si="6"/>
        <v>4.6131759935957965E-3</v>
      </c>
    </row>
    <row r="48" spans="1:17" x14ac:dyDescent="0.2">
      <c r="A48" s="32">
        <v>354.12</v>
      </c>
      <c r="B48" s="28">
        <v>3.5987985059698224</v>
      </c>
      <c r="C48" s="28">
        <v>3.0476388249179336</v>
      </c>
      <c r="E48" s="43">
        <v>353.07</v>
      </c>
      <c r="F48" s="28">
        <v>3.65</v>
      </c>
      <c r="G48" s="28">
        <v>2.98</v>
      </c>
      <c r="J48" s="43">
        <f t="shared" si="7"/>
        <v>-1.0500000000000114</v>
      </c>
      <c r="K48" s="54">
        <f t="shared" si="8"/>
        <v>3.5947788123055453</v>
      </c>
      <c r="L48" s="54">
        <f t="shared" si="1"/>
        <v>3.0463856109493319</v>
      </c>
      <c r="M48" s="47">
        <f t="shared" si="3"/>
        <v>4.210520443570843E-3</v>
      </c>
      <c r="N48" s="47"/>
      <c r="O48" s="54">
        <f t="shared" si="4"/>
        <v>3.6540419837547895</v>
      </c>
      <c r="P48" s="54">
        <f t="shared" si="5"/>
        <v>2.981179342923729</v>
      </c>
      <c r="Q48" s="47">
        <f t="shared" si="6"/>
        <v>4.2105204435713937E-3</v>
      </c>
    </row>
    <row r="49" spans="1:17" x14ac:dyDescent="0.2">
      <c r="A49" s="32">
        <v>341.05</v>
      </c>
      <c r="B49" s="28">
        <v>3.7281897211513386</v>
      </c>
      <c r="C49" s="28">
        <v>3.0204259909993523</v>
      </c>
      <c r="E49" s="43">
        <v>340</v>
      </c>
      <c r="F49" s="28">
        <v>3.78</v>
      </c>
      <c r="G49" s="28">
        <v>2.95</v>
      </c>
      <c r="J49" s="43">
        <f t="shared" si="7"/>
        <v>-1.0500000000000114</v>
      </c>
      <c r="K49" s="54">
        <f t="shared" si="8"/>
        <v>3.7253067312125165</v>
      </c>
      <c r="L49" s="54">
        <f t="shared" si="1"/>
        <v>3.0187728895004202</v>
      </c>
      <c r="M49" s="47">
        <f t="shared" si="3"/>
        <v>3.3233079233078492E-3</v>
      </c>
      <c r="N49" s="47"/>
      <c r="O49" s="54">
        <f t="shared" si="4"/>
        <v>3.7829127988112425</v>
      </c>
      <c r="P49" s="54">
        <f t="shared" si="5"/>
        <v>2.9515999933244697</v>
      </c>
      <c r="Q49" s="47">
        <f t="shared" si="6"/>
        <v>3.3233079233083353E-3</v>
      </c>
    </row>
    <row r="50" spans="1:17" x14ac:dyDescent="0.2">
      <c r="A50" s="32">
        <v>1.1200000000000001</v>
      </c>
      <c r="B50" s="28">
        <v>3.8448586855840312</v>
      </c>
      <c r="C50" s="28">
        <v>3.0017400263063752</v>
      </c>
      <c r="E50" s="43">
        <v>7.0000000000000062E-2</v>
      </c>
      <c r="F50" s="28">
        <v>3.9</v>
      </c>
      <c r="G50" s="28">
        <v>2.93</v>
      </c>
      <c r="J50" s="43">
        <f t="shared" si="7"/>
        <v>-1.05</v>
      </c>
      <c r="K50" s="54">
        <f t="shared" si="8"/>
        <v>3.8456530799620587</v>
      </c>
      <c r="L50" s="54">
        <f t="shared" si="1"/>
        <v>3.0009752395810154</v>
      </c>
      <c r="M50" s="47">
        <f t="shared" si="3"/>
        <v>1.1027062905090417E-3</v>
      </c>
      <c r="N50" s="47"/>
      <c r="O50" s="54">
        <f t="shared" si="4"/>
        <v>3.8992197536774982</v>
      </c>
      <c r="P50" s="54">
        <f t="shared" si="5"/>
        <v>2.9307792155281764</v>
      </c>
      <c r="Q50" s="47">
        <f t="shared" si="6"/>
        <v>1.10270629050918E-3</v>
      </c>
    </row>
    <row r="51" spans="1:17" x14ac:dyDescent="0.2">
      <c r="A51" s="32">
        <v>358.2</v>
      </c>
      <c r="B51" s="28">
        <v>3.9757109975156131</v>
      </c>
      <c r="C51" s="28">
        <v>3.0006300026457251</v>
      </c>
      <c r="E51" s="43">
        <v>357.15</v>
      </c>
      <c r="F51" s="28">
        <v>4.03</v>
      </c>
      <c r="G51" s="28">
        <v>2.93</v>
      </c>
      <c r="J51" s="43">
        <f t="shared" si="7"/>
        <v>-1.0500000000000114</v>
      </c>
      <c r="K51" s="54">
        <f t="shared" si="8"/>
        <v>3.975631250927147</v>
      </c>
      <c r="L51" s="54">
        <f t="shared" si="1"/>
        <v>3.0033574806625096</v>
      </c>
      <c r="M51" s="47">
        <f t="shared" si="3"/>
        <v>2.7286435916797232E-3</v>
      </c>
      <c r="N51" s="47"/>
      <c r="O51" s="54">
        <f t="shared" si="4"/>
        <v>4.0300297523502246</v>
      </c>
      <c r="P51" s="54">
        <f t="shared" si="5"/>
        <v>2.9272715186187059</v>
      </c>
      <c r="Q51" s="47">
        <f t="shared" si="6"/>
        <v>2.7286435916794097E-3</v>
      </c>
    </row>
    <row r="52" spans="1:17" x14ac:dyDescent="0.2">
      <c r="A52" s="32">
        <v>342.93</v>
      </c>
      <c r="B52" s="28">
        <v>4.1206638207063611</v>
      </c>
      <c r="C52" s="28">
        <v>2.9759545768847451</v>
      </c>
      <c r="E52" s="43">
        <v>341.88</v>
      </c>
      <c r="F52" s="28">
        <v>4.17</v>
      </c>
      <c r="G52" s="28">
        <v>2.9</v>
      </c>
      <c r="J52" s="43">
        <f t="shared" si="7"/>
        <v>-1.0500000000000114</v>
      </c>
      <c r="K52" s="54">
        <f t="shared" si="8"/>
        <v>4.1161574906775851</v>
      </c>
      <c r="L52" s="54">
        <f t="shared" si="1"/>
        <v>2.9759280085275583</v>
      </c>
      <c r="M52" s="47">
        <f t="shared" si="3"/>
        <v>4.5064083487686476E-3</v>
      </c>
      <c r="N52" s="47"/>
      <c r="O52" s="54">
        <f t="shared" si="4"/>
        <v>4.1745060602087483</v>
      </c>
      <c r="P52" s="54">
        <f t="shared" si="5"/>
        <v>2.8999439857073179</v>
      </c>
      <c r="Q52" s="47">
        <f t="shared" si="6"/>
        <v>4.5064083487684195E-3</v>
      </c>
    </row>
    <row r="53" spans="1:17" x14ac:dyDescent="0.2">
      <c r="A53" s="32">
        <v>358.65</v>
      </c>
      <c r="B53" s="28">
        <v>4.2656321871118603</v>
      </c>
      <c r="C53" s="28">
        <v>2.9518443788337065</v>
      </c>
      <c r="E53" s="43">
        <v>357.59999999999997</v>
      </c>
      <c r="F53" s="28">
        <v>4.32</v>
      </c>
      <c r="G53" s="28">
        <v>2.87</v>
      </c>
      <c r="J53" s="43">
        <f t="shared" si="7"/>
        <v>-1.0500000000000114</v>
      </c>
      <c r="K53" s="54">
        <f t="shared" si="8"/>
        <v>4.266682051271494</v>
      </c>
      <c r="L53" s="54">
        <f t="shared" si="1"/>
        <v>2.9486817857065692</v>
      </c>
      <c r="M53" s="47">
        <f t="shared" si="3"/>
        <v>3.3322980121080746E-3</v>
      </c>
      <c r="N53" s="47"/>
      <c r="O53" s="54">
        <f t="shared" si="4"/>
        <v>4.3190082664310818</v>
      </c>
      <c r="P53" s="54">
        <f t="shared" si="5"/>
        <v>2.8731813007669476</v>
      </c>
      <c r="Q53" s="47">
        <f t="shared" si="6"/>
        <v>3.3322980121081864E-3</v>
      </c>
    </row>
    <row r="54" spans="1:17" x14ac:dyDescent="0.2">
      <c r="A54" s="32">
        <v>5.52</v>
      </c>
      <c r="B54" s="28">
        <v>4.4092672153971053</v>
      </c>
      <c r="C54" s="28">
        <v>2.9570735824620717</v>
      </c>
      <c r="E54" s="43">
        <v>4.47</v>
      </c>
      <c r="F54" s="28">
        <v>4.46</v>
      </c>
      <c r="G54" s="28">
        <v>2.88</v>
      </c>
      <c r="J54" s="43">
        <f t="shared" si="7"/>
        <v>-1.0499999999999998</v>
      </c>
      <c r="K54" s="54">
        <f t="shared" si="8"/>
        <v>4.40647529376609</v>
      </c>
      <c r="L54" s="54">
        <f t="shared" si="1"/>
        <v>2.9612455969454912</v>
      </c>
      <c r="M54" s="47">
        <f t="shared" si="3"/>
        <v>5.0200130720539317E-3</v>
      </c>
      <c r="N54" s="47"/>
      <c r="O54" s="54">
        <f t="shared" si="4"/>
        <v>4.4627150009444794</v>
      </c>
      <c r="P54" s="54">
        <f t="shared" si="5"/>
        <v>2.8757775242907662</v>
      </c>
      <c r="Q54" s="47">
        <f t="shared" si="6"/>
        <v>5.0200130720539924E-3</v>
      </c>
    </row>
    <row r="55" spans="1:17" x14ac:dyDescent="0.2">
      <c r="A55" s="32">
        <v>344.7</v>
      </c>
      <c r="B55" s="28">
        <v>4.5503706038172975</v>
      </c>
      <c r="C55" s="28">
        <v>2.9450015626750368</v>
      </c>
      <c r="E55" s="43">
        <v>343.65</v>
      </c>
      <c r="F55" s="28">
        <v>4.5999999999999996</v>
      </c>
      <c r="G55" s="28">
        <v>2.86</v>
      </c>
      <c r="J55" s="43">
        <f t="shared" si="7"/>
        <v>-1.0500000000000114</v>
      </c>
      <c r="K55" s="54">
        <f t="shared" si="8"/>
        <v>4.5468182842025664</v>
      </c>
      <c r="L55" s="54">
        <f t="shared" si="1"/>
        <v>2.9438144456540094</v>
      </c>
      <c r="M55" s="47">
        <f t="shared" si="3"/>
        <v>3.7454267402815891E-3</v>
      </c>
      <c r="N55" s="47"/>
      <c r="O55" s="54">
        <f t="shared" si="4"/>
        <v>4.603573476962632</v>
      </c>
      <c r="P55" s="54">
        <f t="shared" si="5"/>
        <v>2.8611218216722603</v>
      </c>
      <c r="Q55" s="47">
        <f t="shared" si="6"/>
        <v>3.7454267402816785E-3</v>
      </c>
    </row>
    <row r="56" spans="1:17" x14ac:dyDescent="0.2">
      <c r="A56" s="32">
        <v>2.13</v>
      </c>
      <c r="B56" s="28">
        <v>4.6895779748414688</v>
      </c>
      <c r="C56" s="28">
        <v>2.9285988969878711</v>
      </c>
      <c r="E56" s="43">
        <v>1.0799999999999998</v>
      </c>
      <c r="F56" s="28">
        <v>4.74</v>
      </c>
      <c r="G56" s="28">
        <v>2.84</v>
      </c>
      <c r="J56" s="43">
        <f t="shared" si="7"/>
        <v>-1.05</v>
      </c>
      <c r="K56" s="54">
        <f t="shared" si="8"/>
        <v>4.6871612746390463</v>
      </c>
      <c r="L56" s="54">
        <f t="shared" si="1"/>
        <v>2.9263832943625268</v>
      </c>
      <c r="M56" s="47">
        <f t="shared" si="3"/>
        <v>3.2786178279606841E-3</v>
      </c>
      <c r="N56" s="47"/>
      <c r="O56" s="54">
        <f t="shared" si="4"/>
        <v>4.7424568951667405</v>
      </c>
      <c r="P56" s="54">
        <f t="shared" si="5"/>
        <v>2.8421709447255679</v>
      </c>
      <c r="Q56" s="47">
        <f t="shared" si="6"/>
        <v>3.2786178279609517E-3</v>
      </c>
    </row>
    <row r="57" spans="1:17" x14ac:dyDescent="0.2">
      <c r="A57" s="32">
        <v>17.62</v>
      </c>
      <c r="B57" s="28">
        <v>4.8279593927895332</v>
      </c>
      <c r="C57" s="28">
        <v>2.9529865331035636</v>
      </c>
      <c r="E57" s="43">
        <v>16.57</v>
      </c>
      <c r="F57" s="28">
        <v>4.88</v>
      </c>
      <c r="G57" s="28">
        <v>2.86</v>
      </c>
      <c r="J57" s="43">
        <f t="shared" si="7"/>
        <v>-1.0500000000000007</v>
      </c>
      <c r="K57" s="54">
        <f t="shared" si="8"/>
        <v>4.8267712678196801</v>
      </c>
      <c r="L57" s="54">
        <f t="shared" si="1"/>
        <v>2.9489454264449178</v>
      </c>
      <c r="M57" s="47">
        <f t="shared" si="3"/>
        <v>4.2121471924115462E-3</v>
      </c>
      <c r="N57" s="47"/>
      <c r="O57" s="54">
        <f t="shared" si="4"/>
        <v>4.8812619784673563</v>
      </c>
      <c r="P57" s="54">
        <f t="shared" si="5"/>
        <v>2.8640186557850194</v>
      </c>
      <c r="Q57" s="47">
        <f t="shared" si="6"/>
        <v>4.2121471924117014E-3</v>
      </c>
    </row>
    <row r="58" spans="1:17" x14ac:dyDescent="0.2">
      <c r="A58" s="32">
        <v>16.93</v>
      </c>
      <c r="B58" s="28">
        <v>4.9550150972742868</v>
      </c>
      <c r="C58" s="28">
        <v>2.9925679545193709</v>
      </c>
      <c r="E58" s="43">
        <v>15.879999999999999</v>
      </c>
      <c r="F58" s="28">
        <v>5.01</v>
      </c>
      <c r="G58" s="28">
        <v>2.9</v>
      </c>
      <c r="J58" s="43">
        <f t="shared" si="7"/>
        <v>-1.0500000000000007</v>
      </c>
      <c r="K58" s="54">
        <f t="shared" si="8"/>
        <v>4.9560164415289236</v>
      </c>
      <c r="L58" s="54">
        <f t="shared" si="1"/>
        <v>2.9913209509002843</v>
      </c>
      <c r="M58" s="47">
        <f t="shared" si="3"/>
        <v>1.599283696630845E-3</v>
      </c>
      <c r="N58" s="47"/>
      <c r="O58" s="54">
        <f t="shared" si="4"/>
        <v>5.0090216751425078</v>
      </c>
      <c r="P58" s="54">
        <f t="shared" si="5"/>
        <v>2.9012651437924295</v>
      </c>
      <c r="Q58" s="47">
        <f t="shared" si="6"/>
        <v>1.5992836966310117E-3</v>
      </c>
    </row>
    <row r="59" spans="1:17" x14ac:dyDescent="0.2">
      <c r="A59" s="32">
        <v>33.85</v>
      </c>
      <c r="B59" s="28">
        <v>5.064186069485995</v>
      </c>
      <c r="C59" s="28">
        <v>3.0443827953455265</v>
      </c>
      <c r="E59" s="43">
        <v>32.800000000000004</v>
      </c>
      <c r="F59" s="28">
        <v>5.12</v>
      </c>
      <c r="G59" s="28">
        <v>2.95</v>
      </c>
      <c r="J59" s="43">
        <f t="shared" si="7"/>
        <v>-1.0499999999999972</v>
      </c>
      <c r="K59" s="54">
        <f t="shared" si="8"/>
        <v>5.0650817242372712</v>
      </c>
      <c r="L59" s="54">
        <f t="shared" si="1"/>
        <v>3.0433282975711968</v>
      </c>
      <c r="M59" s="47">
        <f t="shared" si="3"/>
        <v>1.3835327930879558E-3</v>
      </c>
      <c r="N59" s="47"/>
      <c r="O59" s="54">
        <f t="shared" si="4"/>
        <v>5.1191238192425494</v>
      </c>
      <c r="P59" s="54">
        <f t="shared" si="5"/>
        <v>2.951070733519519</v>
      </c>
      <c r="Q59" s="47">
        <f t="shared" si="6"/>
        <v>1.3835327930873007E-3</v>
      </c>
    </row>
    <row r="60" spans="1:17" x14ac:dyDescent="0.2">
      <c r="A60" s="32">
        <v>66.38</v>
      </c>
      <c r="B60" s="28">
        <v>5.1341488649028868</v>
      </c>
      <c r="C60" s="28">
        <v>3.1223845913495771</v>
      </c>
      <c r="E60" s="43">
        <v>65.33</v>
      </c>
      <c r="F60" s="28">
        <v>5.19</v>
      </c>
      <c r="G60" s="28">
        <v>3.03</v>
      </c>
      <c r="J60" s="43">
        <f t="shared" si="7"/>
        <v>-1.0499999999999972</v>
      </c>
      <c r="K60" s="54">
        <f t="shared" si="8"/>
        <v>5.1336039756298604</v>
      </c>
      <c r="L60" s="54">
        <f t="shared" si="1"/>
        <v>3.1245976095166705</v>
      </c>
      <c r="M60" s="47">
        <f t="shared" si="3"/>
        <v>2.2791124868563918E-3</v>
      </c>
      <c r="N60" s="47"/>
      <c r="O60" s="54">
        <f t="shared" si="4"/>
        <v>5.1905042443714979</v>
      </c>
      <c r="P60" s="54">
        <f t="shared" si="5"/>
        <v>3.0277773683747506</v>
      </c>
      <c r="Q60" s="47">
        <f t="shared" si="6"/>
        <v>2.279112486856381E-3</v>
      </c>
    </row>
    <row r="61" spans="1:17" x14ac:dyDescent="0.2">
      <c r="A61" s="32">
        <v>90.82</v>
      </c>
      <c r="B61" s="28">
        <v>5.1529736611247774</v>
      </c>
      <c r="C61" s="28">
        <v>3.1947187225754186</v>
      </c>
      <c r="E61" s="43">
        <v>89.77</v>
      </c>
      <c r="F61" s="28">
        <v>5.21</v>
      </c>
      <c r="G61" s="28">
        <v>3.1</v>
      </c>
      <c r="J61" s="43">
        <f t="shared" si="7"/>
        <v>-1.0499999999999972</v>
      </c>
      <c r="K61" s="54">
        <f t="shared" si="8"/>
        <v>5.1523178721190694</v>
      </c>
      <c r="L61" s="54">
        <f t="shared" si="1"/>
        <v>3.1949523540488709</v>
      </c>
      <c r="M61" s="47">
        <f t="shared" si="3"/>
        <v>6.9616297330074789E-4</v>
      </c>
      <c r="N61" s="47"/>
      <c r="O61" s="54">
        <f t="shared" si="4"/>
        <v>5.2106513976077453</v>
      </c>
      <c r="P61" s="54">
        <f t="shared" si="5"/>
        <v>3.0997543904683895</v>
      </c>
      <c r="Q61" s="47">
        <f t="shared" si="6"/>
        <v>6.9616297330031172E-4</v>
      </c>
    </row>
    <row r="62" spans="1:17" x14ac:dyDescent="0.2">
      <c r="A62" s="32">
        <v>147.27000000000001</v>
      </c>
      <c r="B62" s="28">
        <v>5.1121918011891854</v>
      </c>
      <c r="C62" s="28">
        <v>3.2490281950805713</v>
      </c>
      <c r="E62" s="43">
        <v>146.22</v>
      </c>
      <c r="F62" s="28">
        <v>5.17</v>
      </c>
      <c r="G62" s="28">
        <v>3.15</v>
      </c>
      <c r="J62" s="43">
        <f t="shared" si="7"/>
        <v>-1.0500000000000114</v>
      </c>
      <c r="K62" s="54">
        <f t="shared" si="8"/>
        <v>5.1114083421753911</v>
      </c>
      <c r="L62" s="54">
        <f t="shared" si="1"/>
        <v>3.2442109610103693</v>
      </c>
      <c r="M62" s="47">
        <f t="shared" si="3"/>
        <v>4.8805278519244251E-3</v>
      </c>
      <c r="N62" s="47"/>
      <c r="O62" s="54">
        <f t="shared" si="4"/>
        <v>5.1708716029426185</v>
      </c>
      <c r="P62" s="54">
        <f t="shared" si="5"/>
        <v>3.1548020683485172</v>
      </c>
      <c r="Q62" s="47">
        <f t="shared" si="6"/>
        <v>4.8805278519246931E-3</v>
      </c>
    </row>
    <row r="63" spans="1:17" x14ac:dyDescent="0.2">
      <c r="A63" s="32">
        <v>173.22</v>
      </c>
      <c r="B63" s="28">
        <v>5.0111567327671542</v>
      </c>
      <c r="C63" s="28">
        <v>3.2821906476101512</v>
      </c>
      <c r="E63" s="43">
        <v>172.17</v>
      </c>
      <c r="F63" s="28">
        <v>5.07</v>
      </c>
      <c r="G63" s="28">
        <v>3.19</v>
      </c>
      <c r="J63" s="43">
        <f t="shared" si="7"/>
        <v>-1.0500000000000114</v>
      </c>
      <c r="K63" s="54">
        <f t="shared" si="8"/>
        <v>5.010692136484864</v>
      </c>
      <c r="L63" s="54">
        <f t="shared" si="1"/>
        <v>3.2823717512446322</v>
      </c>
      <c r="M63" s="47">
        <f t="shared" si="3"/>
        <v>4.9864639970637037E-4</v>
      </c>
      <c r="N63" s="47"/>
      <c r="O63" s="54">
        <f t="shared" si="4"/>
        <v>5.0704611995576254</v>
      </c>
      <c r="P63" s="54">
        <f t="shared" si="5"/>
        <v>3.1898104130806542</v>
      </c>
      <c r="Q63" s="47">
        <f t="shared" si="6"/>
        <v>4.9864639970689296E-4</v>
      </c>
    </row>
    <row r="64" spans="1:17" x14ac:dyDescent="0.2">
      <c r="A64" s="32">
        <v>191.95</v>
      </c>
      <c r="B64" s="28">
        <v>4.8437796254944923</v>
      </c>
      <c r="C64" s="28">
        <v>3.266816068208128</v>
      </c>
      <c r="E64" s="43">
        <v>190.89999999999998</v>
      </c>
      <c r="F64" s="28">
        <v>4.9000000000000004</v>
      </c>
      <c r="G64" s="28">
        <v>3.18</v>
      </c>
      <c r="J64" s="43">
        <f t="shared" si="7"/>
        <v>-1.0500000000000114</v>
      </c>
      <c r="K64" s="54">
        <f t="shared" si="8"/>
        <v>4.8409039314598639</v>
      </c>
      <c r="L64" s="54">
        <f t="shared" si="1"/>
        <v>3.2692581920638264</v>
      </c>
      <c r="M64" s="47">
        <f t="shared" si="3"/>
        <v>3.7727423855027065E-3</v>
      </c>
      <c r="N64" s="47"/>
      <c r="O64" s="54">
        <f t="shared" si="4"/>
        <v>4.9028304594084702</v>
      </c>
      <c r="P64" s="54">
        <f t="shared" si="5"/>
        <v>3.1775055893192232</v>
      </c>
      <c r="Q64" s="47">
        <f t="shared" si="6"/>
        <v>3.7727423855028045E-3</v>
      </c>
    </row>
    <row r="65" spans="1:17" x14ac:dyDescent="0.2">
      <c r="A65" s="32">
        <v>44.52</v>
      </c>
      <c r="B65" s="28">
        <v>4.780615841631441</v>
      </c>
      <c r="C65" s="28">
        <v>3.2870612652317281</v>
      </c>
      <c r="E65" s="43">
        <v>43.470000000000006</v>
      </c>
      <c r="F65" s="28">
        <v>4.84</v>
      </c>
      <c r="G65" s="28">
        <v>3.2</v>
      </c>
      <c r="J65" s="43">
        <f t="shared" si="7"/>
        <v>-1.0499999999999972</v>
      </c>
      <c r="K65" s="54">
        <f t="shared" si="8"/>
        <v>4.7805475077711321</v>
      </c>
      <c r="L65" s="54">
        <f t="shared" si="1"/>
        <v>3.2881553378669959</v>
      </c>
      <c r="M65" s="47">
        <f t="shared" si="3"/>
        <v>1.0962045647170014E-3</v>
      </c>
      <c r="N65" s="47"/>
      <c r="O65" s="54">
        <f t="shared" si="4"/>
        <v>4.8400482735799999</v>
      </c>
      <c r="P65" s="54">
        <f t="shared" si="5"/>
        <v>3.1989048588633517</v>
      </c>
      <c r="Q65" s="47">
        <f t="shared" si="6"/>
        <v>1.0962045647166633E-3</v>
      </c>
    </row>
    <row r="66" spans="1:17" x14ac:dyDescent="0.2">
      <c r="A66" s="32">
        <v>128.77000000000001</v>
      </c>
      <c r="B66" s="28">
        <v>4.7859187653611794</v>
      </c>
      <c r="C66" s="28">
        <v>3.3775196282613051</v>
      </c>
      <c r="E66" s="43">
        <v>127.72000000000001</v>
      </c>
      <c r="F66" s="28">
        <v>4.8499999999999996</v>
      </c>
      <c r="G66" s="28">
        <v>3.29</v>
      </c>
      <c r="J66" s="43">
        <f t="shared" si="7"/>
        <v>-1.0499999999999972</v>
      </c>
      <c r="K66" s="54">
        <f t="shared" si="8"/>
        <v>4.7888965847889509</v>
      </c>
      <c r="L66" s="54">
        <f t="shared" si="1"/>
        <v>3.3783234747721718</v>
      </c>
      <c r="M66" s="47">
        <f t="shared" si="3"/>
        <v>3.0844088181441456E-3</v>
      </c>
      <c r="N66" s="47"/>
      <c r="O66" s="54">
        <f t="shared" si="4"/>
        <v>4.847007950162558</v>
      </c>
      <c r="P66" s="54">
        <f t="shared" si="5"/>
        <v>3.2892508568042698</v>
      </c>
      <c r="Q66" s="47">
        <f t="shared" si="6"/>
        <v>3.0844088181438186E-3</v>
      </c>
    </row>
    <row r="67" spans="1:17" x14ac:dyDescent="0.2">
      <c r="A67" s="32">
        <v>223.58</v>
      </c>
      <c r="B67" s="28">
        <v>4.6639043870426971</v>
      </c>
      <c r="C67" s="28">
        <v>3.3454372067417384</v>
      </c>
      <c r="E67" s="43">
        <v>222.53</v>
      </c>
      <c r="F67" s="28">
        <v>4.72</v>
      </c>
      <c r="G67" s="28">
        <v>3.26</v>
      </c>
      <c r="J67" s="43">
        <f t="shared" si="7"/>
        <v>-1.0500000000000114</v>
      </c>
      <c r="K67" s="54">
        <f t="shared" si="8"/>
        <v>4.6594681617657452</v>
      </c>
      <c r="L67" s="54">
        <f t="shared" si="1"/>
        <v>3.3459462711602743</v>
      </c>
      <c r="M67" s="47">
        <f t="shared" si="3"/>
        <v>4.4653377576714158E-3</v>
      </c>
      <c r="N67" s="47"/>
      <c r="O67" s="54">
        <f t="shared" si="4"/>
        <v>4.7244261517947415</v>
      </c>
      <c r="P67" s="54">
        <f t="shared" si="5"/>
        <v>3.2594097275374905</v>
      </c>
      <c r="Q67" s="47">
        <f t="shared" si="6"/>
        <v>4.4653377576720924E-3</v>
      </c>
    </row>
    <row r="68" spans="1:17" x14ac:dyDescent="0.2">
      <c r="A68" s="32">
        <v>225.7</v>
      </c>
      <c r="B68" s="28">
        <v>4.3787557130537378</v>
      </c>
      <c r="C68" s="28">
        <v>3.0659730877014022</v>
      </c>
      <c r="E68" s="43">
        <v>224.64999999999998</v>
      </c>
      <c r="F68" s="28">
        <v>4.43</v>
      </c>
      <c r="G68" s="28">
        <v>2.99</v>
      </c>
      <c r="J68" s="43">
        <f t="shared" si="7"/>
        <v>-1.0500000000000114</v>
      </c>
      <c r="K68" s="54">
        <f t="shared" si="8"/>
        <v>4.3744645887821116</v>
      </c>
      <c r="L68" s="54">
        <f t="shared" si="1"/>
        <v>3.0706773782817605</v>
      </c>
      <c r="M68" s="47">
        <f t="shared" si="3"/>
        <v>6.3674247054037857E-3</v>
      </c>
      <c r="N68" s="47"/>
      <c r="O68" s="54">
        <f t="shared" si="4"/>
        <v>4.4342041979225382</v>
      </c>
      <c r="P68" s="54">
        <f t="shared" si="5"/>
        <v>2.9852178647857781</v>
      </c>
      <c r="Q68" s="47">
        <f t="shared" si="6"/>
        <v>6.3674247054032575E-3</v>
      </c>
    </row>
    <row r="69" spans="1:17" x14ac:dyDescent="0.2">
      <c r="A69" s="32">
        <v>220.78</v>
      </c>
      <c r="B69" s="28">
        <v>4.1907236896271707</v>
      </c>
      <c r="C69" s="28">
        <v>2.8871777066937914</v>
      </c>
      <c r="E69" s="43">
        <v>219.73</v>
      </c>
      <c r="F69" s="28">
        <v>4.24</v>
      </c>
      <c r="G69" s="28">
        <v>2.81</v>
      </c>
      <c r="J69" s="43">
        <f t="shared" si="7"/>
        <v>-1.0500000000000114</v>
      </c>
      <c r="K69" s="54">
        <f t="shared" si="8"/>
        <v>4.1877949804075136</v>
      </c>
      <c r="L69" s="54">
        <f t="shared" si="1"/>
        <v>2.8872258661340711</v>
      </c>
      <c r="M69" s="47">
        <f t="shared" si="3"/>
        <v>2.9291051577217614E-3</v>
      </c>
      <c r="N69" s="47"/>
      <c r="O69" s="54">
        <f t="shared" si="4"/>
        <v>4.2429273349250973</v>
      </c>
      <c r="P69" s="54">
        <f t="shared" si="5"/>
        <v>2.8098981802509146</v>
      </c>
      <c r="Q69" s="47">
        <f t="shared" si="6"/>
        <v>2.9291051577226002E-3</v>
      </c>
    </row>
    <row r="70" spans="1:17" x14ac:dyDescent="0.2">
      <c r="A70" s="32">
        <v>306.22000000000003</v>
      </c>
      <c r="B70" s="28">
        <v>4.1221414949155637</v>
      </c>
      <c r="C70" s="28">
        <v>2.7820686010400153</v>
      </c>
      <c r="E70" s="43">
        <v>305.17</v>
      </c>
      <c r="F70" s="28">
        <v>4.17</v>
      </c>
      <c r="G70" s="28">
        <v>2.71</v>
      </c>
      <c r="J70" s="43">
        <f t="shared" si="7"/>
        <v>-1.0500000000000114</v>
      </c>
      <c r="K70" s="54">
        <f t="shared" si="8"/>
        <v>4.1196392276428453</v>
      </c>
      <c r="L70" s="54">
        <f t="shared" si="1"/>
        <v>2.7859599125016605</v>
      </c>
      <c r="M70" s="47">
        <f t="shared" si="3"/>
        <v>4.6264075042790108E-3</v>
      </c>
      <c r="N70" s="47"/>
      <c r="O70" s="54">
        <f t="shared" si="4"/>
        <v>4.1724305390872996</v>
      </c>
      <c r="P70" s="54">
        <f t="shared" si="5"/>
        <v>2.7060634880743528</v>
      </c>
      <c r="Q70" s="47">
        <f t="shared" si="6"/>
        <v>4.6264075042794792E-3</v>
      </c>
    </row>
    <row r="71" spans="1:17" x14ac:dyDescent="0.2">
      <c r="A71" s="32">
        <v>207.42</v>
      </c>
      <c r="B71" s="28">
        <v>4.1117823587147617</v>
      </c>
      <c r="C71" s="28">
        <v>2.7378327484431058</v>
      </c>
      <c r="E71" s="43">
        <v>206.36999999999998</v>
      </c>
      <c r="F71" s="28">
        <v>4.16</v>
      </c>
      <c r="G71" s="28">
        <v>2.66</v>
      </c>
      <c r="J71" s="43">
        <f t="shared" si="7"/>
        <v>-1.0500000000000114</v>
      </c>
      <c r="K71" s="54">
        <f t="shared" si="8"/>
        <v>4.1105571533691823</v>
      </c>
      <c r="L71" s="54">
        <f t="shared" si="1"/>
        <v>2.7357850589703583</v>
      </c>
      <c r="M71" s="47">
        <f t="shared" si="3"/>
        <v>2.3862439765533834E-3</v>
      </c>
      <c r="N71" s="47"/>
      <c r="O71" s="54">
        <f t="shared" si="4"/>
        <v>4.1612625233835328</v>
      </c>
      <c r="P71" s="54">
        <f t="shared" si="5"/>
        <v>2.6620248938297286</v>
      </c>
      <c r="Q71" s="47">
        <f t="shared" si="6"/>
        <v>2.3862439765537599E-3</v>
      </c>
    </row>
    <row r="72" spans="1:17" x14ac:dyDescent="0.2">
      <c r="A72" s="32">
        <v>190.18</v>
      </c>
      <c r="B72" s="28">
        <v>4.0034940784760833</v>
      </c>
      <c r="C72" s="28">
        <v>2.7078767283533276</v>
      </c>
      <c r="E72" s="43">
        <v>189.13</v>
      </c>
      <c r="F72" s="28">
        <v>4.05</v>
      </c>
      <c r="G72" s="28">
        <v>2.63</v>
      </c>
      <c r="J72" s="43">
        <f t="shared" si="7"/>
        <v>-1.0500000000000114</v>
      </c>
      <c r="K72" s="54">
        <f t="shared" si="8"/>
        <v>4.001125372032913</v>
      </c>
      <c r="L72" s="54">
        <f t="shared" si="1"/>
        <v>2.7037743539863821</v>
      </c>
      <c r="M72" s="47">
        <f t="shared" si="3"/>
        <v>4.7371136423446803E-3</v>
      </c>
      <c r="N72" s="47"/>
      <c r="O72" s="54">
        <f t="shared" si="4"/>
        <v>4.0524434844291157</v>
      </c>
      <c r="P72" s="54">
        <f t="shared" si="5"/>
        <v>2.6340582791310054</v>
      </c>
      <c r="Q72" s="47">
        <f t="shared" si="6"/>
        <v>4.7371136423445597E-3</v>
      </c>
    </row>
    <row r="73" spans="1:17" x14ac:dyDescent="0.2">
      <c r="A73" s="32">
        <v>195.47</v>
      </c>
      <c r="B73" s="28">
        <v>3.8126496848895504</v>
      </c>
      <c r="C73" s="28">
        <v>2.6625718042648114</v>
      </c>
      <c r="E73" s="43">
        <v>194.42</v>
      </c>
      <c r="F73" s="28">
        <v>3.86</v>
      </c>
      <c r="G73" s="28">
        <v>2.59</v>
      </c>
      <c r="J73" s="43">
        <f t="shared" si="7"/>
        <v>-1.0500000000000114</v>
      </c>
      <c r="K73" s="54">
        <f t="shared" si="8"/>
        <v>3.8118902732628599</v>
      </c>
      <c r="L73" s="54">
        <f t="shared" si="1"/>
        <v>2.6602993336472491</v>
      </c>
      <c r="M73" s="47">
        <f t="shared" si="3"/>
        <v>2.3960026557657784E-3</v>
      </c>
      <c r="N73" s="47"/>
      <c r="O73" s="54">
        <f t="shared" si="4"/>
        <v>3.8608009269777575</v>
      </c>
      <c r="P73" s="54">
        <f t="shared" si="5"/>
        <v>2.5922581728682137</v>
      </c>
      <c r="Q73" s="47">
        <f t="shared" si="6"/>
        <v>2.3960026557658469E-3</v>
      </c>
    </row>
    <row r="74" spans="1:17" x14ac:dyDescent="0.2">
      <c r="A74" s="32">
        <v>151.69999999999999</v>
      </c>
      <c r="B74" s="28">
        <v>3.668373974044985</v>
      </c>
      <c r="C74" s="28">
        <v>2.6476968638316065</v>
      </c>
      <c r="E74" s="43">
        <v>150.64999999999998</v>
      </c>
      <c r="F74" s="28">
        <v>3.72</v>
      </c>
      <c r="G74" s="28">
        <v>2.58</v>
      </c>
      <c r="J74" s="43">
        <f t="shared" si="7"/>
        <v>-1.0500000000000114</v>
      </c>
      <c r="K74" s="54">
        <f t="shared" si="8"/>
        <v>3.6720970307682652</v>
      </c>
      <c r="L74" s="54">
        <f t="shared" si="1"/>
        <v>2.6477355224083268</v>
      </c>
      <c r="M74" s="47">
        <f t="shared" si="3"/>
        <v>3.7232574246640606E-3</v>
      </c>
      <c r="N74" s="47"/>
      <c r="O74" s="54">
        <f t="shared" si="4"/>
        <v>3.7162768600204559</v>
      </c>
      <c r="P74" s="54">
        <f t="shared" si="5"/>
        <v>2.5800295726736984</v>
      </c>
      <c r="Q74" s="47">
        <f t="shared" si="6"/>
        <v>3.7232574246633759E-3</v>
      </c>
    </row>
    <row r="75" spans="1:17" x14ac:dyDescent="0.2">
      <c r="A75" s="32">
        <v>231.32</v>
      </c>
      <c r="B75" s="28">
        <v>3.6158239441888993</v>
      </c>
      <c r="C75" s="28">
        <v>2.636995887729777</v>
      </c>
      <c r="E75" s="43">
        <v>230.26999999999998</v>
      </c>
      <c r="F75" s="28">
        <v>3.66</v>
      </c>
      <c r="G75" s="28">
        <v>2.57</v>
      </c>
      <c r="J75" s="43">
        <f t="shared" si="7"/>
        <v>-1.0500000000000114</v>
      </c>
      <c r="K75" s="54">
        <f t="shared" si="8"/>
        <v>3.612290355021416</v>
      </c>
      <c r="L75" s="54">
        <f t="shared" si="1"/>
        <v>2.6366377056810917</v>
      </c>
      <c r="M75" s="47">
        <f t="shared" si="3"/>
        <v>3.5516963249348052E-3</v>
      </c>
      <c r="N75" s="47"/>
      <c r="O75" s="54">
        <f t="shared" si="4"/>
        <v>3.6635395594840201</v>
      </c>
      <c r="P75" s="54">
        <f t="shared" si="5"/>
        <v>2.5702933691252361</v>
      </c>
      <c r="Q75" s="47">
        <f t="shared" si="6"/>
        <v>3.5516963249351058E-3</v>
      </c>
    </row>
    <row r="76" spans="1:17" x14ac:dyDescent="0.2">
      <c r="A76" s="32">
        <v>309.37</v>
      </c>
      <c r="B76" s="28">
        <v>3.6161505171639048</v>
      </c>
      <c r="C76" s="28">
        <v>2.5827610267680647</v>
      </c>
      <c r="E76" s="43">
        <v>308.32</v>
      </c>
      <c r="F76" s="28">
        <v>3.66</v>
      </c>
      <c r="G76" s="28">
        <v>2.52</v>
      </c>
      <c r="J76" s="43">
        <f t="shared" si="7"/>
        <v>-1.0500000000000114</v>
      </c>
      <c r="K76" s="54">
        <f t="shared" si="8"/>
        <v>3.6132066015912212</v>
      </c>
      <c r="L76" s="54">
        <f t="shared" si="1"/>
        <v>2.5866461014637503</v>
      </c>
      <c r="M76" s="47">
        <f t="shared" si="3"/>
        <v>4.8744686161821911E-3</v>
      </c>
      <c r="N76" s="47"/>
      <c r="O76" s="54">
        <f t="shared" si="4"/>
        <v>3.6628722275159107</v>
      </c>
      <c r="P76" s="54">
        <f t="shared" si="5"/>
        <v>2.5160616306182644</v>
      </c>
      <c r="Q76" s="47">
        <f t="shared" si="6"/>
        <v>4.8744686161823229E-3</v>
      </c>
    </row>
    <row r="77" spans="1:17" x14ac:dyDescent="0.2">
      <c r="A77" s="32">
        <v>294.97000000000003</v>
      </c>
      <c r="B77" s="28">
        <v>3.6530282475144715</v>
      </c>
      <c r="C77" s="28">
        <v>2.5241321280062428</v>
      </c>
      <c r="E77" s="43">
        <v>293.92</v>
      </c>
      <c r="F77" s="28">
        <v>3.7</v>
      </c>
      <c r="G77" s="28">
        <v>2.46</v>
      </c>
      <c r="J77" s="43">
        <f t="shared" si="7"/>
        <v>-1.0500000000000114</v>
      </c>
      <c r="K77" s="54">
        <f t="shared" si="8"/>
        <v>3.6542993808488604</v>
      </c>
      <c r="L77" s="54">
        <f t="shared" ref="L77:L131" si="9">COS(RADIANS(J77))*G77 + -SIN(RADIANS(J77))*F77</f>
        <v>2.527389173658785</v>
      </c>
      <c r="M77" s="47">
        <f t="shared" si="3"/>
        <v>3.4963018085598704E-3</v>
      </c>
      <c r="N77" s="47"/>
      <c r="O77" s="54">
        <f t="shared" si="4"/>
        <v>3.6986693949706582</v>
      </c>
      <c r="P77" s="54">
        <f t="shared" si="5"/>
        <v>2.456766794687554</v>
      </c>
      <c r="Q77" s="47">
        <f t="shared" si="6"/>
        <v>3.4963018085598868E-3</v>
      </c>
    </row>
    <row r="78" spans="1:17" x14ac:dyDescent="0.2">
      <c r="A78" s="32">
        <v>177.18</v>
      </c>
      <c r="B78" s="28">
        <v>3.6328995240804476</v>
      </c>
      <c r="C78" s="28">
        <v>2.4942056424454027</v>
      </c>
      <c r="E78" s="43">
        <v>176.13</v>
      </c>
      <c r="F78" s="28">
        <v>3.68</v>
      </c>
      <c r="G78" s="28">
        <v>2.4300000000000002</v>
      </c>
      <c r="J78" s="43">
        <f t="shared" si="7"/>
        <v>-1.0500000000000114</v>
      </c>
      <c r="K78" s="54">
        <f t="shared" si="8"/>
        <v>3.6348524871038075</v>
      </c>
      <c r="L78" s="54">
        <f t="shared" si="9"/>
        <v>2.4970277125004579</v>
      </c>
      <c r="M78" s="47">
        <f t="shared" si="3"/>
        <v>3.4319300643005906E-3</v>
      </c>
      <c r="N78" s="47"/>
      <c r="O78" s="54">
        <f t="shared" si="4"/>
        <v>3.6779956506695486</v>
      </c>
      <c r="P78" s="54">
        <f t="shared" si="5"/>
        <v>2.4272141917281038</v>
      </c>
      <c r="Q78" s="47">
        <f t="shared" si="6"/>
        <v>3.4319300643002228E-3</v>
      </c>
    </row>
    <row r="79" spans="1:17" x14ac:dyDescent="0.2">
      <c r="A79" s="32">
        <v>237.65</v>
      </c>
      <c r="B79" s="28">
        <v>3.5349965314400773</v>
      </c>
      <c r="C79" s="28">
        <v>2.3963981250051143</v>
      </c>
      <c r="E79" s="43">
        <v>236.6</v>
      </c>
      <c r="F79" s="28">
        <v>3.58</v>
      </c>
      <c r="G79" s="28">
        <v>2.33</v>
      </c>
      <c r="J79" s="43">
        <f t="shared" si="7"/>
        <v>-1.0500000000000114</v>
      </c>
      <c r="K79" s="54">
        <f t="shared" ref="K79:K110" si="10">SIN(RADIANS(J79))*G79 + COS(RADIANS(J79))*F79</f>
        <v>3.5367017718087346</v>
      </c>
      <c r="L79" s="54">
        <f t="shared" si="9"/>
        <v>2.3952120109261643</v>
      </c>
      <c r="M79" s="47">
        <f t="shared" si="3"/>
        <v>2.077188321549522E-3</v>
      </c>
      <c r="N79" s="47"/>
      <c r="O79" s="54">
        <f t="shared" si="4"/>
        <v>3.5783167814270183</v>
      </c>
      <c r="P79" s="54">
        <f t="shared" si="5"/>
        <v>2.3312171633245988</v>
      </c>
      <c r="Q79" s="47">
        <f t="shared" si="6"/>
        <v>2.0771883215489249E-3</v>
      </c>
    </row>
    <row r="80" spans="1:17" x14ac:dyDescent="0.2">
      <c r="A80" s="32">
        <v>228.17</v>
      </c>
      <c r="B80" s="28">
        <v>3.3701086066005597</v>
      </c>
      <c r="C80" s="28">
        <v>2.1830810319236775</v>
      </c>
      <c r="E80" s="43">
        <v>227.11999999999998</v>
      </c>
      <c r="F80" s="28">
        <v>3.41</v>
      </c>
      <c r="G80" s="28">
        <v>2.12</v>
      </c>
      <c r="J80" s="43">
        <f t="shared" si="7"/>
        <v>-1.0500000000000114</v>
      </c>
      <c r="K80" s="54">
        <f t="shared" si="10"/>
        <v>3.3705785530629551</v>
      </c>
      <c r="L80" s="54">
        <f t="shared" si="9"/>
        <v>2.1821320348759925</v>
      </c>
      <c r="M80" s="47">
        <f t="shared" ref="M80:M131" si="11">SQRT(SUMSQ(K80-B80,L80-C80))</f>
        <v>1.0589830376511477E-3</v>
      </c>
      <c r="N80" s="47"/>
      <c r="O80" s="54">
        <f t="shared" ref="O80:O131" si="12">SIN(RADIANS(-J80))*C80 + COS(RADIANS(-J80))*B80</f>
        <v>3.4095475227547665</v>
      </c>
      <c r="P80" s="54">
        <f t="shared" ref="P80:P131" si="13">COS(RADIANS(-J80))*C80  + -SIN(RADIANS(-J80))*B80</f>
        <v>2.1209574494329093</v>
      </c>
      <c r="Q80" s="47">
        <f t="shared" ref="Q80:Q131" si="14">SQRT(SUMSQ(O80-F80,P80-G80))</f>
        <v>1.0589830376509424E-3</v>
      </c>
    </row>
    <row r="81" spans="1:17" x14ac:dyDescent="0.2">
      <c r="A81" s="32">
        <v>243.63</v>
      </c>
      <c r="B81" s="28">
        <v>3.26825894841497</v>
      </c>
      <c r="C81" s="28">
        <v>2.0692883551700807</v>
      </c>
      <c r="E81" s="43">
        <v>242.57999999999998</v>
      </c>
      <c r="F81" s="28">
        <v>3.31</v>
      </c>
      <c r="G81" s="28">
        <v>2.0099999999999998</v>
      </c>
      <c r="J81" s="43">
        <f t="shared" si="7"/>
        <v>-1.0500000000000114</v>
      </c>
      <c r="K81" s="54">
        <f t="shared" si="10"/>
        <v>3.272611087081843</v>
      </c>
      <c r="L81" s="54">
        <f t="shared" si="9"/>
        <v>2.0703180124582303</v>
      </c>
      <c r="M81" s="47">
        <f t="shared" si="11"/>
        <v>4.4722818679876165E-3</v>
      </c>
      <c r="N81" s="47"/>
      <c r="O81" s="54">
        <f t="shared" si="12"/>
        <v>3.3056297237261671</v>
      </c>
      <c r="P81" s="54">
        <f t="shared" si="13"/>
        <v>2.0090502682499229</v>
      </c>
      <c r="Q81" s="47">
        <f t="shared" si="14"/>
        <v>4.4722818679876226E-3</v>
      </c>
    </row>
    <row r="82" spans="1:17" x14ac:dyDescent="0.2">
      <c r="A82" s="32">
        <v>160.66999999999999</v>
      </c>
      <c r="B82" s="28">
        <v>3.1570906270699046</v>
      </c>
      <c r="C82" s="28">
        <v>2.1082843056055092</v>
      </c>
      <c r="E82" s="43">
        <v>159.61999999999998</v>
      </c>
      <c r="F82" s="28">
        <v>3.2</v>
      </c>
      <c r="G82" s="28">
        <v>2.0499999999999998</v>
      </c>
      <c r="J82" s="43">
        <f t="shared" si="7"/>
        <v>-1.0500000000000114</v>
      </c>
      <c r="K82" s="54">
        <f t="shared" si="10"/>
        <v>3.1618965605478477</v>
      </c>
      <c r="L82" s="54">
        <f t="shared" si="9"/>
        <v>2.1082955533785324</v>
      </c>
      <c r="M82" s="47">
        <f t="shared" si="11"/>
        <v>4.8059466400296597E-3</v>
      </c>
      <c r="N82" s="47"/>
      <c r="O82" s="54">
        <f t="shared" si="12"/>
        <v>3.1951946673988472</v>
      </c>
      <c r="P82" s="54">
        <f t="shared" si="13"/>
        <v>2.0500768225169312</v>
      </c>
      <c r="Q82" s="47">
        <f t="shared" si="14"/>
        <v>4.8059466400295842E-3</v>
      </c>
    </row>
    <row r="83" spans="1:17" x14ac:dyDescent="0.2">
      <c r="A83" s="32">
        <v>96.32</v>
      </c>
      <c r="B83" s="28">
        <v>3.0291110428712256</v>
      </c>
      <c r="C83" s="28">
        <v>2.299067979949609</v>
      </c>
      <c r="E83" s="43">
        <v>95.27</v>
      </c>
      <c r="F83" s="28">
        <v>3.07</v>
      </c>
      <c r="G83" s="28">
        <v>2.2400000000000002</v>
      </c>
      <c r="J83" s="43">
        <f t="shared" si="7"/>
        <v>-1.0499999999999972</v>
      </c>
      <c r="K83" s="54">
        <f t="shared" si="10"/>
        <v>3.0284366526175002</v>
      </c>
      <c r="L83" s="54">
        <f t="shared" si="9"/>
        <v>2.2958814083229364</v>
      </c>
      <c r="M83" s="47">
        <f t="shared" si="11"/>
        <v>3.2571522755674939E-3</v>
      </c>
      <c r="N83" s="47"/>
      <c r="O83" s="54">
        <f t="shared" si="12"/>
        <v>3.0707326707194933</v>
      </c>
      <c r="P83" s="54">
        <f t="shared" si="13"/>
        <v>2.2431736783962828</v>
      </c>
      <c r="Q83" s="47">
        <f t="shared" si="14"/>
        <v>3.2571522755673855E-3</v>
      </c>
    </row>
    <row r="84" spans="1:17" x14ac:dyDescent="0.2">
      <c r="A84" s="32">
        <v>114.6</v>
      </c>
      <c r="B84" s="28">
        <v>2.9341968172645889</v>
      </c>
      <c r="C84" s="28">
        <v>2.6214473118410186</v>
      </c>
      <c r="E84" s="43">
        <v>113.55</v>
      </c>
      <c r="F84" s="28">
        <v>2.98</v>
      </c>
      <c r="G84" s="28">
        <v>2.57</v>
      </c>
      <c r="J84" s="43">
        <f t="shared" si="7"/>
        <v>-1.0499999999999972</v>
      </c>
      <c r="K84" s="54">
        <f t="shared" si="10"/>
        <v>2.9324045376655716</v>
      </c>
      <c r="L84" s="54">
        <f t="shared" si="9"/>
        <v>2.6241767523317412</v>
      </c>
      <c r="M84" s="47">
        <f t="shared" si="11"/>
        <v>3.2652888928009572E-3</v>
      </c>
      <c r="N84" s="47"/>
      <c r="O84" s="54">
        <f t="shared" si="12"/>
        <v>2.9817419618374754</v>
      </c>
      <c r="P84" s="54">
        <f t="shared" si="13"/>
        <v>2.5672381744243657</v>
      </c>
      <c r="Q84" s="47">
        <f t="shared" si="14"/>
        <v>3.2652888928006631E-3</v>
      </c>
    </row>
    <row r="85" spans="1:17" x14ac:dyDescent="0.2">
      <c r="A85" s="32">
        <v>144.13</v>
      </c>
      <c r="B85" s="28">
        <v>2.6686978822643765</v>
      </c>
      <c r="C85" s="28">
        <v>2.9275419231254425</v>
      </c>
      <c r="E85" s="43">
        <v>143.07999999999998</v>
      </c>
      <c r="F85" s="28">
        <v>2.72</v>
      </c>
      <c r="G85" s="28">
        <v>2.88</v>
      </c>
      <c r="J85" s="43">
        <f t="shared" si="7"/>
        <v>-1.0500000000000114</v>
      </c>
      <c r="K85" s="54">
        <f t="shared" si="10"/>
        <v>2.6667674670026034</v>
      </c>
      <c r="L85" s="54">
        <f t="shared" si="9"/>
        <v>2.9293602163162729</v>
      </c>
      <c r="M85" s="47">
        <f t="shared" si="11"/>
        <v>2.651922549907316E-3</v>
      </c>
      <c r="N85" s="47"/>
      <c r="O85" s="54">
        <f t="shared" si="12"/>
        <v>2.721896771016854</v>
      </c>
      <c r="P85" s="54">
        <f t="shared" si="13"/>
        <v>2.8781466374018208</v>
      </c>
      <c r="Q85" s="47">
        <f t="shared" si="14"/>
        <v>2.6519225499071421E-3</v>
      </c>
    </row>
    <row r="86" spans="1:17" x14ac:dyDescent="0.2">
      <c r="A86" s="32">
        <v>142.03</v>
      </c>
      <c r="B86" s="28">
        <v>2.2989982473980466</v>
      </c>
      <c r="C86" s="28">
        <v>3.205322112517599</v>
      </c>
      <c r="E86" s="43">
        <v>140.97999999999999</v>
      </c>
      <c r="F86" s="28">
        <v>2.36</v>
      </c>
      <c r="G86" s="28">
        <v>3.16</v>
      </c>
      <c r="J86" s="43">
        <f t="shared" si="7"/>
        <v>-1.0500000000000114</v>
      </c>
      <c r="K86" s="54">
        <f t="shared" si="10"/>
        <v>2.3016969358468353</v>
      </c>
      <c r="L86" s="54">
        <f t="shared" si="9"/>
        <v>3.2027162246307888</v>
      </c>
      <c r="M86" s="47">
        <f t="shared" si="11"/>
        <v>3.7514758458838848E-3</v>
      </c>
      <c r="N86" s="47"/>
      <c r="O86" s="54">
        <f t="shared" si="12"/>
        <v>2.3573495174199968</v>
      </c>
      <c r="P86" s="54">
        <f t="shared" si="13"/>
        <v>3.1626549035981277</v>
      </c>
      <c r="Q86" s="47">
        <f t="shared" si="14"/>
        <v>3.751475845883959E-3</v>
      </c>
    </row>
    <row r="87" spans="1:17" x14ac:dyDescent="0.2">
      <c r="A87" s="32">
        <v>137.47</v>
      </c>
      <c r="B87" s="28">
        <v>1.8545711790929347</v>
      </c>
      <c r="C87" s="28">
        <v>3.5815573978379085</v>
      </c>
      <c r="E87" s="43">
        <v>136.41999999999999</v>
      </c>
      <c r="F87" s="28">
        <v>1.92</v>
      </c>
      <c r="G87" s="28">
        <v>3.55</v>
      </c>
      <c r="J87" s="43">
        <f t="shared" si="7"/>
        <v>-1.0500000000000114</v>
      </c>
      <c r="K87" s="54">
        <f t="shared" si="10"/>
        <v>1.8546240954897493</v>
      </c>
      <c r="L87" s="54">
        <f t="shared" si="9"/>
        <v>3.584587767711767</v>
      </c>
      <c r="M87" s="47">
        <f t="shared" si="11"/>
        <v>3.0308318523865909E-3</v>
      </c>
      <c r="N87" s="47"/>
      <c r="O87" s="54">
        <f t="shared" si="12"/>
        <v>1.9198915611686334</v>
      </c>
      <c r="P87" s="54">
        <f t="shared" si="13"/>
        <v>3.5469711086620199</v>
      </c>
      <c r="Q87" s="47">
        <f t="shared" si="14"/>
        <v>3.0308318523860436E-3</v>
      </c>
    </row>
    <row r="88" spans="1:17" x14ac:dyDescent="0.2">
      <c r="A88" s="32">
        <v>122.68</v>
      </c>
      <c r="B88" s="28">
        <v>1.5865246749499535</v>
      </c>
      <c r="C88" s="28">
        <v>3.8835112588246257</v>
      </c>
      <c r="E88" s="43">
        <v>121.63000000000001</v>
      </c>
      <c r="F88" s="28">
        <v>1.66</v>
      </c>
      <c r="G88" s="28">
        <v>3.85</v>
      </c>
      <c r="J88" s="43">
        <f t="shared" ref="J88:J131" si="15">E88-A88</f>
        <v>-1.0499999999999972</v>
      </c>
      <c r="K88" s="54">
        <f t="shared" si="10"/>
        <v>1.5891702741407434</v>
      </c>
      <c r="L88" s="54">
        <f t="shared" si="9"/>
        <v>3.8797729108528292</v>
      </c>
      <c r="M88" s="47">
        <f t="shared" si="11"/>
        <v>4.5797860906971561E-3</v>
      </c>
      <c r="N88" s="47"/>
      <c r="O88" s="54">
        <f t="shared" si="12"/>
        <v>1.657423350016844</v>
      </c>
      <c r="P88" s="54">
        <f t="shared" si="13"/>
        <v>3.8537862006683281</v>
      </c>
      <c r="Q88" s="47">
        <f t="shared" si="14"/>
        <v>4.5797860906973305E-3</v>
      </c>
    </row>
    <row r="89" spans="1:17" x14ac:dyDescent="0.2">
      <c r="A89" s="32">
        <v>188.78</v>
      </c>
      <c r="B89" s="28">
        <v>1.3400733003369549</v>
      </c>
      <c r="C89" s="28">
        <v>3.9754213106144416</v>
      </c>
      <c r="E89" s="43">
        <v>187.73</v>
      </c>
      <c r="F89" s="28">
        <v>1.41</v>
      </c>
      <c r="G89" s="28">
        <v>3.95</v>
      </c>
      <c r="J89" s="43">
        <f t="shared" si="15"/>
        <v>-1.0500000000000114</v>
      </c>
      <c r="K89" s="54">
        <f t="shared" si="10"/>
        <v>1.3373797599144246</v>
      </c>
      <c r="L89" s="54">
        <f t="shared" si="9"/>
        <v>3.975174886438487</v>
      </c>
      <c r="M89" s="47">
        <f t="shared" si="11"/>
        <v>2.7047892491467414E-3</v>
      </c>
      <c r="N89" s="47"/>
      <c r="O89" s="54">
        <f t="shared" si="12"/>
        <v>1.4126976038410497</v>
      </c>
      <c r="P89" s="54">
        <f t="shared" si="13"/>
        <v>3.9501970238540229</v>
      </c>
      <c r="Q89" s="47">
        <f t="shared" si="14"/>
        <v>2.7047892491468719E-3</v>
      </c>
    </row>
    <row r="90" spans="1:17" x14ac:dyDescent="0.2">
      <c r="A90" s="32">
        <v>271.39999999999998</v>
      </c>
      <c r="B90" s="28">
        <v>1.0449644828055082</v>
      </c>
      <c r="C90" s="28">
        <v>1.4252208909213362</v>
      </c>
      <c r="E90" s="43">
        <v>270.34999999999997</v>
      </c>
      <c r="F90" s="28">
        <v>1.07</v>
      </c>
      <c r="G90" s="28">
        <v>1.41</v>
      </c>
      <c r="J90" s="43">
        <f t="shared" si="15"/>
        <v>-1.0500000000000114</v>
      </c>
      <c r="K90" s="54">
        <f t="shared" si="10"/>
        <v>1.0439821769826039</v>
      </c>
      <c r="L90" s="54">
        <f t="shared" si="9"/>
        <v>1.4293709155228616</v>
      </c>
      <c r="M90" s="47">
        <f t="shared" si="11"/>
        <v>4.2646956424787878E-3</v>
      </c>
      <c r="N90" s="47"/>
      <c r="O90" s="54">
        <f t="shared" si="12"/>
        <v>1.0709060919622655</v>
      </c>
      <c r="P90" s="54">
        <f t="shared" si="13"/>
        <v>1.4058326715657514</v>
      </c>
      <c r="Q90" s="47">
        <f t="shared" si="14"/>
        <v>4.2646956424788442E-3</v>
      </c>
    </row>
    <row r="91" spans="1:17" x14ac:dyDescent="0.2">
      <c r="A91" s="32">
        <v>272.82</v>
      </c>
      <c r="B91" s="28">
        <v>1.402478002283746</v>
      </c>
      <c r="C91" s="28">
        <v>-7.1033188485522434</v>
      </c>
      <c r="E91" s="43">
        <v>271.77</v>
      </c>
      <c r="F91" s="28">
        <v>1.27</v>
      </c>
      <c r="G91" s="28">
        <v>-7.13</v>
      </c>
      <c r="J91" s="43">
        <f t="shared" si="15"/>
        <v>-1.0500000000000114</v>
      </c>
      <c r="K91" s="54">
        <f t="shared" si="10"/>
        <v>1.4004435079746895</v>
      </c>
      <c r="L91" s="54">
        <f t="shared" si="9"/>
        <v>-7.1055300985198526</v>
      </c>
      <c r="M91" s="47">
        <f t="shared" si="11"/>
        <v>3.0047950866631374E-3</v>
      </c>
      <c r="N91" s="47"/>
      <c r="O91" s="54">
        <f t="shared" si="12"/>
        <v>1.2720746736895718</v>
      </c>
      <c r="P91" s="54">
        <f t="shared" si="13"/>
        <v>-7.1278264033045122</v>
      </c>
      <c r="Q91" s="47">
        <f t="shared" si="14"/>
        <v>3.004795086663388E-3</v>
      </c>
    </row>
    <row r="92" spans="1:17" x14ac:dyDescent="0.2">
      <c r="A92" s="32">
        <v>265.43</v>
      </c>
      <c r="B92" s="28">
        <v>1.0816971249814631</v>
      </c>
      <c r="C92" s="28">
        <v>-20.722153371793198</v>
      </c>
      <c r="E92" s="43">
        <v>264.38</v>
      </c>
      <c r="F92" s="28">
        <v>0.7</v>
      </c>
      <c r="G92" s="28">
        <v>-20.74</v>
      </c>
      <c r="J92" s="43">
        <f t="shared" si="15"/>
        <v>-1.0500000000000114</v>
      </c>
      <c r="K92" s="54">
        <f t="shared" si="10"/>
        <v>1.0799415361979574</v>
      </c>
      <c r="L92" s="54">
        <f t="shared" si="9"/>
        <v>-20.723689977375997</v>
      </c>
      <c r="M92" s="47">
        <f t="shared" si="11"/>
        <v>2.3330770869952095E-3</v>
      </c>
      <c r="N92" s="47"/>
      <c r="O92" s="54">
        <f t="shared" si="12"/>
        <v>0.70178345218455584</v>
      </c>
      <c r="P92" s="54">
        <f t="shared" si="13"/>
        <v>-20.738495823481347</v>
      </c>
      <c r="Q92" s="47">
        <f t="shared" si="14"/>
        <v>2.3330770869943742E-3</v>
      </c>
    </row>
    <row r="93" spans="1:17" x14ac:dyDescent="0.2">
      <c r="A93" s="32">
        <v>259.45</v>
      </c>
      <c r="B93" s="28">
        <v>-1.219467843021087</v>
      </c>
      <c r="C93" s="28">
        <v>-37.459279437563367</v>
      </c>
      <c r="E93" s="43">
        <v>258.39999999999998</v>
      </c>
      <c r="F93" s="28">
        <v>-1.91</v>
      </c>
      <c r="G93" s="28">
        <v>-37.43</v>
      </c>
      <c r="J93" s="43">
        <f t="shared" si="15"/>
        <v>-1.0500000000000114</v>
      </c>
      <c r="K93" s="54">
        <f t="shared" si="10"/>
        <v>-1.2237770989463117</v>
      </c>
      <c r="L93" s="54">
        <f t="shared" si="9"/>
        <v>-37.458715536068432</v>
      </c>
      <c r="M93" s="47">
        <f t="shared" si="11"/>
        <v>4.3459948832314868E-3</v>
      </c>
      <c r="N93" s="47"/>
      <c r="O93" s="54">
        <f t="shared" si="12"/>
        <v>-1.9057018011225075</v>
      </c>
      <c r="P93" s="54">
        <f t="shared" si="13"/>
        <v>-37.430642773626246</v>
      </c>
      <c r="Q93" s="47">
        <f t="shared" si="14"/>
        <v>4.3459948832315813E-3</v>
      </c>
    </row>
    <row r="94" spans="1:17" x14ac:dyDescent="0.2">
      <c r="A94" s="32">
        <v>250.32</v>
      </c>
      <c r="B94" s="28">
        <v>-6.902323326280424</v>
      </c>
      <c r="C94" s="28">
        <v>-57.782649367872807</v>
      </c>
      <c r="E94" s="43">
        <v>249.26999999999998</v>
      </c>
      <c r="F94" s="28">
        <v>-7.96</v>
      </c>
      <c r="G94" s="28">
        <v>-57.65</v>
      </c>
      <c r="J94" s="43">
        <f t="shared" si="15"/>
        <v>-1.0500000000000114</v>
      </c>
      <c r="K94" s="54">
        <f t="shared" si="10"/>
        <v>-6.9022310964154352</v>
      </c>
      <c r="L94" s="54">
        <f t="shared" si="9"/>
        <v>-57.786186116507771</v>
      </c>
      <c r="M94" s="47">
        <f t="shared" si="11"/>
        <v>3.5379509966811541E-3</v>
      </c>
      <c r="N94" s="47"/>
      <c r="O94" s="54">
        <f t="shared" si="12"/>
        <v>-7.9600274037020498</v>
      </c>
      <c r="P94" s="54">
        <f t="shared" si="13"/>
        <v>-57.646462155134543</v>
      </c>
      <c r="Q94" s="47">
        <f t="shared" si="14"/>
        <v>3.5379509966809689E-3</v>
      </c>
    </row>
    <row r="95" spans="1:17" x14ac:dyDescent="0.2">
      <c r="A95" s="32">
        <v>240.12</v>
      </c>
      <c r="B95" s="28">
        <v>-17.483024024619453</v>
      </c>
      <c r="C95" s="28">
        <v>-80.292248282113263</v>
      </c>
      <c r="E95" s="43">
        <v>239.07</v>
      </c>
      <c r="F95" s="28">
        <v>-18.95</v>
      </c>
      <c r="G95" s="28">
        <v>-79.959999999999994</v>
      </c>
      <c r="J95" s="43">
        <f t="shared" si="15"/>
        <v>-1.0500000000000114</v>
      </c>
      <c r="K95" s="54">
        <f t="shared" si="10"/>
        <v>-17.481556483940047</v>
      </c>
      <c r="L95" s="54">
        <f t="shared" si="9"/>
        <v>-80.293830914328737</v>
      </c>
      <c r="M95" s="47">
        <f t="shared" si="11"/>
        <v>2.1583327767444381E-3</v>
      </c>
      <c r="N95" s="47"/>
      <c r="O95" s="54">
        <f t="shared" si="12"/>
        <v>-18.951438292629579</v>
      </c>
      <c r="P95" s="54">
        <f t="shared" si="13"/>
        <v>-79.958390740950975</v>
      </c>
      <c r="Q95" s="47">
        <f t="shared" si="14"/>
        <v>2.1583327767403862E-3</v>
      </c>
    </row>
    <row r="96" spans="1:17" x14ac:dyDescent="0.2">
      <c r="A96" s="32">
        <v>236.25</v>
      </c>
      <c r="B96" s="28">
        <v>-32.194485665106541</v>
      </c>
      <c r="C96" s="28">
        <v>-103.92634341625194</v>
      </c>
      <c r="E96" s="43">
        <v>235.2</v>
      </c>
      <c r="F96" s="28">
        <v>-34.090000000000003</v>
      </c>
      <c r="G96" s="28">
        <v>-103.32</v>
      </c>
      <c r="J96" s="43">
        <f t="shared" si="15"/>
        <v>-1.0500000000000114</v>
      </c>
      <c r="K96" s="54">
        <f t="shared" si="10"/>
        <v>-32.190943843538108</v>
      </c>
      <c r="L96" s="54">
        <f t="shared" si="9"/>
        <v>-103.92734786600771</v>
      </c>
      <c r="M96" s="47">
        <f t="shared" si="11"/>
        <v>3.6814968877457196E-3</v>
      </c>
      <c r="N96" s="47"/>
      <c r="O96" s="54">
        <f t="shared" si="12"/>
        <v>-34.0935228203683</v>
      </c>
      <c r="P96" s="54">
        <f t="shared" si="13"/>
        <v>-103.31893081526981</v>
      </c>
      <c r="Q96" s="47">
        <f t="shared" si="14"/>
        <v>3.6814968877539201E-3</v>
      </c>
    </row>
    <row r="97" spans="1:17" x14ac:dyDescent="0.2">
      <c r="A97" s="32">
        <v>230.27</v>
      </c>
      <c r="B97" s="28">
        <v>-49.572519296885488</v>
      </c>
      <c r="C97" s="28">
        <v>-127.2068271142621</v>
      </c>
      <c r="E97" s="43">
        <v>229.22</v>
      </c>
      <c r="F97" s="28">
        <v>-51.9</v>
      </c>
      <c r="G97" s="28">
        <v>-126.28</v>
      </c>
      <c r="J97" s="43">
        <f t="shared" si="15"/>
        <v>-1.0500000000000114</v>
      </c>
      <c r="K97" s="54">
        <f t="shared" si="10"/>
        <v>-49.577212840900629</v>
      </c>
      <c r="L97" s="54">
        <f t="shared" si="9"/>
        <v>-127.20985955077553</v>
      </c>
      <c r="M97" s="47">
        <f t="shared" si="11"/>
        <v>5.5879358111988594E-3</v>
      </c>
      <c r="N97" s="47"/>
      <c r="O97" s="54">
        <f t="shared" si="12"/>
        <v>-51.895251674913297</v>
      </c>
      <c r="P97" s="54">
        <f t="shared" si="13"/>
        <v>-126.27705408155221</v>
      </c>
      <c r="Q97" s="47">
        <f t="shared" si="14"/>
        <v>5.5879358111960977E-3</v>
      </c>
    </row>
    <row r="98" spans="1:17" x14ac:dyDescent="0.2">
      <c r="A98" s="32">
        <v>223.8</v>
      </c>
      <c r="B98" s="28">
        <v>-62.028226844360361</v>
      </c>
      <c r="C98" s="28">
        <v>-140.5856752134398</v>
      </c>
      <c r="E98" s="43">
        <v>222.75</v>
      </c>
      <c r="F98" s="28">
        <v>-64.59</v>
      </c>
      <c r="G98" s="28">
        <v>-139.43</v>
      </c>
      <c r="J98" s="43">
        <f t="shared" si="15"/>
        <v>-1.0500000000000114</v>
      </c>
      <c r="K98" s="54">
        <f t="shared" si="10"/>
        <v>-62.024109143403159</v>
      </c>
      <c r="L98" s="54">
        <f t="shared" si="9"/>
        <v>-140.59019483935293</v>
      </c>
      <c r="M98" s="47">
        <f t="shared" si="11"/>
        <v>6.114121324246804E-3</v>
      </c>
      <c r="N98" s="47"/>
      <c r="O98" s="54">
        <f t="shared" si="12"/>
        <v>-64.594034187695968</v>
      </c>
      <c r="P98" s="54">
        <f t="shared" si="13"/>
        <v>-139.42540567641529</v>
      </c>
      <c r="Q98" s="47">
        <f t="shared" si="14"/>
        <v>6.1141213242223713E-3</v>
      </c>
    </row>
    <row r="99" spans="1:17" x14ac:dyDescent="0.2">
      <c r="A99" s="32">
        <v>223</v>
      </c>
      <c r="B99" s="28">
        <v>-83.877458805215568</v>
      </c>
      <c r="C99" s="28">
        <v>-161.23613201389369</v>
      </c>
      <c r="E99" s="43">
        <v>221.95</v>
      </c>
      <c r="F99" s="28">
        <v>-86.82</v>
      </c>
      <c r="G99" s="28">
        <v>-159.66999999999999</v>
      </c>
      <c r="J99" s="43">
        <f t="shared" si="15"/>
        <v>-1.0500000000000114</v>
      </c>
      <c r="K99" s="54">
        <f t="shared" si="10"/>
        <v>-83.879479766976075</v>
      </c>
      <c r="L99" s="54">
        <f t="shared" si="9"/>
        <v>-161.23415945146814</v>
      </c>
      <c r="M99" s="47">
        <f t="shared" si="11"/>
        <v>2.8240554102435052E-3</v>
      </c>
      <c r="N99" s="47"/>
      <c r="O99" s="54">
        <f t="shared" si="12"/>
        <v>-86.818015524661732</v>
      </c>
      <c r="P99" s="54">
        <f t="shared" si="13"/>
        <v>-159.67200926518709</v>
      </c>
      <c r="Q99" s="47">
        <f t="shared" si="14"/>
        <v>2.8240554102659729E-3</v>
      </c>
    </row>
    <row r="100" spans="1:17" x14ac:dyDescent="0.2">
      <c r="A100" s="32">
        <v>220.9</v>
      </c>
      <c r="B100" s="28">
        <v>-110.08423029388159</v>
      </c>
      <c r="C100" s="28">
        <v>-184.7186602609255</v>
      </c>
      <c r="E100" s="43">
        <v>219.85</v>
      </c>
      <c r="F100" s="28">
        <v>-113.45</v>
      </c>
      <c r="G100" s="28">
        <v>-182.67</v>
      </c>
      <c r="J100" s="43">
        <f t="shared" si="15"/>
        <v>-1.0500000000000114</v>
      </c>
      <c r="K100" s="54">
        <f t="shared" si="10"/>
        <v>-110.08353475102183</v>
      </c>
      <c r="L100" s="54">
        <f t="shared" si="9"/>
        <v>-184.71829031452347</v>
      </c>
      <c r="M100" s="47">
        <f t="shared" si="11"/>
        <v>7.8780721635316245E-4</v>
      </c>
      <c r="N100" s="47"/>
      <c r="O100" s="54">
        <f t="shared" si="12"/>
        <v>-113.45070220530968</v>
      </c>
      <c r="P100" s="54">
        <f t="shared" si="13"/>
        <v>-182.67035713850706</v>
      </c>
      <c r="Q100" s="47">
        <f t="shared" si="14"/>
        <v>7.8780721637566518E-4</v>
      </c>
    </row>
    <row r="101" spans="1:17" x14ac:dyDescent="0.2">
      <c r="A101" s="32">
        <v>218.9</v>
      </c>
      <c r="B101" s="28">
        <v>-139.40322029366945</v>
      </c>
      <c r="C101" s="28">
        <v>-209.1876851573015</v>
      </c>
      <c r="E101" s="43">
        <v>217.85</v>
      </c>
      <c r="F101" s="28">
        <v>-143.21</v>
      </c>
      <c r="G101" s="28">
        <v>-206.6</v>
      </c>
      <c r="J101" s="43">
        <f t="shared" si="15"/>
        <v>-1.0500000000000114</v>
      </c>
      <c r="K101" s="54">
        <f t="shared" si="10"/>
        <v>-139.40002197287475</v>
      </c>
      <c r="L101" s="54">
        <f t="shared" si="9"/>
        <v>-209.18962205129114</v>
      </c>
      <c r="M101" s="47">
        <f t="shared" si="11"/>
        <v>3.7390927018288332E-3</v>
      </c>
      <c r="N101" s="47"/>
      <c r="O101" s="54">
        <f t="shared" si="12"/>
        <v>-143.21316229029708</v>
      </c>
      <c r="P101" s="54">
        <f t="shared" si="13"/>
        <v>-206.59800482223605</v>
      </c>
      <c r="Q101" s="47">
        <f t="shared" si="14"/>
        <v>3.7390927018035535E-3</v>
      </c>
    </row>
    <row r="102" spans="1:17" x14ac:dyDescent="0.2">
      <c r="A102" s="32">
        <v>218.74</v>
      </c>
      <c r="B102" s="28">
        <v>-145.527931872115</v>
      </c>
      <c r="C102" s="28">
        <v>-214.11545126220622</v>
      </c>
      <c r="E102" s="43">
        <v>217.69</v>
      </c>
      <c r="F102" s="28">
        <v>-149.43</v>
      </c>
      <c r="G102" s="28">
        <v>-211.41</v>
      </c>
      <c r="J102" s="43">
        <f t="shared" si="15"/>
        <v>-1.0500000000000114</v>
      </c>
      <c r="K102" s="54">
        <f t="shared" si="10"/>
        <v>-145.53083461749679</v>
      </c>
      <c r="L102" s="54">
        <f t="shared" si="9"/>
        <v>-214.11279545028319</v>
      </c>
      <c r="M102" s="47">
        <f t="shared" si="11"/>
        <v>3.9343700540275511E-3</v>
      </c>
      <c r="N102" s="47"/>
      <c r="O102" s="54">
        <f t="shared" si="12"/>
        <v>-149.42714640960588</v>
      </c>
      <c r="P102" s="54">
        <f t="shared" si="13"/>
        <v>-211.41270855858068</v>
      </c>
      <c r="Q102" s="47">
        <f t="shared" si="14"/>
        <v>3.9343700540759047E-3</v>
      </c>
    </row>
    <row r="103" spans="1:17" x14ac:dyDescent="0.2">
      <c r="A103" s="32">
        <v>216.4</v>
      </c>
      <c r="B103" s="28">
        <v>-175.13834711492794</v>
      </c>
      <c r="C103" s="28">
        <v>-236.86414505122539</v>
      </c>
      <c r="E103" s="43">
        <v>215.35</v>
      </c>
      <c r="F103" s="28">
        <v>-179.45</v>
      </c>
      <c r="G103" s="28">
        <v>-233.62</v>
      </c>
      <c r="J103" s="43">
        <f t="shared" si="15"/>
        <v>-1.0500000000000114</v>
      </c>
      <c r="K103" s="54">
        <f t="shared" si="10"/>
        <v>-175.13879706328117</v>
      </c>
      <c r="L103" s="54">
        <f t="shared" si="9"/>
        <v>-236.8691804841373</v>
      </c>
      <c r="M103" s="47">
        <f t="shared" si="11"/>
        <v>5.0554958343300123E-3</v>
      </c>
      <c r="N103" s="47"/>
      <c r="O103" s="54">
        <f t="shared" si="12"/>
        <v>-179.44945785323748</v>
      </c>
      <c r="P103" s="54">
        <f t="shared" si="13"/>
        <v>-233.61497365788881</v>
      </c>
      <c r="Q103" s="47">
        <f t="shared" si="14"/>
        <v>5.0554958343233527E-3</v>
      </c>
    </row>
    <row r="104" spans="1:17" x14ac:dyDescent="0.2">
      <c r="A104" s="32">
        <v>213.7</v>
      </c>
      <c r="B104" s="28">
        <v>-214.51572255879105</v>
      </c>
      <c r="C104" s="28">
        <v>-264.40213746804397</v>
      </c>
      <c r="E104" s="43">
        <v>212.64999999999998</v>
      </c>
      <c r="F104" s="28">
        <v>-219.33</v>
      </c>
      <c r="G104" s="28">
        <v>-260.43</v>
      </c>
      <c r="J104" s="43">
        <f t="shared" si="15"/>
        <v>-1.0500000000000114</v>
      </c>
      <c r="K104" s="54">
        <f t="shared" si="10"/>
        <v>-214.52080917630332</v>
      </c>
      <c r="L104" s="54">
        <f t="shared" si="9"/>
        <v>-264.40547692955244</v>
      </c>
      <c r="M104" s="47">
        <f t="shared" si="11"/>
        <v>6.0848731196747156E-3</v>
      </c>
      <c r="N104" s="47"/>
      <c r="O104" s="54">
        <f t="shared" si="12"/>
        <v>-219.32485304120743</v>
      </c>
      <c r="P104" s="54">
        <f t="shared" si="13"/>
        <v>-260.4267543111564</v>
      </c>
      <c r="Q104" s="47">
        <f t="shared" si="14"/>
        <v>6.084873119631855E-3</v>
      </c>
    </row>
    <row r="105" spans="1:17" x14ac:dyDescent="0.2">
      <c r="A105" s="32">
        <v>212</v>
      </c>
      <c r="B105" s="28">
        <v>-258.85932626896749</v>
      </c>
      <c r="C105" s="28">
        <v>-293.00354297731093</v>
      </c>
      <c r="E105" s="43">
        <v>210.95</v>
      </c>
      <c r="F105" s="28">
        <v>-264.19</v>
      </c>
      <c r="G105" s="28">
        <v>-288.20999999999998</v>
      </c>
      <c r="J105" s="43">
        <f t="shared" si="15"/>
        <v>-1.0500000000000114</v>
      </c>
      <c r="K105" s="54">
        <f t="shared" si="10"/>
        <v>-258.8642098859184</v>
      </c>
      <c r="L105" s="54">
        <f t="shared" si="9"/>
        <v>-293.00286865513652</v>
      </c>
      <c r="M105" s="47">
        <f t="shared" si="11"/>
        <v>4.9299518170129227E-3</v>
      </c>
      <c r="N105" s="47"/>
      <c r="O105" s="54">
        <f t="shared" si="12"/>
        <v>-264.18512955999245</v>
      </c>
      <c r="P105" s="54">
        <f t="shared" si="13"/>
        <v>-288.21076370089077</v>
      </c>
      <c r="Q105" s="47">
        <f t="shared" si="14"/>
        <v>4.9299518169794547E-3</v>
      </c>
    </row>
    <row r="106" spans="1:17" x14ac:dyDescent="0.2">
      <c r="A106" s="32">
        <v>208.8</v>
      </c>
      <c r="B106" s="28">
        <v>-306.73627485270964</v>
      </c>
      <c r="C106" s="28">
        <v>-321.04267820737647</v>
      </c>
      <c r="E106" s="43">
        <v>207.75</v>
      </c>
      <c r="F106" s="28">
        <v>-312.57</v>
      </c>
      <c r="G106" s="28">
        <v>-315.37</v>
      </c>
      <c r="J106" s="43">
        <f t="shared" si="15"/>
        <v>-1.0500000000000114</v>
      </c>
      <c r="K106" s="54">
        <f t="shared" si="10"/>
        <v>-306.73838098989989</v>
      </c>
      <c r="L106" s="54">
        <f t="shared" si="9"/>
        <v>-321.04486824693998</v>
      </c>
      <c r="M106" s="47">
        <f t="shared" si="11"/>
        <v>3.0384349843187758E-3</v>
      </c>
      <c r="N106" s="47"/>
      <c r="O106" s="54">
        <f t="shared" si="12"/>
        <v>-312.56785408413845</v>
      </c>
      <c r="P106" s="54">
        <f t="shared" si="13"/>
        <v>-315.36784892299795</v>
      </c>
      <c r="Q106" s="47">
        <f t="shared" si="14"/>
        <v>3.0384349842649989E-3</v>
      </c>
    </row>
    <row r="107" spans="1:17" x14ac:dyDescent="0.2">
      <c r="A107" s="32">
        <v>207.7</v>
      </c>
      <c r="B107" s="28">
        <v>-358.68519521999548</v>
      </c>
      <c r="C107" s="28">
        <v>-348.94143178259213</v>
      </c>
      <c r="E107" s="43">
        <v>206.64999999999998</v>
      </c>
      <c r="F107" s="28">
        <v>-365.02</v>
      </c>
      <c r="G107" s="28">
        <v>-342.31</v>
      </c>
      <c r="J107" s="43">
        <f t="shared" si="15"/>
        <v>-1.0500000000000114</v>
      </c>
      <c r="K107" s="54">
        <f t="shared" si="10"/>
        <v>-358.68590016208015</v>
      </c>
      <c r="L107" s="54">
        <f t="shared" si="9"/>
        <v>-348.9414872509692</v>
      </c>
      <c r="M107" s="47">
        <f t="shared" si="11"/>
        <v>7.0712098228621894E-4</v>
      </c>
      <c r="N107" s="47"/>
      <c r="O107" s="54">
        <f t="shared" si="12"/>
        <v>-365.01929415983193</v>
      </c>
      <c r="P107" s="54">
        <f t="shared" si="13"/>
        <v>-342.30995745895228</v>
      </c>
      <c r="Q107" s="47">
        <f t="shared" si="14"/>
        <v>7.0712098227765168E-4</v>
      </c>
    </row>
    <row r="108" spans="1:17" x14ac:dyDescent="0.2">
      <c r="A108" s="32">
        <v>210.8</v>
      </c>
      <c r="B108" s="28">
        <v>-428.53537099051618</v>
      </c>
      <c r="C108" s="28">
        <v>-387.95017980848331</v>
      </c>
      <c r="E108" s="43">
        <v>209.75</v>
      </c>
      <c r="F108" s="28">
        <v>-435.57</v>
      </c>
      <c r="G108" s="28">
        <v>-380.03</v>
      </c>
      <c r="J108" s="43">
        <f t="shared" si="15"/>
        <v>-1.0500000000000114</v>
      </c>
      <c r="K108" s="54">
        <f t="shared" si="10"/>
        <v>-428.53283730048804</v>
      </c>
      <c r="L108" s="54">
        <f t="shared" si="9"/>
        <v>-387.94797738252663</v>
      </c>
      <c r="M108" s="47">
        <f t="shared" si="11"/>
        <v>3.3571215726251919E-3</v>
      </c>
      <c r="N108" s="47"/>
      <c r="O108" s="54">
        <f t="shared" si="12"/>
        <v>-435.57257362388646</v>
      </c>
      <c r="P108" s="54">
        <f t="shared" si="13"/>
        <v>-380.03215562643891</v>
      </c>
      <c r="Q108" s="47">
        <f t="shared" si="14"/>
        <v>3.3571215725981653E-3</v>
      </c>
    </row>
    <row r="109" spans="1:17" x14ac:dyDescent="0.2">
      <c r="A109" s="32">
        <v>210.65</v>
      </c>
      <c r="B109" s="28">
        <v>-470.30136790692757</v>
      </c>
      <c r="C109" s="28">
        <v>-412.77236343707602</v>
      </c>
      <c r="E109" s="43">
        <v>209.6</v>
      </c>
      <c r="F109" s="28">
        <v>-477.79</v>
      </c>
      <c r="G109" s="28">
        <v>-404.09</v>
      </c>
      <c r="J109" s="43">
        <f t="shared" si="15"/>
        <v>-1.0500000000000114</v>
      </c>
      <c r="K109" s="54">
        <f t="shared" si="10"/>
        <v>-470.30485005222101</v>
      </c>
      <c r="L109" s="54">
        <f t="shared" si="9"/>
        <v>-412.77761593545489</v>
      </c>
      <c r="M109" s="47">
        <f t="shared" si="11"/>
        <v>6.3019104297553901E-3</v>
      </c>
      <c r="N109" s="47"/>
      <c r="O109" s="54">
        <f t="shared" si="12"/>
        <v>-477.78642218774081</v>
      </c>
      <c r="P109" s="54">
        <f t="shared" si="13"/>
        <v>-404.08481219367144</v>
      </c>
      <c r="Q109" s="47">
        <f t="shared" si="14"/>
        <v>6.3019104297461423E-3</v>
      </c>
    </row>
    <row r="110" spans="1:17" x14ac:dyDescent="0.2">
      <c r="A110" s="32">
        <v>209.96</v>
      </c>
      <c r="B110" s="28">
        <v>-520.28551380718341</v>
      </c>
      <c r="C110" s="28">
        <v>-441.98165117775812</v>
      </c>
      <c r="E110" s="43">
        <v>208.91</v>
      </c>
      <c r="F110" s="28">
        <v>-528.29999999999995</v>
      </c>
      <c r="G110" s="28">
        <v>-432.37</v>
      </c>
      <c r="J110" s="43">
        <f t="shared" si="15"/>
        <v>-1.0500000000000114</v>
      </c>
      <c r="K110" s="54">
        <f t="shared" si="10"/>
        <v>-520.28813957269756</v>
      </c>
      <c r="L110" s="54">
        <f t="shared" si="9"/>
        <v>-441.97845956560047</v>
      </c>
      <c r="M110" s="47">
        <f t="shared" si="11"/>
        <v>4.1329206017267656E-3</v>
      </c>
      <c r="N110" s="47"/>
      <c r="O110" s="54">
        <f t="shared" si="12"/>
        <v>-528.29743316146676</v>
      </c>
      <c r="P110" s="54">
        <f t="shared" si="13"/>
        <v>-432.37323919320897</v>
      </c>
      <c r="Q110" s="47">
        <f t="shared" si="14"/>
        <v>4.132920601771283E-3</v>
      </c>
    </row>
    <row r="111" spans="1:17" x14ac:dyDescent="0.2">
      <c r="A111" s="32">
        <v>208.66</v>
      </c>
      <c r="B111" s="28">
        <v>-571.95560891241303</v>
      </c>
      <c r="C111" s="28">
        <v>-470.98092584801014</v>
      </c>
      <c r="E111" s="43">
        <v>207.60999999999999</v>
      </c>
      <c r="F111" s="28">
        <v>-580.49</v>
      </c>
      <c r="G111" s="28">
        <v>-460.42</v>
      </c>
      <c r="J111" s="43">
        <f t="shared" si="15"/>
        <v>-1.0500000000000114</v>
      </c>
      <c r="K111" s="54">
        <f t="shared" ref="K111:K131" si="16">SIN(RADIANS(J111))*G111 + COS(RADIANS(J111))*F111</f>
        <v>-571.95536172909806</v>
      </c>
      <c r="L111" s="54">
        <f t="shared" si="9"/>
        <v>-470.98012770109165</v>
      </c>
      <c r="M111" s="47">
        <f t="shared" si="11"/>
        <v>8.3554658440278674E-4</v>
      </c>
      <c r="N111" s="47"/>
      <c r="O111" s="54">
        <f t="shared" si="12"/>
        <v>-580.4902617677966</v>
      </c>
      <c r="P111" s="54">
        <f t="shared" si="13"/>
        <v>-460.42079348327985</v>
      </c>
      <c r="Q111" s="47">
        <f t="shared" si="14"/>
        <v>8.3554658440370474E-4</v>
      </c>
    </row>
    <row r="112" spans="1:17" x14ac:dyDescent="0.2">
      <c r="A112" s="32">
        <v>206.4</v>
      </c>
      <c r="B112" s="28">
        <v>-625.95535584366769</v>
      </c>
      <c r="C112" s="28">
        <v>-499.10546655997251</v>
      </c>
      <c r="E112" s="43">
        <v>205.35</v>
      </c>
      <c r="F112" s="28">
        <v>-635</v>
      </c>
      <c r="G112" s="28">
        <v>-487.55</v>
      </c>
      <c r="J112" s="43">
        <f t="shared" si="15"/>
        <v>-1.0500000000000114</v>
      </c>
      <c r="K112" s="54">
        <f t="shared" si="16"/>
        <v>-625.95905325806757</v>
      </c>
      <c r="L112" s="54">
        <f t="shared" si="9"/>
        <v>-499.10446415982273</v>
      </c>
      <c r="M112" s="47">
        <f t="shared" si="11"/>
        <v>3.8308849244966998E-3</v>
      </c>
      <c r="N112" s="47"/>
      <c r="O112" s="54">
        <f t="shared" si="12"/>
        <v>-634.99632157536792</v>
      </c>
      <c r="P112" s="54">
        <f t="shared" si="13"/>
        <v>-487.55106998669629</v>
      </c>
      <c r="Q112" s="47">
        <f t="shared" si="14"/>
        <v>3.8308849244194426E-3</v>
      </c>
    </row>
    <row r="113" spans="1:17" x14ac:dyDescent="0.2">
      <c r="A113" s="32">
        <v>203.71</v>
      </c>
      <c r="B113" s="28">
        <v>-683.45659672665545</v>
      </c>
      <c r="C113" s="28">
        <v>-525.96125174161148</v>
      </c>
      <c r="E113" s="43">
        <v>202.66</v>
      </c>
      <c r="F113" s="28">
        <v>-692.98</v>
      </c>
      <c r="G113" s="28">
        <v>-513.35</v>
      </c>
      <c r="J113" s="43">
        <f t="shared" si="15"/>
        <v>-1.0500000000000114</v>
      </c>
      <c r="K113" s="54">
        <f t="shared" si="16"/>
        <v>-683.45653427847731</v>
      </c>
      <c r="L113" s="54">
        <f t="shared" si="9"/>
        <v>-525.96261145831716</v>
      </c>
      <c r="M113" s="47">
        <f t="shared" si="11"/>
        <v>1.3611499897714834E-3</v>
      </c>
      <c r="N113" s="47"/>
      <c r="O113" s="54">
        <f t="shared" si="12"/>
        <v>-692.98003752097679</v>
      </c>
      <c r="P113" s="54">
        <f t="shared" si="13"/>
        <v>-513.34863936725355</v>
      </c>
      <c r="Q113" s="47">
        <f t="shared" si="14"/>
        <v>1.3611499897001843E-3</v>
      </c>
    </row>
    <row r="114" spans="1:17" x14ac:dyDescent="0.2">
      <c r="A114" s="32">
        <v>202.23</v>
      </c>
      <c r="B114" s="28">
        <v>-738.38706685807119</v>
      </c>
      <c r="C114" s="28">
        <v>-549.23623649914907</v>
      </c>
      <c r="E114" s="43">
        <v>201.17999999999998</v>
      </c>
      <c r="F114" s="28">
        <v>-748.33</v>
      </c>
      <c r="G114" s="28">
        <v>-535.61</v>
      </c>
      <c r="J114" s="43">
        <f t="shared" si="15"/>
        <v>-1.0500000000000114</v>
      </c>
      <c r="K114" s="54">
        <f t="shared" si="16"/>
        <v>-738.38932717419721</v>
      </c>
      <c r="L114" s="54">
        <f t="shared" si="9"/>
        <v>-549.23315860865182</v>
      </c>
      <c r="M114" s="47">
        <f t="shared" si="11"/>
        <v>3.8186959688597697E-3</v>
      </c>
      <c r="N114" s="47"/>
      <c r="O114" s="54">
        <f t="shared" si="12"/>
        <v>-748.32779646554877</v>
      </c>
      <c r="P114" s="54">
        <f t="shared" si="13"/>
        <v>-535.61311879380924</v>
      </c>
      <c r="Q114" s="47">
        <f t="shared" si="14"/>
        <v>3.8186959688311828E-3</v>
      </c>
    </row>
    <row r="115" spans="1:17" x14ac:dyDescent="0.2">
      <c r="A115" s="32">
        <v>201.41</v>
      </c>
      <c r="B115" s="28">
        <v>-771.28540711095263</v>
      </c>
      <c r="C115" s="28">
        <v>-562.40595982709317</v>
      </c>
      <c r="E115" s="43">
        <v>200.35999999999999</v>
      </c>
      <c r="F115" s="28">
        <v>-781.46</v>
      </c>
      <c r="G115" s="28">
        <v>-548.17999999999995</v>
      </c>
      <c r="J115" s="43">
        <f t="shared" si="15"/>
        <v>-1.0500000000000114</v>
      </c>
      <c r="K115" s="54">
        <f t="shared" si="16"/>
        <v>-771.28341974095872</v>
      </c>
      <c r="L115" s="54">
        <f t="shared" si="9"/>
        <v>-562.40815288604438</v>
      </c>
      <c r="M115" s="47">
        <f t="shared" si="11"/>
        <v>2.9595856223755203E-3</v>
      </c>
      <c r="N115" s="47"/>
      <c r="O115" s="54">
        <f t="shared" si="12"/>
        <v>-781.4619468486286</v>
      </c>
      <c r="P115" s="54">
        <f t="shared" si="13"/>
        <v>-548.17777089087906</v>
      </c>
      <c r="Q115" s="47">
        <f t="shared" si="14"/>
        <v>2.9595856222405588E-3</v>
      </c>
    </row>
    <row r="116" spans="1:17" x14ac:dyDescent="0.2">
      <c r="A116" s="32">
        <v>199.46</v>
      </c>
      <c r="B116" s="28">
        <v>-833.90878287014573</v>
      </c>
      <c r="C116" s="28">
        <v>-585.72212009687416</v>
      </c>
      <c r="E116" s="43">
        <v>198.41</v>
      </c>
      <c r="F116" s="28">
        <v>-844.5</v>
      </c>
      <c r="G116" s="28">
        <v>-570.34</v>
      </c>
      <c r="J116" s="43">
        <f t="shared" si="15"/>
        <v>-1.0500000000000114</v>
      </c>
      <c r="K116" s="54">
        <f t="shared" si="16"/>
        <v>-833.9067538584452</v>
      </c>
      <c r="L116" s="54">
        <f t="shared" si="9"/>
        <v>-585.71963555038042</v>
      </c>
      <c r="M116" s="47">
        <f t="shared" si="11"/>
        <v>3.2077811272706504E-3</v>
      </c>
      <c r="N116" s="47"/>
      <c r="O116" s="54">
        <f t="shared" si="12"/>
        <v>-844.50207420014181</v>
      </c>
      <c r="P116" s="54">
        <f t="shared" si="13"/>
        <v>-570.3424469477992</v>
      </c>
      <c r="Q116" s="47">
        <f t="shared" si="14"/>
        <v>3.2077811272181967E-3</v>
      </c>
    </row>
    <row r="117" spans="1:17" x14ac:dyDescent="0.2">
      <c r="A117" s="32">
        <v>197.46</v>
      </c>
      <c r="B117" s="97">
        <v>-899.08207349447162</v>
      </c>
      <c r="C117" s="97">
        <v>-607.46066898661115</v>
      </c>
      <c r="E117" s="43">
        <v>196.41</v>
      </c>
      <c r="F117" s="28">
        <v>-910.07</v>
      </c>
      <c r="G117" s="28">
        <v>-590.88</v>
      </c>
      <c r="J117" s="43">
        <f t="shared" si="15"/>
        <v>-1.0500000000000114</v>
      </c>
      <c r="K117" s="54">
        <f t="shared" si="16"/>
        <v>-899.08934953819107</v>
      </c>
      <c r="L117" s="54">
        <f t="shared" si="9"/>
        <v>-607.45775231450682</v>
      </c>
      <c r="M117" s="47">
        <f t="shared" si="11"/>
        <v>7.8388639720086747E-3</v>
      </c>
      <c r="N117" s="47"/>
      <c r="O117" s="54">
        <f t="shared" si="12"/>
        <v>-910.06277862585853</v>
      </c>
      <c r="P117" s="54">
        <f t="shared" si="13"/>
        <v>-590.88304951535144</v>
      </c>
      <c r="Q117" s="47">
        <f t="shared" si="14"/>
        <v>7.8388639719398304E-3</v>
      </c>
    </row>
    <row r="118" spans="1:17" x14ac:dyDescent="0.2">
      <c r="A118" s="32">
        <v>195.61</v>
      </c>
      <c r="B118" s="97">
        <v>-966.54895296030259</v>
      </c>
      <c r="C118" s="97">
        <v>-627.47801672950311</v>
      </c>
      <c r="E118" s="43">
        <v>194.56</v>
      </c>
      <c r="F118" s="28">
        <v>-977.89</v>
      </c>
      <c r="G118" s="28">
        <v>-609.66</v>
      </c>
      <c r="J118" s="43">
        <f t="shared" si="15"/>
        <v>-1.0500000000000114</v>
      </c>
      <c r="K118" s="54">
        <f t="shared" si="16"/>
        <v>-966.5538192869742</v>
      </c>
      <c r="L118" s="54">
        <f t="shared" si="9"/>
        <v>-627.47739570582394</v>
      </c>
      <c r="M118" s="47">
        <f t="shared" si="11"/>
        <v>4.9057930740085418E-3</v>
      </c>
      <c r="N118" s="47"/>
      <c r="O118" s="54">
        <f t="shared" si="12"/>
        <v>-977.88514587067721</v>
      </c>
      <c r="P118" s="54">
        <f t="shared" si="13"/>
        <v>-609.66071009450184</v>
      </c>
      <c r="Q118" s="47">
        <f t="shared" si="14"/>
        <v>4.9057930738930534E-3</v>
      </c>
    </row>
    <row r="119" spans="1:17" x14ac:dyDescent="0.2">
      <c r="A119" s="32">
        <v>194.19</v>
      </c>
      <c r="B119" s="97">
        <v>-1036.5352096177403</v>
      </c>
      <c r="C119" s="97">
        <v>-646.09241009972322</v>
      </c>
      <c r="E119" s="43">
        <v>193.14</v>
      </c>
      <c r="F119" s="28">
        <v>-1048.2</v>
      </c>
      <c r="G119" s="28">
        <v>-626.99</v>
      </c>
      <c r="J119" s="43">
        <f t="shared" si="15"/>
        <v>-1.0500000000000114</v>
      </c>
      <c r="K119" s="54">
        <f t="shared" si="16"/>
        <v>-1036.5344420763054</v>
      </c>
      <c r="L119" s="54">
        <f t="shared" si="9"/>
        <v>-646.09291165401464</v>
      </c>
      <c r="M119" s="47">
        <f t="shared" si="11"/>
        <v>9.1688415929528483E-4</v>
      </c>
      <c r="N119" s="47"/>
      <c r="O119" s="54">
        <f t="shared" si="12"/>
        <v>-1048.2007582216049</v>
      </c>
      <c r="P119" s="54">
        <f t="shared" si="13"/>
        <v>-626.98948446478335</v>
      </c>
      <c r="Q119" s="47">
        <f t="shared" si="14"/>
        <v>9.1688415938562836E-4</v>
      </c>
    </row>
    <row r="120" spans="1:17" x14ac:dyDescent="0.2">
      <c r="A120" s="32">
        <v>192.84</v>
      </c>
      <c r="B120" s="97">
        <v>-1106.854286625849</v>
      </c>
      <c r="C120" s="97">
        <v>-662.98409855326736</v>
      </c>
      <c r="E120" s="43">
        <v>191.79</v>
      </c>
      <c r="F120" s="28">
        <v>-1118.82</v>
      </c>
      <c r="G120" s="28">
        <v>-642.59</v>
      </c>
      <c r="J120" s="43">
        <f t="shared" si="15"/>
        <v>-1.0500000000000114</v>
      </c>
      <c r="K120" s="54">
        <f t="shared" si="16"/>
        <v>-1106.8567149430994</v>
      </c>
      <c r="L120" s="54">
        <f t="shared" si="9"/>
        <v>-662.98439882501805</v>
      </c>
      <c r="M120" s="47">
        <f t="shared" si="11"/>
        <v>2.4468117608183772E-3</v>
      </c>
      <c r="N120" s="47"/>
      <c r="O120" s="54">
        <f t="shared" si="12"/>
        <v>-1118.8175665880428</v>
      </c>
      <c r="P120" s="54">
        <f t="shared" si="13"/>
        <v>-642.5897442774168</v>
      </c>
      <c r="Q120" s="47">
        <f t="shared" si="14"/>
        <v>2.4468117607470601E-3</v>
      </c>
    </row>
    <row r="121" spans="1:17" x14ac:dyDescent="0.2">
      <c r="A121" s="32">
        <v>191.08</v>
      </c>
      <c r="B121" s="97">
        <v>-1179.4309344676913</v>
      </c>
      <c r="C121" s="97">
        <v>-678.34137028556074</v>
      </c>
      <c r="E121" s="43">
        <v>190.03</v>
      </c>
      <c r="F121" s="28">
        <v>-1191.67</v>
      </c>
      <c r="G121" s="28">
        <v>-656.62</v>
      </c>
      <c r="J121" s="43">
        <f t="shared" si="15"/>
        <v>-1.0500000000000114</v>
      </c>
      <c r="K121" s="54">
        <f t="shared" si="16"/>
        <v>-1179.4373835002787</v>
      </c>
      <c r="L121" s="54">
        <f t="shared" si="9"/>
        <v>-678.34701422061005</v>
      </c>
      <c r="M121" s="47">
        <f t="shared" si="11"/>
        <v>8.5699489003206088E-3</v>
      </c>
      <c r="N121" s="47"/>
      <c r="O121" s="54">
        <f t="shared" si="12"/>
        <v>-1191.6634486255837</v>
      </c>
      <c r="P121" s="54">
        <f t="shared" si="13"/>
        <v>-656.61447519073545</v>
      </c>
      <c r="Q121" s="47">
        <f t="shared" si="14"/>
        <v>8.5699489002935697E-3</v>
      </c>
    </row>
    <row r="122" spans="1:17" x14ac:dyDescent="0.2">
      <c r="A122" s="32">
        <v>189.4</v>
      </c>
      <c r="B122" s="97">
        <v>-1255.9339582907585</v>
      </c>
      <c r="C122" s="97">
        <v>-692.14778125147927</v>
      </c>
      <c r="E122" s="43">
        <v>188.35</v>
      </c>
      <c r="F122" s="28">
        <v>-1268.4100000000001</v>
      </c>
      <c r="G122" s="28">
        <v>-669.02</v>
      </c>
      <c r="J122" s="43">
        <f t="shared" si="15"/>
        <v>-1.0500000000000114</v>
      </c>
      <c r="K122" s="54">
        <f t="shared" si="16"/>
        <v>-1255.9372685037429</v>
      </c>
      <c r="L122" s="54">
        <f t="shared" si="9"/>
        <v>-692.1511873018477</v>
      </c>
      <c r="M122" s="47">
        <f t="shared" si="11"/>
        <v>4.7495988371931887E-3</v>
      </c>
      <c r="N122" s="47"/>
      <c r="O122" s="54">
        <f t="shared" si="12"/>
        <v>-1268.4066279272129</v>
      </c>
      <c r="P122" s="54">
        <f t="shared" si="13"/>
        <v>-669.01665518098662</v>
      </c>
      <c r="Q122" s="47">
        <f t="shared" si="14"/>
        <v>4.7495988372111986E-3</v>
      </c>
    </row>
    <row r="123" spans="1:17" x14ac:dyDescent="0.2">
      <c r="A123" s="32">
        <v>187.76</v>
      </c>
      <c r="B123" s="97">
        <v>-1333.6161110691469</v>
      </c>
      <c r="C123" s="97">
        <v>-703.85812419934223</v>
      </c>
      <c r="E123" s="43">
        <v>186.70999999999998</v>
      </c>
      <c r="F123" s="28">
        <v>-1346.29</v>
      </c>
      <c r="G123" s="28">
        <v>-679.3</v>
      </c>
      <c r="J123" s="43">
        <f t="shared" si="15"/>
        <v>-1.0500000000000114</v>
      </c>
      <c r="K123" s="54">
        <f t="shared" si="16"/>
        <v>-1333.6158109379219</v>
      </c>
      <c r="L123" s="54">
        <f t="shared" si="9"/>
        <v>-703.85660678606166</v>
      </c>
      <c r="M123" s="47">
        <f t="shared" si="11"/>
        <v>1.5468102069299944E-3</v>
      </c>
      <c r="N123" s="47"/>
      <c r="O123" s="54">
        <f t="shared" si="12"/>
        <v>-1346.2903278873223</v>
      </c>
      <c r="P123" s="54">
        <f t="shared" si="13"/>
        <v>-679.30151165859911</v>
      </c>
      <c r="Q123" s="47">
        <f t="shared" si="14"/>
        <v>1.5468102070217982E-3</v>
      </c>
    </row>
    <row r="124" spans="1:17" x14ac:dyDescent="0.2">
      <c r="A124" s="32">
        <v>186.21</v>
      </c>
      <c r="B124" s="97">
        <v>-1412.8541667413276</v>
      </c>
      <c r="C124" s="97">
        <v>-713.55860567568595</v>
      </c>
      <c r="E124" s="43">
        <v>185.16</v>
      </c>
      <c r="F124" s="28">
        <v>-1425.7</v>
      </c>
      <c r="G124" s="28">
        <v>-687.55</v>
      </c>
      <c r="J124" s="43">
        <f t="shared" si="15"/>
        <v>-1.0500000000000114</v>
      </c>
      <c r="K124" s="54">
        <f t="shared" si="16"/>
        <v>-1412.861296071886</v>
      </c>
      <c r="L124" s="54">
        <f t="shared" si="9"/>
        <v>-713.56040428408744</v>
      </c>
      <c r="M124" s="47">
        <f t="shared" si="11"/>
        <v>7.3527101393451215E-3</v>
      </c>
      <c r="N124" s="47"/>
      <c r="O124" s="54">
        <f t="shared" si="12"/>
        <v>-1425.6928389071925</v>
      </c>
      <c r="P124" s="54">
        <f t="shared" si="13"/>
        <v>-687.54833233810632</v>
      </c>
      <c r="Q124" s="47">
        <f t="shared" si="14"/>
        <v>7.3527101391275551E-3</v>
      </c>
    </row>
    <row r="125" spans="1:17" x14ac:dyDescent="0.2">
      <c r="A125" s="32">
        <v>184.78</v>
      </c>
      <c r="B125" s="97">
        <v>-1493.4345051837076</v>
      </c>
      <c r="C125" s="97">
        <v>-721.30351307582089</v>
      </c>
      <c r="E125" s="43">
        <v>183.73</v>
      </c>
      <c r="F125" s="28">
        <v>-1506.4</v>
      </c>
      <c r="G125" s="28">
        <v>-693.82</v>
      </c>
      <c r="J125" s="43">
        <f t="shared" si="15"/>
        <v>-1.0500000000000114</v>
      </c>
      <c r="K125" s="54">
        <f t="shared" si="16"/>
        <v>-1493.4328479588219</v>
      </c>
      <c r="L125" s="54">
        <f t="shared" si="9"/>
        <v>-721.3081734166077</v>
      </c>
      <c r="M125" s="47">
        <f t="shared" si="11"/>
        <v>4.9462279133972069E-3</v>
      </c>
      <c r="N125" s="47"/>
      <c r="O125" s="54">
        <f t="shared" si="12"/>
        <v>-1506.4015715461869</v>
      </c>
      <c r="P125" s="54">
        <f t="shared" si="13"/>
        <v>-693.81531007322508</v>
      </c>
      <c r="Q125" s="47">
        <f t="shared" si="14"/>
        <v>4.946227913463221E-3</v>
      </c>
    </row>
    <row r="126" spans="1:17" x14ac:dyDescent="0.2">
      <c r="A126" s="32">
        <v>183.78</v>
      </c>
      <c r="B126" s="97">
        <v>-1576.1267269641276</v>
      </c>
      <c r="C126" s="97">
        <v>-727.48722598486029</v>
      </c>
      <c r="E126" s="43">
        <v>182.73</v>
      </c>
      <c r="F126" s="28">
        <v>-1589.2</v>
      </c>
      <c r="G126" s="28">
        <v>-698.48</v>
      </c>
      <c r="J126" s="43">
        <f t="shared" si="15"/>
        <v>-1.0500000000000114</v>
      </c>
      <c r="K126" s="54">
        <f t="shared" si="16"/>
        <v>-1576.1335503624334</v>
      </c>
      <c r="L126" s="54">
        <f t="shared" si="9"/>
        <v>-727.48469524926122</v>
      </c>
      <c r="M126" s="47">
        <f t="shared" si="11"/>
        <v>7.2775948714473536E-3</v>
      </c>
      <c r="N126" s="47"/>
      <c r="O126" s="54">
        <f t="shared" si="12"/>
        <v>-1589.1932241230058</v>
      </c>
      <c r="P126" s="54">
        <f t="shared" si="13"/>
        <v>-698.48265534895472</v>
      </c>
      <c r="Q126" s="47">
        <f t="shared" si="14"/>
        <v>7.2775948713666759E-3</v>
      </c>
    </row>
    <row r="127" spans="1:17" x14ac:dyDescent="0.2">
      <c r="A127" s="32">
        <v>183.01</v>
      </c>
      <c r="B127" s="97">
        <v>-1659.3155333266548</v>
      </c>
      <c r="C127" s="97">
        <v>-732.41750786026273</v>
      </c>
      <c r="E127" s="43">
        <v>181.95999999999998</v>
      </c>
      <c r="F127" s="28">
        <v>-1672.46</v>
      </c>
      <c r="G127" s="28">
        <v>-701.89</v>
      </c>
      <c r="J127" s="43">
        <f t="shared" si="15"/>
        <v>-1.0500000000000114</v>
      </c>
      <c r="K127" s="54">
        <f t="shared" si="16"/>
        <v>-1659.3170816890899</v>
      </c>
      <c r="L127" s="54">
        <f t="shared" si="9"/>
        <v>-732.41985644492343</v>
      </c>
      <c r="M127" s="47">
        <f t="shared" si="11"/>
        <v>2.8130545922802211E-3</v>
      </c>
      <c r="N127" s="47"/>
      <c r="O127" s="54">
        <f t="shared" si="12"/>
        <v>-1672.4584088599065</v>
      </c>
      <c r="P127" s="54">
        <f t="shared" si="13"/>
        <v>-701.88768018333883</v>
      </c>
      <c r="Q127" s="47">
        <f t="shared" si="14"/>
        <v>2.8130545921822951E-3</v>
      </c>
    </row>
    <row r="128" spans="1:17" x14ac:dyDescent="0.2">
      <c r="A128" s="32">
        <v>182.17</v>
      </c>
      <c r="B128" s="97">
        <v>-1743.1170471239766</v>
      </c>
      <c r="C128" s="97">
        <v>-736.20297500299125</v>
      </c>
      <c r="E128" s="43">
        <v>181.11999999999998</v>
      </c>
      <c r="F128" s="28">
        <v>-1756.32</v>
      </c>
      <c r="G128" s="28">
        <v>-704.14</v>
      </c>
      <c r="J128" s="43">
        <f t="shared" si="15"/>
        <v>-1.0500000000000114</v>
      </c>
      <c r="K128" s="54">
        <f t="shared" si="16"/>
        <v>-1743.1217691867739</v>
      </c>
      <c r="L128" s="54">
        <f t="shared" si="9"/>
        <v>-736.20620738158107</v>
      </c>
      <c r="M128" s="47">
        <f t="shared" si="11"/>
        <v>5.7224250462364103E-3</v>
      </c>
      <c r="N128" s="47"/>
      <c r="O128" s="54">
        <f t="shared" si="12"/>
        <v>-1756.315219496995</v>
      </c>
      <c r="P128" s="54">
        <f t="shared" si="13"/>
        <v>-704.13685469565405</v>
      </c>
      <c r="Q128" s="47">
        <f t="shared" si="14"/>
        <v>5.7224250461117262E-3</v>
      </c>
    </row>
    <row r="129" spans="1:17" x14ac:dyDescent="0.2">
      <c r="A129" s="32">
        <v>181.9</v>
      </c>
      <c r="B129" s="97">
        <v>-1830.1850451736793</v>
      </c>
      <c r="C129" s="97">
        <v>-739.29498109343422</v>
      </c>
      <c r="E129" s="43">
        <v>180.85</v>
      </c>
      <c r="F129" s="28">
        <v>-1843.43</v>
      </c>
      <c r="G129" s="28">
        <v>-705.63</v>
      </c>
      <c r="J129" s="43">
        <f t="shared" si="15"/>
        <v>-1.0500000000000114</v>
      </c>
      <c r="K129" s="54">
        <f t="shared" si="16"/>
        <v>-1830.1898379064462</v>
      </c>
      <c r="L129" s="54">
        <f t="shared" si="9"/>
        <v>-739.29224196117229</v>
      </c>
      <c r="M129" s="47">
        <f t="shared" si="11"/>
        <v>5.5202475418193704E-3</v>
      </c>
      <c r="N129" s="47"/>
      <c r="O129" s="54">
        <f t="shared" si="12"/>
        <v>-1843.425258266419</v>
      </c>
      <c r="P129" s="54">
        <f t="shared" si="13"/>
        <v>-705.63282649881785</v>
      </c>
      <c r="Q129" s="47">
        <f t="shared" si="14"/>
        <v>5.5202475416945319E-3</v>
      </c>
    </row>
    <row r="130" spans="1:17" x14ac:dyDescent="0.2">
      <c r="A130" s="32">
        <v>181.76</v>
      </c>
      <c r="B130" s="97">
        <v>-1917.1744059832456</v>
      </c>
      <c r="C130" s="97">
        <v>-742.07421279602113</v>
      </c>
      <c r="E130" s="43">
        <v>180.70999999999998</v>
      </c>
      <c r="F130" s="28">
        <v>-1930.45</v>
      </c>
      <c r="G130" s="28">
        <v>-706.82</v>
      </c>
      <c r="J130" s="43">
        <f t="shared" si="15"/>
        <v>-1.0500000000000114</v>
      </c>
      <c r="K130" s="54">
        <f t="shared" si="16"/>
        <v>-1917.173419217946</v>
      </c>
      <c r="L130" s="54">
        <f t="shared" si="9"/>
        <v>-742.076677671634</v>
      </c>
      <c r="M130" s="47">
        <f t="shared" si="11"/>
        <v>2.6550550923373382E-3</v>
      </c>
      <c r="N130" s="47"/>
      <c r="O130" s="54">
        <f t="shared" si="12"/>
        <v>-1930.45094143093</v>
      </c>
      <c r="P130" s="54">
        <f t="shared" si="13"/>
        <v>-706.81751745587201</v>
      </c>
      <c r="Q130" s="47">
        <f t="shared" si="14"/>
        <v>2.6550550923819982E-3</v>
      </c>
    </row>
    <row r="131" spans="1:17" x14ac:dyDescent="0.2">
      <c r="A131" s="32">
        <v>181.47</v>
      </c>
      <c r="B131" s="97">
        <v>-2005.1403919680122</v>
      </c>
      <c r="C131" s="97">
        <v>-744.55445397804135</v>
      </c>
      <c r="E131" s="43">
        <v>180.42</v>
      </c>
      <c r="F131" s="28">
        <v>-2018.45</v>
      </c>
      <c r="G131" s="28">
        <v>-707.69</v>
      </c>
      <c r="J131" s="43">
        <f t="shared" si="15"/>
        <v>-1.0500000000000114</v>
      </c>
      <c r="K131" s="54">
        <f t="shared" si="16"/>
        <v>-2005.1426999501525</v>
      </c>
      <c r="L131" s="54">
        <f t="shared" si="9"/>
        <v>-744.5591255478729</v>
      </c>
      <c r="M131" s="47">
        <f t="shared" si="11"/>
        <v>5.210599413801204E-3</v>
      </c>
      <c r="N131" s="47"/>
      <c r="O131" s="54">
        <f t="shared" si="12"/>
        <v>-2018.4476067992096</v>
      </c>
      <c r="P131" s="54">
        <f t="shared" si="13"/>
        <v>-707.68537150821271</v>
      </c>
      <c r="Q131" s="47">
        <f t="shared" si="14"/>
        <v>5.2105994136111061E-3</v>
      </c>
    </row>
    <row r="132" spans="1:17" x14ac:dyDescent="0.2">
      <c r="A132" s="99">
        <v>181.43</v>
      </c>
      <c r="B132" s="97">
        <v>-2090.3890238194567</v>
      </c>
      <c r="C132" s="97">
        <v>-746.71231553000371</v>
      </c>
      <c r="E132" s="99">
        <v>180.38</v>
      </c>
      <c r="F132" s="97">
        <v>-2103.7199999999998</v>
      </c>
      <c r="G132" s="97">
        <v>-708.28</v>
      </c>
      <c r="J132" s="102">
        <f t="shared" ref="J132:J195" si="17">E132-A132</f>
        <v>-1.0500000000000114</v>
      </c>
      <c r="K132" s="105">
        <f t="shared" ref="K132:K195" si="18">SIN(RADIANS(J132))*G132 + COS(RADIANS(J132))*F132</f>
        <v>-2090.3875700728831</v>
      </c>
      <c r="L132" s="105">
        <f t="shared" ref="L132:L195" si="19">COS(RADIANS(J132))*G132 + -SIN(RADIANS(J132))*F132</f>
        <v>-746.71159337778306</v>
      </c>
      <c r="M132" s="103">
        <f t="shared" ref="M132:M195" si="20">SQRT(SUMSQ(K132-B132,L132-C132))</f>
        <v>1.623232247709694E-3</v>
      </c>
      <c r="N132" s="103"/>
      <c r="O132" s="105">
        <f t="shared" ref="O132:O195" si="21">SIN(RADIANS(-J132))*C132 + COS(RADIANS(-J132))*B132</f>
        <v>-2103.7214667358567</v>
      </c>
      <c r="P132" s="105">
        <f t="shared" ref="P132:P195" si="22">COS(RADIANS(-J132))*C132  + -SIN(RADIANS(-J132))*B132</f>
        <v>-708.2806953911537</v>
      </c>
      <c r="Q132" s="103">
        <f t="shared" ref="Q132:Q195" si="23">SQRT(SUMSQ(O132-F132,P132-G132))</f>
        <v>1.6232322478614278E-3</v>
      </c>
    </row>
    <row r="133" spans="1:17" x14ac:dyDescent="0.2">
      <c r="A133" s="99">
        <v>181.15</v>
      </c>
      <c r="B133" s="97">
        <v>-2177.4853314625725</v>
      </c>
      <c r="C133" s="97">
        <v>-748.67359830343571</v>
      </c>
      <c r="E133" s="99">
        <v>180.1</v>
      </c>
      <c r="F133" s="97">
        <v>-2190.84</v>
      </c>
      <c r="G133" s="97">
        <v>-708.65</v>
      </c>
      <c r="J133" s="102">
        <f t="shared" si="17"/>
        <v>-1.0500000000000114</v>
      </c>
      <c r="K133" s="105">
        <f t="shared" si="18"/>
        <v>-2177.4861610365624</v>
      </c>
      <c r="L133" s="105">
        <f t="shared" si="19"/>
        <v>-748.67799927221995</v>
      </c>
      <c r="M133" s="103">
        <f t="shared" si="20"/>
        <v>4.4784728696924672E-3</v>
      </c>
      <c r="N133" s="103"/>
      <c r="O133" s="105">
        <f t="shared" si="21"/>
        <v>-2190.839089917858</v>
      </c>
      <c r="P133" s="105">
        <f t="shared" si="22"/>
        <v>-708.64561497209388</v>
      </c>
      <c r="Q133" s="103">
        <f t="shared" si="23"/>
        <v>4.4784728694791569E-3</v>
      </c>
    </row>
    <row r="134" spans="1:17" x14ac:dyDescent="0.2">
      <c r="A134" s="99">
        <v>180.63</v>
      </c>
      <c r="B134" s="97">
        <v>-2266.3824937464537</v>
      </c>
      <c r="C134" s="97">
        <v>-750.05470153918986</v>
      </c>
      <c r="E134" s="99">
        <v>179.57999999999998</v>
      </c>
      <c r="F134" s="97">
        <v>-2279.75</v>
      </c>
      <c r="G134" s="97">
        <v>-708.4</v>
      </c>
      <c r="J134" s="102">
        <f t="shared" si="17"/>
        <v>-1.0500000000000114</v>
      </c>
      <c r="K134" s="105">
        <f t="shared" si="18"/>
        <v>-2266.3858128886882</v>
      </c>
      <c r="L134" s="105">
        <f t="shared" si="19"/>
        <v>-750.05731090156075</v>
      </c>
      <c r="M134" s="103">
        <f t="shared" si="20"/>
        <v>4.2220228747610932E-3</v>
      </c>
      <c r="N134" s="103"/>
      <c r="O134" s="105">
        <f t="shared" si="21"/>
        <v>-2279.7466335987151</v>
      </c>
      <c r="P134" s="105">
        <f t="shared" si="22"/>
        <v>-708.39745189883558</v>
      </c>
      <c r="Q134" s="103">
        <f t="shared" si="23"/>
        <v>4.222022874749997E-3</v>
      </c>
    </row>
    <row r="135" spans="1:17" x14ac:dyDescent="0.2">
      <c r="A135" s="99">
        <v>180.28</v>
      </c>
      <c r="B135" s="97">
        <v>-2353.4628416567775</v>
      </c>
      <c r="C135" s="97">
        <v>-750.7461996445013</v>
      </c>
      <c r="E135" s="99">
        <v>179.23</v>
      </c>
      <c r="F135" s="97">
        <v>-2366.83</v>
      </c>
      <c r="G135" s="97">
        <v>-707.49</v>
      </c>
      <c r="J135" s="102">
        <f t="shared" si="17"/>
        <v>-1.0500000000000114</v>
      </c>
      <c r="K135" s="105">
        <f t="shared" si="18"/>
        <v>-2353.4678664811804</v>
      </c>
      <c r="L135" s="105">
        <f t="shared" si="19"/>
        <v>-750.74319873077786</v>
      </c>
      <c r="M135" s="103">
        <f t="shared" si="20"/>
        <v>5.852721030026751E-3</v>
      </c>
      <c r="N135" s="103"/>
      <c r="O135" s="105">
        <f t="shared" si="21"/>
        <v>-2366.825031010882</v>
      </c>
      <c r="P135" s="105">
        <f t="shared" si="22"/>
        <v>-707.49309248938562</v>
      </c>
      <c r="Q135" s="103">
        <f t="shared" si="23"/>
        <v>5.8527210299654129E-3</v>
      </c>
    </row>
    <row r="136" spans="1:17" x14ac:dyDescent="0.2">
      <c r="A136" s="99">
        <v>180.25</v>
      </c>
      <c r="B136" s="97">
        <v>-2440.5804093039333</v>
      </c>
      <c r="C136" s="97">
        <v>-751.14912641330238</v>
      </c>
      <c r="E136" s="99">
        <v>179.2</v>
      </c>
      <c r="F136" s="97">
        <v>-2453.94</v>
      </c>
      <c r="G136" s="97">
        <v>-706.3</v>
      </c>
      <c r="J136" s="102">
        <f t="shared" si="17"/>
        <v>-1.0500000000000114</v>
      </c>
      <c r="K136" s="105">
        <f t="shared" si="18"/>
        <v>-2440.5850460169945</v>
      </c>
      <c r="L136" s="105">
        <f t="shared" si="19"/>
        <v>-751.14968332431954</v>
      </c>
      <c r="M136" s="103">
        <f t="shared" si="20"/>
        <v>4.6700383181888785E-3</v>
      </c>
      <c r="N136" s="103"/>
      <c r="O136" s="105">
        <f t="shared" si="21"/>
        <v>-2453.9353538601595</v>
      </c>
      <c r="P136" s="105">
        <f t="shared" si="22"/>
        <v>-706.29952814994567</v>
      </c>
      <c r="Q136" s="103">
        <f t="shared" si="23"/>
        <v>4.6700383180469261E-3</v>
      </c>
    </row>
    <row r="137" spans="1:17" x14ac:dyDescent="0.2">
      <c r="A137" s="99">
        <v>180.36</v>
      </c>
      <c r="B137" s="97">
        <v>-2525.8792674228011</v>
      </c>
      <c r="C137" s="97">
        <v>-751.60317504860666</v>
      </c>
      <c r="E137" s="99">
        <v>179.31</v>
      </c>
      <c r="F137" s="97">
        <v>-2539.23</v>
      </c>
      <c r="G137" s="97">
        <v>-705.19</v>
      </c>
      <c r="J137" s="102">
        <f t="shared" si="17"/>
        <v>-1.0500000000000114</v>
      </c>
      <c r="K137" s="105">
        <f t="shared" si="18"/>
        <v>-2525.8810651647855</v>
      </c>
      <c r="L137" s="105">
        <f t="shared" si="19"/>
        <v>-751.60280310946825</v>
      </c>
      <c r="M137" s="103">
        <f t="shared" si="20"/>
        <v>1.8358145235454271E-3</v>
      </c>
      <c r="N137" s="103"/>
      <c r="O137" s="105">
        <f t="shared" si="21"/>
        <v>-2539.2282093756439</v>
      </c>
      <c r="P137" s="105">
        <f t="shared" si="22"/>
        <v>-705.19040482018261</v>
      </c>
      <c r="Q137" s="103">
        <f t="shared" si="23"/>
        <v>1.8358145235358304E-3</v>
      </c>
    </row>
    <row r="138" spans="1:17" x14ac:dyDescent="0.2">
      <c r="A138" s="99">
        <v>180.52</v>
      </c>
      <c r="B138" s="97">
        <v>-2614.8566744419259</v>
      </c>
      <c r="C138" s="97">
        <v>-752.28659100070604</v>
      </c>
      <c r="E138" s="99">
        <v>179.47</v>
      </c>
      <c r="F138" s="97">
        <v>-2628.21</v>
      </c>
      <c r="G138" s="97">
        <v>-704.24</v>
      </c>
      <c r="J138" s="102">
        <f t="shared" si="17"/>
        <v>-1.0500000000000114</v>
      </c>
      <c r="K138" s="105">
        <f t="shared" si="18"/>
        <v>-2614.8635327147927</v>
      </c>
      <c r="L138" s="105">
        <f t="shared" si="19"/>
        <v>-752.28351502496389</v>
      </c>
      <c r="M138" s="103">
        <f t="shared" si="20"/>
        <v>7.5164841170380524E-3</v>
      </c>
      <c r="N138" s="103"/>
      <c r="O138" s="105">
        <f t="shared" si="21"/>
        <v>-2628.2031992457892</v>
      </c>
      <c r="P138" s="105">
        <f t="shared" si="22"/>
        <v>-704.24320113661736</v>
      </c>
      <c r="Q138" s="103">
        <f t="shared" si="23"/>
        <v>7.5164841169008539E-3</v>
      </c>
    </row>
    <row r="139" spans="1:17" x14ac:dyDescent="0.2">
      <c r="A139" s="99">
        <v>180.77</v>
      </c>
      <c r="B139" s="97">
        <v>-2701.1767020715397</v>
      </c>
      <c r="C139" s="97">
        <v>-753.25836130725361</v>
      </c>
      <c r="E139" s="99">
        <v>179.72</v>
      </c>
      <c r="F139" s="97">
        <v>-2714.53</v>
      </c>
      <c r="G139" s="97">
        <v>-703.63</v>
      </c>
      <c r="J139" s="102">
        <f t="shared" si="17"/>
        <v>-1.0500000000000114</v>
      </c>
      <c r="K139" s="105">
        <f t="shared" si="18"/>
        <v>-2701.1802164437627</v>
      </c>
      <c r="L139" s="105">
        <f t="shared" si="19"/>
        <v>-753.25542553162393</v>
      </c>
      <c r="M139" s="103">
        <f t="shared" si="20"/>
        <v>4.579256562967606E-3</v>
      </c>
      <c r="N139" s="103"/>
      <c r="O139" s="105">
        <f t="shared" si="21"/>
        <v>-2714.5265400157823</v>
      </c>
      <c r="P139" s="105">
        <f t="shared" si="22"/>
        <v>-703.63299968329682</v>
      </c>
      <c r="Q139" s="103">
        <f t="shared" si="23"/>
        <v>4.5792565629507488E-3</v>
      </c>
    </row>
    <row r="140" spans="1:17" x14ac:dyDescent="0.2">
      <c r="A140" s="99">
        <v>181.07</v>
      </c>
      <c r="B140" s="97">
        <v>-2789.2869600181807</v>
      </c>
      <c r="C140" s="97">
        <v>-754.67322557171383</v>
      </c>
      <c r="E140" s="99">
        <v>180.01999999999998</v>
      </c>
      <c r="F140" s="97">
        <v>-2802.65</v>
      </c>
      <c r="G140" s="97">
        <v>-703.43</v>
      </c>
      <c r="J140" s="102">
        <f t="shared" si="17"/>
        <v>-1.0500000000000114</v>
      </c>
      <c r="K140" s="105">
        <f t="shared" si="18"/>
        <v>-2789.2890847026847</v>
      </c>
      <c r="L140" s="105">
        <f t="shared" si="19"/>
        <v>-754.67025206937922</v>
      </c>
      <c r="M140" s="103">
        <f t="shared" si="20"/>
        <v>3.654586211251201E-3</v>
      </c>
      <c r="N140" s="103"/>
      <c r="O140" s="105">
        <f t="shared" si="21"/>
        <v>-2802.64793016149</v>
      </c>
      <c r="P140" s="105">
        <f t="shared" si="22"/>
        <v>-703.43301193773482</v>
      </c>
      <c r="Q140" s="103">
        <f t="shared" si="23"/>
        <v>3.6545862114220709E-3</v>
      </c>
    </row>
    <row r="141" spans="1:17" x14ac:dyDescent="0.2">
      <c r="A141" s="99">
        <v>181.21</v>
      </c>
      <c r="B141" s="97">
        <v>-2876.4969399883448</v>
      </c>
      <c r="C141" s="97">
        <v>-756.40868853475104</v>
      </c>
      <c r="E141" s="99">
        <v>180.16</v>
      </c>
      <c r="F141" s="97">
        <v>-2889.88</v>
      </c>
      <c r="G141" s="97">
        <v>-703.57</v>
      </c>
      <c r="J141" s="102">
        <f t="shared" si="17"/>
        <v>-1.0500000000000114</v>
      </c>
      <c r="K141" s="105">
        <f t="shared" si="18"/>
        <v>-2876.5018719298632</v>
      </c>
      <c r="L141" s="105">
        <f t="shared" si="19"/>
        <v>-756.40871232686993</v>
      </c>
      <c r="M141" s="103">
        <f t="shared" si="20"/>
        <v>4.9319989057085992E-3</v>
      </c>
      <c r="N141" s="103"/>
      <c r="O141" s="105">
        <f t="shared" si="21"/>
        <v>-2889.8750684506431</v>
      </c>
      <c r="P141" s="105">
        <f t="shared" si="22"/>
        <v>-703.57006658936621</v>
      </c>
      <c r="Q141" s="103">
        <f t="shared" si="23"/>
        <v>4.9319989055611711E-3</v>
      </c>
    </row>
    <row r="142" spans="1:17" x14ac:dyDescent="0.2">
      <c r="A142" s="99">
        <v>181.18</v>
      </c>
      <c r="B142" s="97">
        <v>-2963.7262263000562</v>
      </c>
      <c r="C142" s="97">
        <v>-758.22826883640141</v>
      </c>
      <c r="E142" s="99">
        <v>180.13</v>
      </c>
      <c r="F142" s="97">
        <v>-2977.13</v>
      </c>
      <c r="G142" s="97">
        <v>-703.79</v>
      </c>
      <c r="J142" s="102">
        <f t="shared" si="17"/>
        <v>-1.0500000000000114</v>
      </c>
      <c r="K142" s="105">
        <f t="shared" si="18"/>
        <v>-2963.7331898042171</v>
      </c>
      <c r="L142" s="105">
        <f t="shared" si="19"/>
        <v>-758.22752564973621</v>
      </c>
      <c r="M142" s="103">
        <f t="shared" si="20"/>
        <v>7.0030505223446348E-3</v>
      </c>
      <c r="N142" s="103"/>
      <c r="O142" s="105">
        <f t="shared" si="21"/>
        <v>-2977.1230512839652</v>
      </c>
      <c r="P142" s="105">
        <f t="shared" si="22"/>
        <v>-703.7908706676086</v>
      </c>
      <c r="Q142" s="103">
        <f t="shared" si="23"/>
        <v>7.0030505223497384E-3</v>
      </c>
    </row>
    <row r="143" spans="1:17" x14ac:dyDescent="0.2">
      <c r="A143" s="99">
        <v>181.24</v>
      </c>
      <c r="B143" s="97">
        <v>-3050.032561330132</v>
      </c>
      <c r="C143" s="97">
        <v>-760.0511969860064</v>
      </c>
      <c r="E143" s="99">
        <v>180.19</v>
      </c>
      <c r="F143" s="97">
        <v>-3063.45</v>
      </c>
      <c r="G143" s="97">
        <v>-704.03</v>
      </c>
      <c r="J143" s="102">
        <f t="shared" si="17"/>
        <v>-1.0500000000000114</v>
      </c>
      <c r="K143" s="105">
        <f t="shared" si="18"/>
        <v>-3050.0342973415004</v>
      </c>
      <c r="L143" s="105">
        <f t="shared" si="19"/>
        <v>-760.04929342809089</v>
      </c>
      <c r="M143" s="103">
        <f t="shared" si="20"/>
        <v>2.5762896205392435E-3</v>
      </c>
      <c r="N143" s="103"/>
      <c r="O143" s="105">
        <f t="shared" si="21"/>
        <v>-3063.4482991627037</v>
      </c>
      <c r="P143" s="105">
        <f t="shared" si="22"/>
        <v>-704.03193505056754</v>
      </c>
      <c r="Q143" s="103">
        <f t="shared" si="23"/>
        <v>2.5762896201311078E-3</v>
      </c>
    </row>
    <row r="144" spans="1:17" x14ac:dyDescent="0.2">
      <c r="A144" s="99">
        <v>181.33</v>
      </c>
      <c r="B144" s="97">
        <v>-3138.1427510231738</v>
      </c>
      <c r="C144" s="97">
        <v>-762.02761241160999</v>
      </c>
      <c r="E144" s="99">
        <v>180.28</v>
      </c>
      <c r="F144" s="97">
        <v>-3151.58</v>
      </c>
      <c r="G144" s="97">
        <v>-704.39</v>
      </c>
      <c r="J144" s="102">
        <f t="shared" si="17"/>
        <v>-1.0500000000000114</v>
      </c>
      <c r="K144" s="105">
        <f t="shared" si="18"/>
        <v>-3138.142901959684</v>
      </c>
      <c r="L144" s="105">
        <f t="shared" si="19"/>
        <v>-762.02420918239443</v>
      </c>
      <c r="M144" s="103">
        <f t="shared" si="20"/>
        <v>3.4065746614123094E-3</v>
      </c>
      <c r="N144" s="103"/>
      <c r="O144" s="105">
        <f t="shared" si="21"/>
        <v>-3151.5799114527763</v>
      </c>
      <c r="P144" s="105">
        <f t="shared" si="22"/>
        <v>-704.39340542366131</v>
      </c>
      <c r="Q144" s="103">
        <f t="shared" si="23"/>
        <v>3.4065746614294875E-3</v>
      </c>
    </row>
    <row r="145" spans="1:17" x14ac:dyDescent="0.2">
      <c r="A145" s="99">
        <v>181.31</v>
      </c>
      <c r="B145" s="97">
        <v>-3225.3328904238319</v>
      </c>
      <c r="C145" s="97">
        <v>-764.03668509441309</v>
      </c>
      <c r="E145" s="99">
        <v>180.26</v>
      </c>
      <c r="F145" s="97">
        <v>-3238.79</v>
      </c>
      <c r="G145" s="97">
        <v>-704.81</v>
      </c>
      <c r="J145" s="102">
        <f t="shared" si="17"/>
        <v>-1.0500000000000114</v>
      </c>
      <c r="K145" s="105">
        <f t="shared" si="18"/>
        <v>-3225.3305615643844</v>
      </c>
      <c r="L145" s="105">
        <f t="shared" si="19"/>
        <v>-764.0422559248741</v>
      </c>
      <c r="M145" s="103">
        <f t="shared" si="20"/>
        <v>6.038024374877095E-3</v>
      </c>
      <c r="N145" s="103"/>
      <c r="O145" s="105">
        <f t="shared" si="21"/>
        <v>-3238.7922263833093</v>
      </c>
      <c r="P145" s="105">
        <f t="shared" si="22"/>
        <v>-704.80438742877891</v>
      </c>
      <c r="Q145" s="103">
        <f t="shared" si="23"/>
        <v>6.038024374850251E-3</v>
      </c>
    </row>
    <row r="146" spans="1:17" x14ac:dyDescent="0.2">
      <c r="A146" s="99">
        <v>181.25</v>
      </c>
      <c r="B146" s="97">
        <v>-3313.4785540286744</v>
      </c>
      <c r="C146" s="97">
        <v>-766.0061799074856</v>
      </c>
      <c r="E146" s="99">
        <v>180.2</v>
      </c>
      <c r="F146" s="97">
        <v>-3326.96</v>
      </c>
      <c r="G146" s="97">
        <v>-705.16</v>
      </c>
      <c r="J146" s="102">
        <f t="shared" si="17"/>
        <v>-1.0500000000000114</v>
      </c>
      <c r="K146" s="105">
        <f t="shared" si="18"/>
        <v>-3313.4793427152563</v>
      </c>
      <c r="L146" s="105">
        <f t="shared" si="19"/>
        <v>-766.00790635559008</v>
      </c>
      <c r="M146" s="103">
        <f t="shared" si="20"/>
        <v>1.898064693830703E-3</v>
      </c>
      <c r="N146" s="103"/>
      <c r="O146" s="105">
        <f t="shared" si="21"/>
        <v>-3326.9591798088081</v>
      </c>
      <c r="P146" s="105">
        <f t="shared" si="22"/>
        <v>-705.1582882944208</v>
      </c>
      <c r="Q146" s="103">
        <f t="shared" si="23"/>
        <v>1.8980646935858551E-3</v>
      </c>
    </row>
    <row r="147" spans="1:17" x14ac:dyDescent="0.2">
      <c r="A147" s="99">
        <v>181.14</v>
      </c>
      <c r="B147" s="97">
        <v>-3401.6622989602192</v>
      </c>
      <c r="C147" s="97">
        <v>-767.84568072116974</v>
      </c>
      <c r="E147" s="99">
        <v>180.08999999999997</v>
      </c>
      <c r="F147" s="97">
        <v>-3415.16</v>
      </c>
      <c r="G147" s="97">
        <v>-705.38</v>
      </c>
      <c r="J147" s="102">
        <f t="shared" si="17"/>
        <v>-1.0500000000000114</v>
      </c>
      <c r="K147" s="105">
        <f t="shared" si="18"/>
        <v>-3401.660501069739</v>
      </c>
      <c r="L147" s="105">
        <f t="shared" si="19"/>
        <v>-767.84412836328261</v>
      </c>
      <c r="M147" s="103">
        <f t="shared" si="20"/>
        <v>2.3753368579458255E-3</v>
      </c>
      <c r="N147" s="103"/>
      <c r="O147" s="105">
        <f t="shared" si="21"/>
        <v>-3415.1618260354376</v>
      </c>
      <c r="P147" s="105">
        <f t="shared" si="22"/>
        <v>-705.38151915100229</v>
      </c>
      <c r="Q147" s="103">
        <f t="shared" si="23"/>
        <v>2.3753368577068348E-3</v>
      </c>
    </row>
    <row r="148" spans="1:17" x14ac:dyDescent="0.2">
      <c r="A148" s="99">
        <v>177.78</v>
      </c>
      <c r="B148" s="97">
        <v>-3518.9952480697375</v>
      </c>
      <c r="C148" s="97">
        <v>-766.76441964217247</v>
      </c>
      <c r="E148" s="99">
        <v>176.73</v>
      </c>
      <c r="F148" s="97">
        <v>-3532.46</v>
      </c>
      <c r="G148" s="97">
        <v>-702.15</v>
      </c>
      <c r="J148" s="102">
        <f t="shared" si="17"/>
        <v>-1.0500000000000114</v>
      </c>
      <c r="K148" s="105">
        <f t="shared" si="18"/>
        <v>-3518.9999940920325</v>
      </c>
      <c r="L148" s="105">
        <f t="shared" si="19"/>
        <v>-766.76418518360515</v>
      </c>
      <c r="M148" s="103">
        <f t="shared" si="20"/>
        <v>4.7518100176785795E-3</v>
      </c>
      <c r="N148" s="103"/>
      <c r="O148" s="105">
        <f t="shared" si="21"/>
        <v>-3532.4552590710741</v>
      </c>
      <c r="P148" s="105">
        <f t="shared" si="22"/>
        <v>-702.15032138973106</v>
      </c>
      <c r="Q148" s="103">
        <f t="shared" si="23"/>
        <v>4.7518100172247047E-3</v>
      </c>
    </row>
    <row r="149" spans="1:17" x14ac:dyDescent="0.2">
      <c r="A149" s="99">
        <v>177.33</v>
      </c>
      <c r="B149" s="97">
        <v>-3606.4419198691876</v>
      </c>
      <c r="C149" s="97">
        <v>-763.03172436171303</v>
      </c>
      <c r="E149" s="99">
        <v>176.28</v>
      </c>
      <c r="F149" s="97">
        <v>-3619.82</v>
      </c>
      <c r="G149" s="97">
        <v>-696.82</v>
      </c>
      <c r="J149" s="102">
        <f t="shared" si="17"/>
        <v>-1.0500000000000114</v>
      </c>
      <c r="K149" s="105">
        <f t="shared" si="18"/>
        <v>-3606.4429968649129</v>
      </c>
      <c r="L149" s="105">
        <f t="shared" si="19"/>
        <v>-763.03594618080024</v>
      </c>
      <c r="M149" s="103">
        <f t="shared" si="20"/>
        <v>4.3570260726039445E-3</v>
      </c>
      <c r="N149" s="103"/>
      <c r="O149" s="105">
        <f t="shared" si="21"/>
        <v>-3619.8188458205746</v>
      </c>
      <c r="P149" s="105">
        <f t="shared" si="22"/>
        <v>-696.81579862569515</v>
      </c>
      <c r="Q149" s="103">
        <f t="shared" si="23"/>
        <v>4.3570260724908839E-3</v>
      </c>
    </row>
    <row r="150" spans="1:17" x14ac:dyDescent="0.2">
      <c r="A150" s="99">
        <v>178.4</v>
      </c>
      <c r="B150" s="97">
        <v>-3690.3287889879571</v>
      </c>
      <c r="C150" s="97">
        <v>-759.90710897139581</v>
      </c>
      <c r="E150" s="99">
        <v>177.35</v>
      </c>
      <c r="F150" s="97">
        <v>-3703.64</v>
      </c>
      <c r="G150" s="97">
        <v>-692.16</v>
      </c>
      <c r="J150" s="102">
        <f t="shared" si="17"/>
        <v>-1.0500000000000114</v>
      </c>
      <c r="K150" s="105">
        <f t="shared" si="18"/>
        <v>-3690.3343163551694</v>
      </c>
      <c r="L150" s="105">
        <f t="shared" si="19"/>
        <v>-759.91272441736533</v>
      </c>
      <c r="M150" s="103">
        <f t="shared" si="20"/>
        <v>7.8794049100799693E-3</v>
      </c>
      <c r="N150" s="103"/>
      <c r="O150" s="105">
        <f t="shared" si="21"/>
        <v>-3703.634370658257</v>
      </c>
      <c r="P150" s="105">
        <f t="shared" si="22"/>
        <v>-692.15448678557675</v>
      </c>
      <c r="Q150" s="103">
        <f t="shared" si="23"/>
        <v>7.8794049099082282E-3</v>
      </c>
    </row>
    <row r="151" spans="1:17" x14ac:dyDescent="0.2">
      <c r="A151" s="99">
        <v>179.24</v>
      </c>
      <c r="B151" s="97">
        <v>-3776.3126927202134</v>
      </c>
      <c r="C151" s="97">
        <v>-758.13586618652585</v>
      </c>
      <c r="E151" s="99">
        <v>178.19</v>
      </c>
      <c r="F151" s="97">
        <v>-3789.57</v>
      </c>
      <c r="G151" s="97">
        <v>-688.81</v>
      </c>
      <c r="J151" s="102">
        <f t="shared" si="17"/>
        <v>-1.0500000000000114</v>
      </c>
      <c r="K151" s="105">
        <f t="shared" si="18"/>
        <v>-3776.3112758832699</v>
      </c>
      <c r="L151" s="105">
        <f t="shared" si="19"/>
        <v>-758.13794828967048</v>
      </c>
      <c r="M151" s="103">
        <f t="shared" si="20"/>
        <v>2.5184480199600206E-3</v>
      </c>
      <c r="N151" s="103"/>
      <c r="O151" s="105">
        <f t="shared" si="21"/>
        <v>-3789.5713784446375</v>
      </c>
      <c r="P151" s="105">
        <f t="shared" si="22"/>
        <v>-688.80789228303331</v>
      </c>
      <c r="Q151" s="103">
        <f t="shared" si="23"/>
        <v>2.5184480200406817E-3</v>
      </c>
    </row>
    <row r="152" spans="1:17" x14ac:dyDescent="0.2">
      <c r="A152" s="99">
        <v>180.25</v>
      </c>
      <c r="B152" s="97">
        <v>-3863.1867742853769</v>
      </c>
      <c r="C152" s="97">
        <v>-757.74922275039796</v>
      </c>
      <c r="E152" s="99">
        <v>179.2</v>
      </c>
      <c r="F152" s="97">
        <v>-3876.43</v>
      </c>
      <c r="G152" s="97">
        <v>-686.83</v>
      </c>
      <c r="J152" s="102">
        <f t="shared" si="17"/>
        <v>-1.0500000000000114</v>
      </c>
      <c r="K152" s="105">
        <f t="shared" si="18"/>
        <v>-3863.1929740937999</v>
      </c>
      <c r="L152" s="105">
        <f t="shared" si="19"/>
        <v>-757.74998430372932</v>
      </c>
      <c r="M152" s="103">
        <f t="shared" si="20"/>
        <v>6.2464060032623352E-3</v>
      </c>
      <c r="N152" s="103"/>
      <c r="O152" s="105">
        <f t="shared" si="21"/>
        <v>-3876.4237872772096</v>
      </c>
      <c r="P152" s="105">
        <f t="shared" si="22"/>
        <v>-686.82935218560942</v>
      </c>
      <c r="Q152" s="103">
        <f t="shared" si="23"/>
        <v>6.246406002883384E-3</v>
      </c>
    </row>
    <row r="153" spans="1:17" x14ac:dyDescent="0.2">
      <c r="A153" s="99">
        <v>180.94</v>
      </c>
      <c r="B153" s="97">
        <v>-3949.1585644481374</v>
      </c>
      <c r="C153" s="97">
        <v>-758.64202443003853</v>
      </c>
      <c r="E153" s="99">
        <v>179.89</v>
      </c>
      <c r="F153" s="97">
        <v>-3962.4</v>
      </c>
      <c r="G153" s="97">
        <v>-686.15</v>
      </c>
      <c r="J153" s="102">
        <f t="shared" si="17"/>
        <v>-1.0500000000000114</v>
      </c>
      <c r="K153" s="105">
        <f t="shared" si="18"/>
        <v>-3949.1609993384463</v>
      </c>
      <c r="L153" s="105">
        <f t="shared" si="19"/>
        <v>-758.64549283849647</v>
      </c>
      <c r="M153" s="103">
        <f t="shared" si="20"/>
        <v>4.2377527119295891E-3</v>
      </c>
      <c r="N153" s="103"/>
      <c r="O153" s="105">
        <f t="shared" si="21"/>
        <v>-3962.3975019602008</v>
      </c>
      <c r="P153" s="105">
        <f t="shared" si="22"/>
        <v>-686.14657679314007</v>
      </c>
      <c r="Q153" s="103">
        <f t="shared" si="23"/>
        <v>4.2377527116032928E-3</v>
      </c>
    </row>
    <row r="154" spans="1:17" x14ac:dyDescent="0.2">
      <c r="A154" s="99">
        <v>181.62</v>
      </c>
      <c r="B154" s="97">
        <v>-4035.1767612089175</v>
      </c>
      <c r="C154" s="97">
        <v>-760.56440614578753</v>
      </c>
      <c r="E154" s="99">
        <v>180.57</v>
      </c>
      <c r="F154" s="97">
        <v>-4048.44</v>
      </c>
      <c r="G154" s="97">
        <v>-686.49</v>
      </c>
      <c r="J154" s="102">
        <f t="shared" si="17"/>
        <v>-1.0500000000000114</v>
      </c>
      <c r="K154" s="105">
        <f t="shared" si="18"/>
        <v>-4035.1803213989729</v>
      </c>
      <c r="L154" s="105">
        <f t="shared" si="19"/>
        <v>-760.56211284449512</v>
      </c>
      <c r="M154" s="103">
        <f t="shared" si="20"/>
        <v>4.2348770995524329E-3</v>
      </c>
      <c r="N154" s="103"/>
      <c r="O154" s="105">
        <f t="shared" si="21"/>
        <v>-4048.4364824323452</v>
      </c>
      <c r="P154" s="105">
        <f t="shared" si="22"/>
        <v>-686.49235815644988</v>
      </c>
      <c r="Q154" s="103">
        <f t="shared" si="23"/>
        <v>4.2348770995799395E-3</v>
      </c>
    </row>
    <row r="155" spans="1:17" x14ac:dyDescent="0.2">
      <c r="A155" s="99">
        <v>181.79</v>
      </c>
      <c r="B155" s="97">
        <v>-4120.4040921400547</v>
      </c>
      <c r="C155" s="97">
        <v>-763.10141972057272</v>
      </c>
      <c r="E155" s="99">
        <v>180.73999999999998</v>
      </c>
      <c r="F155" s="97">
        <v>-4133.7</v>
      </c>
      <c r="G155" s="97">
        <v>-687.47</v>
      </c>
      <c r="J155" s="102">
        <f t="shared" si="17"/>
        <v>-1.0500000000000114</v>
      </c>
      <c r="K155" s="105">
        <f t="shared" si="18"/>
        <v>-4120.4080464776152</v>
      </c>
      <c r="L155" s="105">
        <f t="shared" si="19"/>
        <v>-763.10433193798679</v>
      </c>
      <c r="M155" s="103">
        <f t="shared" si="20"/>
        <v>4.9109872540788937E-3</v>
      </c>
      <c r="N155" s="103"/>
      <c r="O155" s="105">
        <f t="shared" si="21"/>
        <v>-4133.6959929602508</v>
      </c>
      <c r="P155" s="105">
        <f t="shared" si="22"/>
        <v>-687.46716073455752</v>
      </c>
      <c r="Q155" s="103">
        <f t="shared" si="23"/>
        <v>4.9109872534105446E-3</v>
      </c>
    </row>
    <row r="156" spans="1:17" x14ac:dyDescent="0.2">
      <c r="A156" s="99">
        <v>181.59</v>
      </c>
      <c r="B156" s="97">
        <v>-4206.756674678667</v>
      </c>
      <c r="C156" s="97">
        <v>-765.6489201494295</v>
      </c>
      <c r="E156" s="99">
        <v>180.54</v>
      </c>
      <c r="F156" s="97">
        <v>-4220.08</v>
      </c>
      <c r="G156" s="97">
        <v>-688.43</v>
      </c>
      <c r="J156" s="102">
        <f t="shared" si="17"/>
        <v>-1.0500000000000114</v>
      </c>
      <c r="K156" s="105">
        <f t="shared" si="18"/>
        <v>-4206.7559499893541</v>
      </c>
      <c r="L156" s="105">
        <f t="shared" si="19"/>
        <v>-765.64707831295505</v>
      </c>
      <c r="M156" s="103">
        <f t="shared" si="20"/>
        <v>1.9792766857582998E-3</v>
      </c>
      <c r="N156" s="103"/>
      <c r="O156" s="105">
        <f t="shared" si="21"/>
        <v>-4220.0807583191536</v>
      </c>
      <c r="P156" s="105">
        <f t="shared" si="22"/>
        <v>-688.43182824731946</v>
      </c>
      <c r="Q156" s="103">
        <f t="shared" si="23"/>
        <v>1.9792766860846087E-3</v>
      </c>
    </row>
    <row r="157" spans="1:17" x14ac:dyDescent="0.2">
      <c r="A157" s="99">
        <v>181.39</v>
      </c>
      <c r="B157" s="97">
        <v>-4294.2631651804959</v>
      </c>
      <c r="C157" s="97">
        <v>-767.92494773667227</v>
      </c>
      <c r="E157" s="99">
        <v>180.33999999999997</v>
      </c>
      <c r="F157" s="97">
        <v>-4307.62</v>
      </c>
      <c r="G157" s="97">
        <v>-689.1</v>
      </c>
      <c r="J157" s="102">
        <f t="shared" si="17"/>
        <v>-1.0500000000000114</v>
      </c>
      <c r="K157" s="105">
        <f t="shared" si="18"/>
        <v>-4294.2689729490412</v>
      </c>
      <c r="L157" s="105">
        <f t="shared" si="19"/>
        <v>-767.92113030388225</v>
      </c>
      <c r="M157" s="103">
        <f t="shared" si="20"/>
        <v>6.9500337108660357E-3</v>
      </c>
      <c r="N157" s="103"/>
      <c r="O157" s="105">
        <f t="shared" si="21"/>
        <v>-4307.6142631608645</v>
      </c>
      <c r="P157" s="105">
        <f t="shared" si="22"/>
        <v>-689.10392321874338</v>
      </c>
      <c r="Q157" s="103">
        <f t="shared" si="23"/>
        <v>6.9500337102132523E-3</v>
      </c>
    </row>
    <row r="158" spans="1:17" x14ac:dyDescent="0.2">
      <c r="A158" s="99">
        <v>181.82</v>
      </c>
      <c r="B158" s="97">
        <v>-4381.5552312313748</v>
      </c>
      <c r="C158" s="97">
        <v>-770.36979443281041</v>
      </c>
      <c r="E158" s="99">
        <v>180.76999999999998</v>
      </c>
      <c r="F158" s="97">
        <v>-4394.9399999999996</v>
      </c>
      <c r="G158" s="97">
        <v>-689.95</v>
      </c>
      <c r="J158" s="102">
        <f t="shared" si="17"/>
        <v>-1.0500000000000114</v>
      </c>
      <c r="K158" s="105">
        <f t="shared" si="18"/>
        <v>-4381.5587343625193</v>
      </c>
      <c r="L158" s="105">
        <f t="shared" si="19"/>
        <v>-770.37112058508478</v>
      </c>
      <c r="M158" s="103">
        <f t="shared" si="20"/>
        <v>3.7457452756932837E-3</v>
      </c>
      <c r="N158" s="103"/>
      <c r="O158" s="105">
        <f t="shared" si="21"/>
        <v>-4394.9364731554369</v>
      </c>
      <c r="P158" s="105">
        <f t="shared" si="22"/>
        <v>-689.94873826504522</v>
      </c>
      <c r="Q158" s="103">
        <f t="shared" si="23"/>
        <v>3.7457452750243769E-3</v>
      </c>
    </row>
    <row r="159" spans="1:17" x14ac:dyDescent="0.2">
      <c r="A159" s="99">
        <v>183.1</v>
      </c>
      <c r="B159" s="97">
        <v>-4465.7956397547587</v>
      </c>
      <c r="C159" s="97">
        <v>-773.98856459179706</v>
      </c>
      <c r="E159" s="99">
        <v>182.04999999999998</v>
      </c>
      <c r="F159" s="97">
        <v>-4479.2299999999996</v>
      </c>
      <c r="G159" s="97">
        <v>-692.02</v>
      </c>
      <c r="J159" s="102">
        <f t="shared" si="17"/>
        <v>-1.0500000000000114</v>
      </c>
      <c r="K159" s="105">
        <f t="shared" si="18"/>
        <v>-4465.7966481441235</v>
      </c>
      <c r="L159" s="105">
        <f t="shared" si="19"/>
        <v>-773.98538146706017</v>
      </c>
      <c r="M159" s="103">
        <f t="shared" si="20"/>
        <v>3.3390316263553215E-3</v>
      </c>
      <c r="N159" s="103"/>
      <c r="O159" s="105">
        <f t="shared" si="21"/>
        <v>-4479.2290501105026</v>
      </c>
      <c r="P159" s="105">
        <f t="shared" si="22"/>
        <v>-692.02320106890636</v>
      </c>
      <c r="Q159" s="103">
        <f t="shared" si="23"/>
        <v>3.339031626055537E-3</v>
      </c>
    </row>
    <row r="160" spans="1:17" x14ac:dyDescent="0.2">
      <c r="A160" s="99">
        <v>184.64</v>
      </c>
      <c r="B160" s="97">
        <v>-4551.6917883319775</v>
      </c>
      <c r="C160" s="97">
        <v>-779.79934375494531</v>
      </c>
      <c r="E160" s="99">
        <v>183.58999999999997</v>
      </c>
      <c r="F160" s="97">
        <v>-4565.22</v>
      </c>
      <c r="G160" s="97">
        <v>-696.26</v>
      </c>
      <c r="J160" s="102">
        <f t="shared" si="17"/>
        <v>-1.0500000000000114</v>
      </c>
      <c r="K160" s="105">
        <f t="shared" si="18"/>
        <v>-4551.6945113679885</v>
      </c>
      <c r="L160" s="105">
        <f t="shared" si="19"/>
        <v>-779.80043035544179</v>
      </c>
      <c r="M160" s="103">
        <f t="shared" si="20"/>
        <v>2.9318297625221526E-3</v>
      </c>
      <c r="N160" s="103"/>
      <c r="O160" s="105">
        <f t="shared" si="21"/>
        <v>-4565.21725750935</v>
      </c>
      <c r="P160" s="105">
        <f t="shared" si="22"/>
        <v>-696.25896348140895</v>
      </c>
      <c r="Q160" s="103">
        <f t="shared" si="23"/>
        <v>2.9318297624841348E-3</v>
      </c>
    </row>
    <row r="161" spans="1:17" x14ac:dyDescent="0.2">
      <c r="A161" s="99">
        <v>185.53</v>
      </c>
      <c r="B161" s="97">
        <v>-4638.3671913059761</v>
      </c>
      <c r="C161" s="97">
        <v>-787.51216226063104</v>
      </c>
      <c r="E161" s="99">
        <v>184.48</v>
      </c>
      <c r="F161" s="97">
        <v>-4652.0200000000004</v>
      </c>
      <c r="G161" s="97">
        <v>-702.38</v>
      </c>
      <c r="J161" s="102">
        <f t="shared" si="17"/>
        <v>-1.0500000000000114</v>
      </c>
      <c r="K161" s="105">
        <f t="shared" si="18"/>
        <v>-4638.3677877091495</v>
      </c>
      <c r="L161" s="105">
        <f t="shared" si="19"/>
        <v>-787.5100067568261</v>
      </c>
      <c r="M161" s="103">
        <f t="shared" si="20"/>
        <v>2.2364913141724812E-3</v>
      </c>
      <c r="N161" s="103"/>
      <c r="O161" s="105">
        <f t="shared" si="21"/>
        <v>-4652.0194431964328</v>
      </c>
      <c r="P161" s="105">
        <f t="shared" si="22"/>
        <v>-702.38216607090942</v>
      </c>
      <c r="Q161" s="103">
        <f t="shared" si="23"/>
        <v>2.2364913139974324E-3</v>
      </c>
    </row>
    <row r="162" spans="1:17" x14ac:dyDescent="0.2">
      <c r="A162" s="99">
        <v>185.57</v>
      </c>
      <c r="B162" s="97">
        <v>-4724.1185939390389</v>
      </c>
      <c r="C162" s="97">
        <v>-795.84462207661909</v>
      </c>
      <c r="E162" s="99">
        <v>184.51999999999998</v>
      </c>
      <c r="F162" s="97">
        <v>-4737.91</v>
      </c>
      <c r="G162" s="97">
        <v>-709.14</v>
      </c>
      <c r="J162" s="102">
        <f t="shared" si="17"/>
        <v>-1.0500000000000114</v>
      </c>
      <c r="K162" s="105">
        <f t="shared" si="18"/>
        <v>-4724.1194888974605</v>
      </c>
      <c r="L162" s="105">
        <f t="shared" si="19"/>
        <v>-795.84280000462195</v>
      </c>
      <c r="M162" s="103">
        <f t="shared" si="20"/>
        <v>2.0299992461266176E-3</v>
      </c>
      <c r="N162" s="103"/>
      <c r="O162" s="105">
        <f t="shared" si="21"/>
        <v>-4737.9091385812008</v>
      </c>
      <c r="P162" s="105">
        <f t="shared" si="22"/>
        <v>-709.14183816609454</v>
      </c>
      <c r="Q162" s="103">
        <f t="shared" si="23"/>
        <v>2.0299992459684511E-3</v>
      </c>
    </row>
    <row r="163" spans="1:17" x14ac:dyDescent="0.2">
      <c r="A163" s="99">
        <v>185.3</v>
      </c>
      <c r="B163" s="97">
        <v>-4810.7910052406223</v>
      </c>
      <c r="C163" s="97">
        <v>-804.09101615264103</v>
      </c>
      <c r="E163" s="99">
        <v>184.25</v>
      </c>
      <c r="F163" s="97">
        <v>-4824.72</v>
      </c>
      <c r="G163" s="97">
        <v>-715.8</v>
      </c>
      <c r="J163" s="102">
        <f t="shared" si="17"/>
        <v>-1.0500000000000114</v>
      </c>
      <c r="K163" s="105">
        <f t="shared" si="18"/>
        <v>-4810.7928680965106</v>
      </c>
      <c r="L163" s="105">
        <f t="shared" si="19"/>
        <v>-804.09246898086758</v>
      </c>
      <c r="M163" s="103">
        <f t="shared" si="20"/>
        <v>2.3624017262595517E-3</v>
      </c>
      <c r="N163" s="103"/>
      <c r="O163" s="105">
        <f t="shared" si="21"/>
        <v>-4824.7181108339373</v>
      </c>
      <c r="P163" s="105">
        <f t="shared" si="22"/>
        <v>-715.79858155243255</v>
      </c>
      <c r="Q163" s="103">
        <f t="shared" si="23"/>
        <v>2.3624017259617838E-3</v>
      </c>
    </row>
    <row r="164" spans="1:17" x14ac:dyDescent="0.2">
      <c r="A164" s="99">
        <v>184.9</v>
      </c>
      <c r="B164" s="97">
        <v>-4896.6196896848314</v>
      </c>
      <c r="C164" s="97">
        <v>-811.75098334491008</v>
      </c>
      <c r="E164" s="99">
        <v>183.85</v>
      </c>
      <c r="F164" s="97">
        <v>-4910.68</v>
      </c>
      <c r="G164" s="97">
        <v>-721.89</v>
      </c>
      <c r="J164" s="102">
        <f t="shared" si="17"/>
        <v>-1.0500000000000114</v>
      </c>
      <c r="K164" s="105">
        <f t="shared" si="18"/>
        <v>-4896.6268352347624</v>
      </c>
      <c r="L164" s="105">
        <f t="shared" si="19"/>
        <v>-811.75665747734865</v>
      </c>
      <c r="M164" s="103">
        <f t="shared" si="20"/>
        <v>9.1243993088317519E-3</v>
      </c>
      <c r="N164" s="103"/>
      <c r="O164" s="105">
        <f t="shared" si="21"/>
        <v>-4910.6727516718311</v>
      </c>
      <c r="P164" s="105">
        <f t="shared" si="22"/>
        <v>-721.88445776204924</v>
      </c>
      <c r="Q164" s="103">
        <f t="shared" si="23"/>
        <v>9.1243993090785944E-3</v>
      </c>
    </row>
    <row r="165" spans="1:17" x14ac:dyDescent="0.2">
      <c r="A165" s="99">
        <v>183.99</v>
      </c>
      <c r="B165" s="97">
        <v>-4983.4390877738688</v>
      </c>
      <c r="C165" s="97">
        <v>-818.49993792147279</v>
      </c>
      <c r="E165" s="99">
        <v>182.94</v>
      </c>
      <c r="F165" s="97">
        <v>-4997.6000000000004</v>
      </c>
      <c r="G165" s="97">
        <v>-727.04</v>
      </c>
      <c r="J165" s="102">
        <f t="shared" si="17"/>
        <v>-1.0500000000000114</v>
      </c>
      <c r="K165" s="105">
        <f t="shared" si="18"/>
        <v>-4983.437866609499</v>
      </c>
      <c r="L165" s="105">
        <f t="shared" si="19"/>
        <v>-818.49859574868424</v>
      </c>
      <c r="M165" s="103">
        <f t="shared" si="20"/>
        <v>1.8145716332948559E-3</v>
      </c>
      <c r="N165" s="103"/>
      <c r="O165" s="105">
        <f t="shared" si="21"/>
        <v>-4997.6012455545415</v>
      </c>
      <c r="P165" s="105">
        <f t="shared" si="22"/>
        <v>-727.04131956966353</v>
      </c>
      <c r="Q165" s="103">
        <f t="shared" si="23"/>
        <v>1.8145716331758499E-3</v>
      </c>
    </row>
    <row r="166" spans="1:17" x14ac:dyDescent="0.2">
      <c r="A166" s="99">
        <v>183.53</v>
      </c>
      <c r="B166" s="97">
        <v>-5068.5677562004057</v>
      </c>
      <c r="C166" s="97">
        <v>-824.09439935421915</v>
      </c>
      <c r="E166" s="99">
        <v>182.48</v>
      </c>
      <c r="F166" s="97">
        <v>-5082.82</v>
      </c>
      <c r="G166" s="97">
        <v>-731.08</v>
      </c>
      <c r="J166" s="102">
        <f t="shared" si="17"/>
        <v>-1.0500000000000114</v>
      </c>
      <c r="K166" s="105">
        <f t="shared" si="18"/>
        <v>-5068.5695241146959</v>
      </c>
      <c r="L166" s="105">
        <f t="shared" si="19"/>
        <v>-824.09956802302133</v>
      </c>
      <c r="M166" s="103">
        <f t="shared" si="20"/>
        <v>5.462660352265533E-3</v>
      </c>
      <c r="N166" s="103"/>
      <c r="O166" s="105">
        <f t="shared" si="21"/>
        <v>-5082.81813766707</v>
      </c>
      <c r="P166" s="105">
        <f t="shared" si="22"/>
        <v>-731.07486459600636</v>
      </c>
      <c r="Q166" s="103">
        <f t="shared" si="23"/>
        <v>5.462660351818794E-3</v>
      </c>
    </row>
    <row r="167" spans="1:17" x14ac:dyDescent="0.2">
      <c r="A167" s="99">
        <v>182.62</v>
      </c>
      <c r="B167" s="97">
        <v>-5155.5161973185795</v>
      </c>
      <c r="C167" s="97">
        <v>-828.76575476075652</v>
      </c>
      <c r="E167" s="99">
        <v>181.57</v>
      </c>
      <c r="F167" s="97">
        <v>-5169.84</v>
      </c>
      <c r="G167" s="97">
        <v>-734.15</v>
      </c>
      <c r="J167" s="102">
        <f t="shared" si="17"/>
        <v>-1.0500000000000114</v>
      </c>
      <c r="K167" s="105">
        <f t="shared" si="18"/>
        <v>-5155.5186545551715</v>
      </c>
      <c r="L167" s="105">
        <f t="shared" si="19"/>
        <v>-828.76368805205493</v>
      </c>
      <c r="M167" s="103">
        <f t="shared" si="20"/>
        <v>3.2108093256755727E-3</v>
      </c>
      <c r="N167" s="103"/>
      <c r="O167" s="105">
        <f t="shared" si="21"/>
        <v>-5169.837581048313</v>
      </c>
      <c r="P167" s="105">
        <f t="shared" si="22"/>
        <v>-734.1521113903608</v>
      </c>
      <c r="Q167" s="103">
        <f t="shared" si="23"/>
        <v>3.2108093248161959E-3</v>
      </c>
    </row>
    <row r="168" spans="1:17" x14ac:dyDescent="0.2">
      <c r="A168" s="99">
        <v>181.85</v>
      </c>
      <c r="B168" s="97">
        <v>-5241.5124802810969</v>
      </c>
      <c r="C168" s="97">
        <v>-832.12240899980088</v>
      </c>
      <c r="E168" s="99">
        <v>180.79999999999998</v>
      </c>
      <c r="F168" s="97">
        <v>-5255.88</v>
      </c>
      <c r="G168" s="97">
        <v>-735.93</v>
      </c>
      <c r="J168" s="102">
        <f t="shared" si="17"/>
        <v>-1.0500000000000114</v>
      </c>
      <c r="K168" s="105">
        <f t="shared" si="18"/>
        <v>-5241.5115887144875</v>
      </c>
      <c r="L168" s="105">
        <f t="shared" si="19"/>
        <v>-832.12006625951301</v>
      </c>
      <c r="M168" s="103">
        <f t="shared" si="20"/>
        <v>2.5066557552768766E-3</v>
      </c>
      <c r="N168" s="103"/>
      <c r="O168" s="105">
        <f t="shared" si="21"/>
        <v>-5255.8809343474568</v>
      </c>
      <c r="P168" s="105">
        <f t="shared" si="22"/>
        <v>-735.93232600900831</v>
      </c>
      <c r="Q168" s="103">
        <f t="shared" si="23"/>
        <v>2.506655755535023E-3</v>
      </c>
    </row>
    <row r="169" spans="1:17" x14ac:dyDescent="0.2">
      <c r="A169" s="99">
        <v>181.84</v>
      </c>
      <c r="B169" s="97">
        <v>-5328.3175767373532</v>
      </c>
      <c r="C169" s="97">
        <v>-834.91861892746624</v>
      </c>
      <c r="E169" s="99">
        <v>180.79</v>
      </c>
      <c r="F169" s="97">
        <v>-5342.73</v>
      </c>
      <c r="G169" s="97">
        <v>-737.14</v>
      </c>
      <c r="J169" s="102">
        <f t="shared" si="17"/>
        <v>-1.0500000000000114</v>
      </c>
      <c r="K169" s="105">
        <f t="shared" si="18"/>
        <v>-5328.324832073019</v>
      </c>
      <c r="L169" s="105">
        <f t="shared" si="19"/>
        <v>-834.92138337332426</v>
      </c>
      <c r="M169" s="103">
        <f t="shared" si="20"/>
        <v>7.7641520158877658E-3</v>
      </c>
      <c r="N169" s="103"/>
      <c r="O169" s="105">
        <f t="shared" si="21"/>
        <v>-5342.7226952243373</v>
      </c>
      <c r="P169" s="105">
        <f t="shared" si="22"/>
        <v>-737.13736897186413</v>
      </c>
      <c r="Q169" s="103">
        <f t="shared" si="23"/>
        <v>7.7641520160449465E-3</v>
      </c>
    </row>
    <row r="170" spans="1:17" x14ac:dyDescent="0.2">
      <c r="A170" s="99">
        <v>182.42</v>
      </c>
      <c r="B170" s="97">
        <v>-5415.0506112964995</v>
      </c>
      <c r="C170" s="97">
        <v>-838.14441188964133</v>
      </c>
      <c r="E170" s="99">
        <v>181.36999999999998</v>
      </c>
      <c r="F170" s="97">
        <v>-5429.5</v>
      </c>
      <c r="G170" s="97">
        <v>-738.77</v>
      </c>
      <c r="J170" s="102">
        <f t="shared" si="17"/>
        <v>-1.0500000000000114</v>
      </c>
      <c r="K170" s="105">
        <f t="shared" si="18"/>
        <v>-5415.0503923936185</v>
      </c>
      <c r="L170" s="105">
        <f t="shared" si="19"/>
        <v>-838.14116396804934</v>
      </c>
      <c r="M170" s="103">
        <f t="shared" si="20"/>
        <v>3.2552900237971198E-3</v>
      </c>
      <c r="N170" s="103"/>
      <c r="O170" s="105">
        <f t="shared" si="21"/>
        <v>-5429.5002783840646</v>
      </c>
      <c r="P170" s="105">
        <f t="shared" si="22"/>
        <v>-738.77324336483491</v>
      </c>
      <c r="Q170" s="103">
        <f t="shared" si="23"/>
        <v>3.2552900239263024E-3</v>
      </c>
    </row>
    <row r="171" spans="1:17" x14ac:dyDescent="0.2">
      <c r="A171" s="99">
        <v>183.09</v>
      </c>
      <c r="B171" s="97">
        <v>-5500.8643167449882</v>
      </c>
      <c r="C171" s="97">
        <v>-842.27397700174367</v>
      </c>
      <c r="E171" s="99">
        <v>182.04</v>
      </c>
      <c r="F171" s="97">
        <v>-5515.38</v>
      </c>
      <c r="G171" s="97">
        <v>-741.33</v>
      </c>
      <c r="J171" s="102">
        <f t="shared" si="17"/>
        <v>-1.0500000000000114</v>
      </c>
      <c r="K171" s="105">
        <f t="shared" si="18"/>
        <v>-5500.8690599729507</v>
      </c>
      <c r="L171" s="105">
        <f t="shared" si="19"/>
        <v>-842.27447921227463</v>
      </c>
      <c r="M171" s="103">
        <f t="shared" si="20"/>
        <v>4.7697407604584668E-3</v>
      </c>
      <c r="N171" s="103"/>
      <c r="O171" s="105">
        <f t="shared" si="21"/>
        <v>-5515.3752483655262</v>
      </c>
      <c r="P171" s="105">
        <f t="shared" si="22"/>
        <v>-741.32958479312515</v>
      </c>
      <c r="Q171" s="103">
        <f t="shared" si="23"/>
        <v>4.7697407605194224E-3</v>
      </c>
    </row>
    <row r="172" spans="1:17" x14ac:dyDescent="0.2">
      <c r="A172" s="99">
        <v>183.57</v>
      </c>
      <c r="B172" s="97">
        <v>-5587.6200250343727</v>
      </c>
      <c r="C172" s="97">
        <v>-847.32215704332862</v>
      </c>
      <c r="E172" s="99">
        <v>182.51999999999998</v>
      </c>
      <c r="F172" s="97">
        <v>-5602.21</v>
      </c>
      <c r="G172" s="97">
        <v>-744.79</v>
      </c>
      <c r="J172" s="102">
        <f t="shared" si="17"/>
        <v>-1.0500000000000114</v>
      </c>
      <c r="K172" s="105">
        <f t="shared" si="18"/>
        <v>-5587.6210755941556</v>
      </c>
      <c r="L172" s="105">
        <f t="shared" si="19"/>
        <v>-847.32505201723825</v>
      </c>
      <c r="M172" s="103">
        <f t="shared" si="20"/>
        <v>3.0796996273918333E-3</v>
      </c>
      <c r="N172" s="103"/>
      <c r="O172" s="105">
        <f t="shared" si="21"/>
        <v>-5602.2088965664252</v>
      </c>
      <c r="P172" s="105">
        <f t="shared" si="22"/>
        <v>-744.78712476363773</v>
      </c>
      <c r="Q172" s="103">
        <f t="shared" si="23"/>
        <v>3.0796996270313591E-3</v>
      </c>
    </row>
    <row r="173" spans="1:17" x14ac:dyDescent="0.2">
      <c r="A173" s="99">
        <v>182.6</v>
      </c>
      <c r="B173" s="97">
        <v>-5672.6907260405287</v>
      </c>
      <c r="C173" s="97">
        <v>-851.90696067705551</v>
      </c>
      <c r="E173" s="99">
        <v>181.54999999999998</v>
      </c>
      <c r="F173" s="97">
        <v>-5687.35</v>
      </c>
      <c r="G173" s="97">
        <v>-747.81</v>
      </c>
      <c r="J173" s="102">
        <f t="shared" si="17"/>
        <v>-1.0500000000000114</v>
      </c>
      <c r="K173" s="105">
        <f t="shared" si="18"/>
        <v>-5672.6914379626287</v>
      </c>
      <c r="L173" s="105">
        <f t="shared" si="19"/>
        <v>-851.90472957102975</v>
      </c>
      <c r="M173" s="103">
        <f t="shared" si="20"/>
        <v>2.3419366290801597E-3</v>
      </c>
      <c r="N173" s="103"/>
      <c r="O173" s="105">
        <f t="shared" si="21"/>
        <v>-5687.349329082308</v>
      </c>
      <c r="P173" s="105">
        <f t="shared" si="22"/>
        <v>-747.81224377731166</v>
      </c>
      <c r="Q173" s="103">
        <f t="shared" si="23"/>
        <v>2.3419366290464341E-3</v>
      </c>
    </row>
    <row r="174" spans="1:17" x14ac:dyDescent="0.2">
      <c r="A174" s="99">
        <v>181.39</v>
      </c>
      <c r="B174" s="97">
        <v>-5758.7101373291807</v>
      </c>
      <c r="C174" s="97">
        <v>-854.90366175088138</v>
      </c>
      <c r="E174" s="99">
        <v>180.33999999999997</v>
      </c>
      <c r="F174" s="97">
        <v>-5773.41</v>
      </c>
      <c r="G174" s="97">
        <v>-749.23</v>
      </c>
      <c r="J174" s="102">
        <f t="shared" si="17"/>
        <v>-1.0500000000000114</v>
      </c>
      <c r="K174" s="105">
        <f t="shared" si="18"/>
        <v>-5758.7109657389346</v>
      </c>
      <c r="L174" s="105">
        <f t="shared" si="19"/>
        <v>-854.90153472675104</v>
      </c>
      <c r="M174" s="103">
        <f t="shared" si="20"/>
        <v>2.2826507335693413E-3</v>
      </c>
      <c r="N174" s="103"/>
      <c r="O174" s="105">
        <f t="shared" si="21"/>
        <v>-5773.4092107069218</v>
      </c>
      <c r="P174" s="105">
        <f t="shared" si="22"/>
        <v>-749.23214184752158</v>
      </c>
      <c r="Q174" s="103">
        <f t="shared" si="23"/>
        <v>2.2826507329420532E-3</v>
      </c>
    </row>
    <row r="175" spans="1:17" x14ac:dyDescent="0.2">
      <c r="A175" s="99">
        <v>181.02</v>
      </c>
      <c r="B175" s="97">
        <v>-5843.8352617838873</v>
      </c>
      <c r="C175" s="97">
        <v>-856.6942107584772</v>
      </c>
      <c r="E175" s="99">
        <v>179.97</v>
      </c>
      <c r="F175" s="97">
        <v>-5858.56</v>
      </c>
      <c r="G175" s="97">
        <v>-749.46</v>
      </c>
      <c r="J175" s="102">
        <f t="shared" si="17"/>
        <v>-1.0500000000000114</v>
      </c>
      <c r="K175" s="105">
        <f t="shared" si="18"/>
        <v>-5843.8424529868453</v>
      </c>
      <c r="L175" s="105">
        <f t="shared" si="19"/>
        <v>-856.69186401452907</v>
      </c>
      <c r="M175" s="103">
        <f t="shared" si="20"/>
        <v>7.5644303910450301E-3</v>
      </c>
      <c r="N175" s="103"/>
      <c r="O175" s="105">
        <f t="shared" si="21"/>
        <v>-5858.5528530084794</v>
      </c>
      <c r="P175" s="105">
        <f t="shared" si="22"/>
        <v>-749.46247812819411</v>
      </c>
      <c r="Q175" s="103">
        <f t="shared" si="23"/>
        <v>7.5644303915142902E-3</v>
      </c>
    </row>
    <row r="176" spans="1:17" x14ac:dyDescent="0.2">
      <c r="A176" s="99">
        <v>180.72</v>
      </c>
      <c r="B176" s="97">
        <v>-5929.8395903518749</v>
      </c>
      <c r="C176" s="97">
        <v>-858.00030039464264</v>
      </c>
      <c r="E176" s="99">
        <v>179.67</v>
      </c>
      <c r="F176" s="97">
        <v>-5944.57</v>
      </c>
      <c r="G176" s="97">
        <v>-749.19</v>
      </c>
      <c r="J176" s="102">
        <f t="shared" si="17"/>
        <v>-1.0500000000000114</v>
      </c>
      <c r="K176" s="105">
        <f t="shared" si="18"/>
        <v>-5929.8429582929939</v>
      </c>
      <c r="L176" s="105">
        <f t="shared" si="19"/>
        <v>-857.9980367011342</v>
      </c>
      <c r="M176" s="103">
        <f t="shared" si="20"/>
        <v>4.0579965107387407E-3</v>
      </c>
      <c r="N176" s="103"/>
      <c r="O176" s="105">
        <f t="shared" si="21"/>
        <v>-5944.5666741064406</v>
      </c>
      <c r="P176" s="105">
        <f t="shared" si="22"/>
        <v>-749.19232503068883</v>
      </c>
      <c r="Q176" s="103">
        <f t="shared" si="23"/>
        <v>4.0579965094095158E-3</v>
      </c>
    </row>
    <row r="177" spans="1:17" x14ac:dyDescent="0.2">
      <c r="A177" s="99">
        <v>177.91</v>
      </c>
      <c r="B177" s="97">
        <v>-6015.5658295233097</v>
      </c>
      <c r="C177" s="97">
        <v>-856.98135692255971</v>
      </c>
      <c r="E177" s="99">
        <v>176.85999999999999</v>
      </c>
      <c r="F177" s="97">
        <v>-6030.26</v>
      </c>
      <c r="G177" s="97">
        <v>-746.6</v>
      </c>
      <c r="J177" s="102">
        <f t="shared" si="17"/>
        <v>-1.0500000000000114</v>
      </c>
      <c r="K177" s="105">
        <f t="shared" si="18"/>
        <v>-6015.5660311729889</v>
      </c>
      <c r="L177" s="105">
        <f t="shared" si="19"/>
        <v>-856.97873497400792</v>
      </c>
      <c r="M177" s="103">
        <f t="shared" si="20"/>
        <v>2.6296913889952128E-3</v>
      </c>
      <c r="N177" s="103"/>
      <c r="O177" s="105">
        <f t="shared" si="21"/>
        <v>-6030.2598464312086</v>
      </c>
      <c r="P177" s="105">
        <f t="shared" si="22"/>
        <v>-746.60262520350216</v>
      </c>
      <c r="Q177" s="103">
        <f t="shared" si="23"/>
        <v>2.6296913889968577E-3</v>
      </c>
    </row>
    <row r="178" spans="1:17" x14ac:dyDescent="0.2">
      <c r="A178" s="99">
        <v>175.21</v>
      </c>
      <c r="B178" s="97">
        <v>-6100.5809479190202</v>
      </c>
      <c r="C178" s="97">
        <v>-851.87853481067043</v>
      </c>
      <c r="E178" s="99">
        <v>174.16</v>
      </c>
      <c r="F178" s="97">
        <v>-6115.17</v>
      </c>
      <c r="G178" s="97">
        <v>-739.94</v>
      </c>
      <c r="J178" s="102">
        <f t="shared" si="17"/>
        <v>-1.0500000000000114</v>
      </c>
      <c r="K178" s="105">
        <f t="shared" si="18"/>
        <v>-6100.5838174979763</v>
      </c>
      <c r="L178" s="105">
        <f t="shared" si="19"/>
        <v>-851.87582321710113</v>
      </c>
      <c r="M178" s="103">
        <f t="shared" si="20"/>
        <v>3.9480657378130144E-3</v>
      </c>
      <c r="N178" s="103"/>
      <c r="O178" s="105">
        <f t="shared" si="21"/>
        <v>-6115.1671805926571</v>
      </c>
      <c r="P178" s="105">
        <f t="shared" si="22"/>
        <v>-739.94276372308786</v>
      </c>
      <c r="Q178" s="103">
        <f t="shared" si="23"/>
        <v>3.9480657379937101E-3</v>
      </c>
    </row>
    <row r="179" spans="1:17" x14ac:dyDescent="0.2">
      <c r="A179" s="99">
        <v>173.39</v>
      </c>
      <c r="B179" s="97">
        <v>-6183.8739836325585</v>
      </c>
      <c r="C179" s="97">
        <v>-843.56897629221658</v>
      </c>
      <c r="E179" s="99">
        <v>172.33999999999997</v>
      </c>
      <c r="F179" s="97">
        <v>-6198.3</v>
      </c>
      <c r="G179" s="97">
        <v>-730.11</v>
      </c>
      <c r="J179" s="102">
        <f t="shared" si="17"/>
        <v>-1.0500000000000114</v>
      </c>
      <c r="K179" s="105">
        <f t="shared" si="18"/>
        <v>-6183.879992745352</v>
      </c>
      <c r="L179" s="105">
        <f t="shared" si="19"/>
        <v>-843.57082537492988</v>
      </c>
      <c r="M179" s="103">
        <f t="shared" si="20"/>
        <v>6.2871729294556884E-3</v>
      </c>
      <c r="N179" s="103"/>
      <c r="O179" s="105">
        <f t="shared" si="21"/>
        <v>-6198.2939580119164</v>
      </c>
      <c r="P179" s="105">
        <f t="shared" si="22"/>
        <v>-730.10826134435638</v>
      </c>
      <c r="Q179" s="103">
        <f t="shared" si="23"/>
        <v>6.2871729299965682E-3</v>
      </c>
    </row>
    <row r="180" spans="1:17" x14ac:dyDescent="0.2">
      <c r="A180" s="99">
        <v>171.99</v>
      </c>
      <c r="B180" s="97">
        <v>-6267.232364379086</v>
      </c>
      <c r="C180" s="97">
        <v>-832.879224543433</v>
      </c>
      <c r="E180" s="99">
        <v>170.94</v>
      </c>
      <c r="F180" s="97">
        <v>-6281.44</v>
      </c>
      <c r="G180" s="97">
        <v>-717.89</v>
      </c>
      <c r="J180" s="102">
        <f t="shared" si="17"/>
        <v>-1.0500000000000114</v>
      </c>
      <c r="K180" s="105">
        <f t="shared" si="18"/>
        <v>-6267.2299628996088</v>
      </c>
      <c r="L180" s="105">
        <f t="shared" si="19"/>
        <v>-832.87641210048355</v>
      </c>
      <c r="M180" s="103">
        <f t="shared" si="20"/>
        <v>3.6982345819471076E-3</v>
      </c>
      <c r="N180" s="103"/>
      <c r="O180" s="105">
        <f t="shared" si="21"/>
        <v>-6281.4424526140556</v>
      </c>
      <c r="P180" s="105">
        <f t="shared" si="22"/>
        <v>-717.89276796374963</v>
      </c>
      <c r="Q180" s="103">
        <f t="shared" si="23"/>
        <v>3.6982345824687593E-3</v>
      </c>
    </row>
    <row r="181" spans="1:17" x14ac:dyDescent="0.2">
      <c r="A181" s="99">
        <v>170.14</v>
      </c>
      <c r="B181" s="97">
        <v>-6349.734895705943</v>
      </c>
      <c r="C181" s="97">
        <v>-819.9119493692516</v>
      </c>
      <c r="E181" s="99">
        <v>169.08999999999997</v>
      </c>
      <c r="F181" s="97">
        <v>-6363.7</v>
      </c>
      <c r="G181" s="97">
        <v>-703.42</v>
      </c>
      <c r="J181" s="102">
        <f t="shared" si="17"/>
        <v>-1.0500000000000114</v>
      </c>
      <c r="K181" s="105">
        <f t="shared" si="18"/>
        <v>-6349.7413119152798</v>
      </c>
      <c r="L181" s="105">
        <f t="shared" si="19"/>
        <v>-819.91625069662837</v>
      </c>
      <c r="M181" s="103">
        <f t="shared" si="20"/>
        <v>7.7245815067932804E-3</v>
      </c>
      <c r="N181" s="103"/>
      <c r="O181" s="105">
        <f t="shared" si="21"/>
        <v>-6363.6935060465157</v>
      </c>
      <c r="P181" s="105">
        <f t="shared" si="22"/>
        <v>-703.41581697147944</v>
      </c>
      <c r="Q181" s="103">
        <f t="shared" si="23"/>
        <v>7.7245815069196568E-3</v>
      </c>
    </row>
    <row r="182" spans="1:17" x14ac:dyDescent="0.2">
      <c r="A182" s="99">
        <v>167.73</v>
      </c>
      <c r="B182" s="97">
        <v>-6432.2476557205046</v>
      </c>
      <c r="C182" s="97">
        <v>-803.77728412486249</v>
      </c>
      <c r="E182" s="99">
        <v>166.67999999999998</v>
      </c>
      <c r="F182" s="97">
        <v>-6445.9</v>
      </c>
      <c r="G182" s="97">
        <v>-685.77</v>
      </c>
      <c r="J182" s="102">
        <f t="shared" si="17"/>
        <v>-1.0500000000000114</v>
      </c>
      <c r="K182" s="105">
        <f t="shared" si="18"/>
        <v>-6432.2509442877308</v>
      </c>
      <c r="L182" s="105">
        <f t="shared" si="19"/>
        <v>-803.77552376866652</v>
      </c>
      <c r="M182" s="103">
        <f t="shared" si="20"/>
        <v>3.7300842267108032E-3</v>
      </c>
      <c r="N182" s="103"/>
      <c r="O182" s="105">
        <f t="shared" si="21"/>
        <v>-6445.8967442433823</v>
      </c>
      <c r="P182" s="105">
        <f t="shared" si="22"/>
        <v>-685.7718203233735</v>
      </c>
      <c r="Q182" s="103">
        <f t="shared" si="23"/>
        <v>3.7300842263544381E-3</v>
      </c>
    </row>
    <row r="183" spans="1:17" x14ac:dyDescent="0.2">
      <c r="A183" s="99">
        <v>164.93</v>
      </c>
      <c r="B183" s="97">
        <v>-6512.9623252256761</v>
      </c>
      <c r="C183" s="97">
        <v>-784.14783662323043</v>
      </c>
      <c r="E183" s="99">
        <v>163.88</v>
      </c>
      <c r="F183" s="97">
        <v>-6526.24</v>
      </c>
      <c r="G183" s="97">
        <v>-664.67</v>
      </c>
      <c r="J183" s="102">
        <f t="shared" si="17"/>
        <v>-1.0500000000000114</v>
      </c>
      <c r="K183" s="105">
        <f t="shared" si="18"/>
        <v>-6512.9641099966129</v>
      </c>
      <c r="L183" s="105">
        <f t="shared" si="19"/>
        <v>-784.15129177731126</v>
      </c>
      <c r="M183" s="103">
        <f t="shared" si="20"/>
        <v>3.888894061210956E-3</v>
      </c>
      <c r="N183" s="103"/>
      <c r="O183" s="105">
        <f t="shared" si="21"/>
        <v>-6526.2381522132928</v>
      </c>
      <c r="P183" s="105">
        <f t="shared" si="22"/>
        <v>-664.66657813189863</v>
      </c>
      <c r="Q183" s="103">
        <f t="shared" si="23"/>
        <v>3.8888940609713564E-3</v>
      </c>
    </row>
    <row r="184" spans="1:17" x14ac:dyDescent="0.2">
      <c r="A184" s="99">
        <v>161.79</v>
      </c>
      <c r="B184" s="97">
        <v>-6591.4602533276129</v>
      </c>
      <c r="C184" s="97">
        <v>-760.69254180537928</v>
      </c>
      <c r="E184" s="99">
        <v>160.73999999999998</v>
      </c>
      <c r="F184" s="97">
        <v>-6604.3</v>
      </c>
      <c r="G184" s="97">
        <v>-639.78</v>
      </c>
      <c r="J184" s="102">
        <f t="shared" si="17"/>
        <v>-1.0500000000000114</v>
      </c>
      <c r="K184" s="105">
        <f t="shared" si="18"/>
        <v>-6591.467110043176</v>
      </c>
      <c r="L184" s="105">
        <f t="shared" si="19"/>
        <v>-760.69591534269841</v>
      </c>
      <c r="M184" s="103">
        <f t="shared" si="20"/>
        <v>7.6416819063010342E-3</v>
      </c>
      <c r="N184" s="103"/>
      <c r="O184" s="105">
        <f t="shared" si="21"/>
        <v>-6604.2930826159472</v>
      </c>
      <c r="P184" s="105">
        <f t="shared" si="22"/>
        <v>-639.77675267799293</v>
      </c>
      <c r="Q184" s="103">
        <f t="shared" si="23"/>
        <v>7.6416819060522905E-3</v>
      </c>
    </row>
    <row r="185" spans="1:17" x14ac:dyDescent="0.2">
      <c r="A185" s="99">
        <v>158.69</v>
      </c>
      <c r="B185" s="97">
        <v>-6667.1945760721001</v>
      </c>
      <c r="C185" s="97">
        <v>-733.4977917685552</v>
      </c>
      <c r="E185" s="99">
        <v>157.63999999999999</v>
      </c>
      <c r="F185" s="97">
        <v>-6679.52</v>
      </c>
      <c r="G185" s="97">
        <v>-611.20000000000005</v>
      </c>
      <c r="J185" s="102">
        <f t="shared" si="17"/>
        <v>-1.0500000000000114</v>
      </c>
      <c r="K185" s="105">
        <f t="shared" si="18"/>
        <v>-6667.1982059670454</v>
      </c>
      <c r="L185" s="105">
        <f t="shared" si="19"/>
        <v>-733.49911571168093</v>
      </c>
      <c r="M185" s="103">
        <f t="shared" si="20"/>
        <v>3.8638015883736107E-3</v>
      </c>
      <c r="N185" s="103"/>
      <c r="O185" s="105">
        <f t="shared" si="21"/>
        <v>-6679.5163464534053</v>
      </c>
      <c r="P185" s="105">
        <f t="shared" si="22"/>
        <v>-611.19874279676105</v>
      </c>
      <c r="Q185" s="103">
        <f t="shared" si="23"/>
        <v>3.8638015874446485E-3</v>
      </c>
    </row>
    <row r="186" spans="1:17" x14ac:dyDescent="0.2">
      <c r="A186" s="99">
        <v>156</v>
      </c>
      <c r="B186" s="97">
        <v>-6742.4068105728775</v>
      </c>
      <c r="C186" s="97">
        <v>-702.11219812318177</v>
      </c>
      <c r="E186" s="99">
        <v>154.94999999999999</v>
      </c>
      <c r="F186" s="97">
        <v>-6754.14</v>
      </c>
      <c r="G186" s="97">
        <v>-578.44000000000005</v>
      </c>
      <c r="J186" s="102">
        <f t="shared" si="17"/>
        <v>-1.0500000000000114</v>
      </c>
      <c r="K186" s="105">
        <f t="shared" si="18"/>
        <v>-6742.4060008535425</v>
      </c>
      <c r="L186" s="105">
        <f t="shared" si="19"/>
        <v>-702.11202300925595</v>
      </c>
      <c r="M186" s="103">
        <f t="shared" si="20"/>
        <v>8.2843846385206627E-4</v>
      </c>
      <c r="N186" s="103"/>
      <c r="O186" s="105">
        <f t="shared" si="21"/>
        <v>-6754.1408127923223</v>
      </c>
      <c r="P186" s="105">
        <f t="shared" si="22"/>
        <v>-578.44016024647033</v>
      </c>
      <c r="Q186" s="103">
        <f t="shared" si="23"/>
        <v>8.2843846478063176E-4</v>
      </c>
    </row>
    <row r="187" spans="1:17" x14ac:dyDescent="0.2">
      <c r="A187" s="99">
        <v>153.36000000000001</v>
      </c>
      <c r="B187" s="97">
        <v>-6815.8711017661062</v>
      </c>
      <c r="C187" s="97">
        <v>-667.35315805966502</v>
      </c>
      <c r="E187" s="99">
        <v>152.31</v>
      </c>
      <c r="F187" s="97">
        <v>-6826.96</v>
      </c>
      <c r="G187" s="97">
        <v>-542.34</v>
      </c>
      <c r="J187" s="102">
        <f t="shared" si="17"/>
        <v>-1.0500000000000114</v>
      </c>
      <c r="K187" s="105">
        <f t="shared" si="18"/>
        <v>-6815.8753032590776</v>
      </c>
      <c r="L187" s="105">
        <f t="shared" si="19"/>
        <v>-667.35250626859954</v>
      </c>
      <c r="M187" s="103">
        <f t="shared" si="20"/>
        <v>4.2517496141236963E-3</v>
      </c>
      <c r="N187" s="103"/>
      <c r="O187" s="105">
        <f t="shared" si="21"/>
        <v>-6826.955811156552</v>
      </c>
      <c r="P187" s="105">
        <f t="shared" si="22"/>
        <v>-542.34072867369002</v>
      </c>
      <c r="Q187" s="103">
        <f t="shared" si="23"/>
        <v>4.2517496137786936E-3</v>
      </c>
    </row>
    <row r="188" spans="1:17" x14ac:dyDescent="0.2">
      <c r="A188" s="99">
        <v>151.01</v>
      </c>
      <c r="B188" s="97">
        <v>-6888.6302695142167</v>
      </c>
      <c r="C188" s="97">
        <v>-628.96507064610421</v>
      </c>
      <c r="E188" s="99">
        <v>149.95999999999998</v>
      </c>
      <c r="F188" s="97">
        <v>-6899</v>
      </c>
      <c r="G188" s="97">
        <v>-502.63</v>
      </c>
      <c r="J188" s="102">
        <f t="shared" si="17"/>
        <v>-1.0500000000000114</v>
      </c>
      <c r="K188" s="105">
        <f t="shared" si="18"/>
        <v>-6888.6308896411629</v>
      </c>
      <c r="L188" s="105">
        <f t="shared" si="19"/>
        <v>-628.96930225696212</v>
      </c>
      <c r="M188" s="103">
        <f t="shared" si="20"/>
        <v>4.2768081418473949E-3</v>
      </c>
      <c r="N188" s="103"/>
      <c r="O188" s="105">
        <f t="shared" si="21"/>
        <v>-6898.9993024332052</v>
      </c>
      <c r="P188" s="105">
        <f t="shared" si="22"/>
        <v>-502.6257804634796</v>
      </c>
      <c r="Q188" s="103">
        <f t="shared" si="23"/>
        <v>4.2768081416068244E-3</v>
      </c>
    </row>
    <row r="189" spans="1:17" x14ac:dyDescent="0.2">
      <c r="A189" s="99">
        <v>148.28</v>
      </c>
      <c r="B189" s="97">
        <v>-6958.9785737771144</v>
      </c>
      <c r="C189" s="97">
        <v>-587.76571279567929</v>
      </c>
      <c r="E189" s="99">
        <v>147.22999999999999</v>
      </c>
      <c r="F189" s="97">
        <v>-6968.58</v>
      </c>
      <c r="G189" s="97">
        <v>-460.15</v>
      </c>
      <c r="J189" s="102">
        <f t="shared" si="17"/>
        <v>-1.0500000000000114</v>
      </c>
      <c r="K189" s="105">
        <f t="shared" si="18"/>
        <v>-6958.9776491557213</v>
      </c>
      <c r="L189" s="105">
        <f t="shared" si="19"/>
        <v>-587.77148404044954</v>
      </c>
      <c r="M189" s="103">
        <f t="shared" si="20"/>
        <v>5.8448431047072105E-3</v>
      </c>
      <c r="N189" s="103"/>
      <c r="O189" s="105">
        <f t="shared" si="21"/>
        <v>-6968.5808187084704</v>
      </c>
      <c r="P189" s="105">
        <f t="shared" si="22"/>
        <v>-460.14421278068852</v>
      </c>
      <c r="Q189" s="103">
        <f t="shared" si="23"/>
        <v>5.8448431046921514E-3</v>
      </c>
    </row>
    <row r="190" spans="1:17" x14ac:dyDescent="0.2">
      <c r="A190" s="99">
        <v>144.81</v>
      </c>
      <c r="B190" s="97">
        <v>-7026.852351845977</v>
      </c>
      <c r="C190" s="97">
        <v>-542.92443836482335</v>
      </c>
      <c r="E190" s="99">
        <v>143.76</v>
      </c>
      <c r="F190" s="97">
        <v>-7035.62</v>
      </c>
      <c r="G190" s="97">
        <v>-414.07</v>
      </c>
      <c r="J190" s="102">
        <f t="shared" si="17"/>
        <v>-1.0500000000000114</v>
      </c>
      <c r="K190" s="105">
        <f t="shared" si="18"/>
        <v>-7026.8508049290658</v>
      </c>
      <c r="L190" s="105">
        <f t="shared" si="19"/>
        <v>-542.92772499454236</v>
      </c>
      <c r="M190" s="103">
        <f t="shared" si="20"/>
        <v>3.632476681256418E-3</v>
      </c>
      <c r="N190" s="103"/>
      <c r="O190" s="105">
        <f t="shared" si="21"/>
        <v>-7035.6214864298963</v>
      </c>
      <c r="P190" s="105">
        <f t="shared" si="22"/>
        <v>-414.06668557501132</v>
      </c>
      <c r="Q190" s="103">
        <f t="shared" si="23"/>
        <v>3.6324766816245003E-3</v>
      </c>
    </row>
    <row r="191" spans="1:17" x14ac:dyDescent="0.2">
      <c r="A191" s="99">
        <v>141.53</v>
      </c>
      <c r="B191" s="97">
        <v>-7091.5880208826875</v>
      </c>
      <c r="C191" s="97">
        <v>-494.45357273267581</v>
      </c>
      <c r="E191" s="99">
        <v>140.47999999999999</v>
      </c>
      <c r="F191" s="97">
        <v>-7099.46</v>
      </c>
      <c r="G191" s="97">
        <v>-364.42</v>
      </c>
      <c r="J191" s="102">
        <f t="shared" si="17"/>
        <v>-1.0500000000000114</v>
      </c>
      <c r="K191" s="105">
        <f t="shared" si="18"/>
        <v>-7091.5899180375836</v>
      </c>
      <c r="L191" s="105">
        <f t="shared" si="19"/>
        <v>-494.4559256270494</v>
      </c>
      <c r="M191" s="103">
        <f t="shared" si="20"/>
        <v>3.0224673088738805E-3</v>
      </c>
      <c r="N191" s="103"/>
      <c r="O191" s="105">
        <f t="shared" si="21"/>
        <v>-7099.4580600470381</v>
      </c>
      <c r="P191" s="105">
        <f t="shared" si="22"/>
        <v>-364.41768226594752</v>
      </c>
      <c r="Q191" s="103">
        <f t="shared" si="23"/>
        <v>3.0224673087847322E-3</v>
      </c>
    </row>
    <row r="192" spans="1:17" x14ac:dyDescent="0.2">
      <c r="A192" s="99">
        <v>138.85</v>
      </c>
      <c r="B192" s="97">
        <v>-7153.4585093352125</v>
      </c>
      <c r="C192" s="97">
        <v>-442.88797688009362</v>
      </c>
      <c r="E192" s="99">
        <v>137.79999999999998</v>
      </c>
      <c r="F192" s="97">
        <v>-7160.38</v>
      </c>
      <c r="G192" s="97">
        <v>-311.73</v>
      </c>
      <c r="J192" s="102">
        <f t="shared" si="17"/>
        <v>-1.0500000000000114</v>
      </c>
      <c r="K192" s="105">
        <f t="shared" si="18"/>
        <v>-7153.4652292512537</v>
      </c>
      <c r="L192" s="105">
        <f t="shared" si="19"/>
        <v>-442.89112792346555</v>
      </c>
      <c r="M192" s="103">
        <f t="shared" si="20"/>
        <v>7.4220176456827229E-3</v>
      </c>
      <c r="N192" s="103"/>
      <c r="O192" s="105">
        <f t="shared" si="21"/>
        <v>-7160.3732234696854</v>
      </c>
      <c r="P192" s="105">
        <f t="shared" si="22"/>
        <v>-311.72697262773806</v>
      </c>
      <c r="Q192" s="103">
        <f t="shared" si="23"/>
        <v>7.4220176447263898E-3</v>
      </c>
    </row>
    <row r="193" spans="1:17" x14ac:dyDescent="0.2">
      <c r="A193" s="99">
        <v>135.91</v>
      </c>
      <c r="B193" s="97">
        <v>-7212.730081379882</v>
      </c>
      <c r="C193" s="97">
        <v>-388.34502857791921</v>
      </c>
      <c r="E193" s="99">
        <v>134.85999999999999</v>
      </c>
      <c r="F193" s="97">
        <v>-7218.64</v>
      </c>
      <c r="G193" s="97">
        <v>-256.11</v>
      </c>
      <c r="J193" s="102">
        <f t="shared" si="17"/>
        <v>-1.0500000000000114</v>
      </c>
      <c r="K193" s="105">
        <f t="shared" si="18"/>
        <v>-7212.7346791695509</v>
      </c>
      <c r="L193" s="105">
        <f t="shared" si="19"/>
        <v>-388.34807789523177</v>
      </c>
      <c r="M193" s="103">
        <f t="shared" si="20"/>
        <v>5.5170649726024442E-3</v>
      </c>
      <c r="N193" s="103"/>
      <c r="O193" s="105">
        <f t="shared" si="21"/>
        <v>-7218.6353471038419</v>
      </c>
      <c r="P193" s="105">
        <f t="shared" si="22"/>
        <v>-256.10703544889583</v>
      </c>
      <c r="Q193" s="103">
        <f t="shared" si="23"/>
        <v>5.5170649724485881E-3</v>
      </c>
    </row>
    <row r="194" spans="1:17" x14ac:dyDescent="0.2">
      <c r="A194" s="99">
        <v>132.83000000000001</v>
      </c>
      <c r="B194" s="97">
        <v>-7269.0039555714648</v>
      </c>
      <c r="C194" s="97">
        <v>-330.82473237649987</v>
      </c>
      <c r="E194" s="99">
        <v>131.78</v>
      </c>
      <c r="F194" s="97">
        <v>-7273.85</v>
      </c>
      <c r="G194" s="97">
        <v>-197.57</v>
      </c>
      <c r="J194" s="102">
        <f t="shared" si="17"/>
        <v>-1.0500000000000114</v>
      </c>
      <c r="K194" s="105">
        <f t="shared" si="18"/>
        <v>-7269.0081500302676</v>
      </c>
      <c r="L194" s="105">
        <f t="shared" si="19"/>
        <v>-330.82962713994709</v>
      </c>
      <c r="M194" s="103">
        <f t="shared" si="20"/>
        <v>6.4460991191106869E-3</v>
      </c>
      <c r="N194" s="103"/>
      <c r="O194" s="105">
        <f t="shared" si="21"/>
        <v>-7273.8457165493091</v>
      </c>
      <c r="P194" s="105">
        <f t="shared" si="22"/>
        <v>-197.56518292162997</v>
      </c>
      <c r="Q194" s="103">
        <f t="shared" si="23"/>
        <v>6.4460991186187392E-3</v>
      </c>
    </row>
    <row r="195" spans="1:17" x14ac:dyDescent="0.2">
      <c r="A195" s="99">
        <v>130.13999999999999</v>
      </c>
      <c r="B195" s="97">
        <v>-7322.1553720279207</v>
      </c>
      <c r="C195" s="97">
        <v>-270.72019397685199</v>
      </c>
      <c r="E195" s="99">
        <v>129.08999999999997</v>
      </c>
      <c r="F195" s="97">
        <v>-7325.89</v>
      </c>
      <c r="G195" s="97">
        <v>-136.5</v>
      </c>
      <c r="J195" s="102">
        <f t="shared" si="17"/>
        <v>-1.0500000000000114</v>
      </c>
      <c r="K195" s="105">
        <f t="shared" si="18"/>
        <v>-7322.1585152600364</v>
      </c>
      <c r="L195" s="105">
        <f t="shared" si="19"/>
        <v>-270.72351117873939</v>
      </c>
      <c r="M195" s="103">
        <f t="shared" si="20"/>
        <v>4.5698727000720377E-3</v>
      </c>
      <c r="N195" s="103"/>
      <c r="O195" s="105">
        <f t="shared" si="21"/>
        <v>-7325.8867965081863</v>
      </c>
      <c r="P195" s="105">
        <f t="shared" si="22"/>
        <v>-136.49674095463561</v>
      </c>
      <c r="Q195" s="103">
        <f t="shared" si="23"/>
        <v>4.5698726994992797E-3</v>
      </c>
    </row>
    <row r="196" spans="1:17" x14ac:dyDescent="0.2">
      <c r="A196" s="99">
        <v>127.72</v>
      </c>
      <c r="B196" s="97">
        <v>-7372.4026118877127</v>
      </c>
      <c r="C196" s="97">
        <v>-208.52038956155843</v>
      </c>
      <c r="E196" s="99">
        <v>126.67</v>
      </c>
      <c r="F196" s="97">
        <v>-7374.99</v>
      </c>
      <c r="G196" s="97">
        <v>-73.39</v>
      </c>
      <c r="J196" s="102">
        <f t="shared" ref="J196:J227" si="24">E196-A196</f>
        <v>-1.0499999999999972</v>
      </c>
      <c r="K196" s="105">
        <f t="shared" ref="K196:K227" si="25">SIN(RADIANS(J196))*G196 + COS(RADIANS(J196))*F196</f>
        <v>-7372.406757021874</v>
      </c>
      <c r="L196" s="105">
        <f t="shared" ref="L196:L227" si="26">COS(RADIANS(J196))*G196 + -SIN(RADIANS(J196))*F196</f>
        <v>-208.5238624671577</v>
      </c>
      <c r="M196" s="103">
        <f t="shared" ref="M196:M227" si="27">SQRT(SUMSQ(K196-B196,L196-C196))</f>
        <v>5.4076991887759942E-3</v>
      </c>
      <c r="N196" s="103"/>
      <c r="O196" s="105">
        <f t="shared" ref="O196:O227" si="28">SIN(RADIANS(-J196))*C196 + COS(RADIANS(-J196))*B196</f>
        <v>-7374.9857919211154</v>
      </c>
      <c r="P196" s="105">
        <f t="shared" ref="P196:P227" si="29">COS(RADIANS(-J196))*C196  + -SIN(RADIANS(-J196))*B196</f>
        <v>-73.386603636855085</v>
      </c>
      <c r="Q196" s="103">
        <f t="shared" ref="Q196:Q227" si="30">SQRT(SUMSQ(O196-F196,P196-G196))</f>
        <v>5.4076991881483261E-3</v>
      </c>
    </row>
    <row r="197" spans="1:17" x14ac:dyDescent="0.2">
      <c r="A197" s="99">
        <v>125.18</v>
      </c>
      <c r="B197" s="97">
        <v>-7419.7871666055189</v>
      </c>
      <c r="C197" s="97">
        <v>-144.36822086695554</v>
      </c>
      <c r="E197" s="99">
        <v>124.13000000000001</v>
      </c>
      <c r="F197" s="97">
        <v>-7421.19</v>
      </c>
      <c r="G197" s="97">
        <v>-8.3800000000000008</v>
      </c>
      <c r="J197" s="102">
        <f t="shared" si="24"/>
        <v>-1.0499999999999972</v>
      </c>
      <c r="K197" s="105">
        <f t="shared" si="25"/>
        <v>-7419.7903031087571</v>
      </c>
      <c r="L197" s="105">
        <f t="shared" si="26"/>
        <v>-144.37139049427014</v>
      </c>
      <c r="M197" s="103">
        <f t="shared" si="27"/>
        <v>4.4591691913372341E-3</v>
      </c>
      <c r="N197" s="103"/>
      <c r="O197" s="105">
        <f t="shared" si="28"/>
        <v>-7421.1868059402268</v>
      </c>
      <c r="P197" s="105">
        <f t="shared" si="29"/>
        <v>-8.3768883811221144</v>
      </c>
      <c r="Q197" s="103">
        <f t="shared" si="30"/>
        <v>4.4591691909376925E-3</v>
      </c>
    </row>
    <row r="198" spans="1:17" x14ac:dyDescent="0.2">
      <c r="A198" s="99">
        <v>122.24</v>
      </c>
      <c r="B198" s="97">
        <v>-7464.4227044846984</v>
      </c>
      <c r="C198" s="97">
        <v>-77.471040834711275</v>
      </c>
      <c r="E198" s="99">
        <v>121.19</v>
      </c>
      <c r="F198" s="97">
        <v>-7464.59</v>
      </c>
      <c r="G198" s="97">
        <v>59.33</v>
      </c>
      <c r="J198" s="102">
        <f t="shared" si="24"/>
        <v>-1.0499999999999972</v>
      </c>
      <c r="K198" s="105">
        <f t="shared" si="25"/>
        <v>-7464.4237966742403</v>
      </c>
      <c r="L198" s="105">
        <f t="shared" si="26"/>
        <v>-77.468062085737103</v>
      </c>
      <c r="M198" s="103">
        <f t="shared" si="27"/>
        <v>3.1726681904131393E-3</v>
      </c>
      <c r="N198" s="103"/>
      <c r="O198" s="105">
        <f t="shared" si="28"/>
        <v>-7464.5889625792242</v>
      </c>
      <c r="P198" s="105">
        <f t="shared" si="29"/>
        <v>59.327001736905984</v>
      </c>
      <c r="Q198" s="103">
        <f t="shared" si="30"/>
        <v>3.172668190529554E-3</v>
      </c>
    </row>
    <row r="199" spans="1:17" x14ac:dyDescent="0.2">
      <c r="A199" s="99">
        <v>119.34</v>
      </c>
      <c r="B199" s="97">
        <v>-7505.4568993858447</v>
      </c>
      <c r="C199" s="97">
        <v>-8.6152828474144627</v>
      </c>
      <c r="E199" s="99">
        <v>118.29</v>
      </c>
      <c r="F199" s="97">
        <v>-7504.36</v>
      </c>
      <c r="G199" s="97">
        <v>128.91999999999999</v>
      </c>
      <c r="J199" s="102">
        <f t="shared" si="24"/>
        <v>-1.0499999999999972</v>
      </c>
      <c r="K199" s="105">
        <f t="shared" si="25"/>
        <v>-7505.4623506445687</v>
      </c>
      <c r="L199" s="105">
        <f t="shared" si="26"/>
        <v>-8.6185298576641571</v>
      </c>
      <c r="M199" s="103">
        <f t="shared" si="27"/>
        <v>6.3450214528461332E-3</v>
      </c>
      <c r="N199" s="103"/>
      <c r="O199" s="105">
        <f t="shared" si="28"/>
        <v>-7504.3544901553878</v>
      </c>
      <c r="P199" s="105">
        <f t="shared" si="29"/>
        <v>128.92314657108372</v>
      </c>
      <c r="Q199" s="103">
        <f t="shared" si="30"/>
        <v>6.345021452448675E-3</v>
      </c>
    </row>
    <row r="200" spans="1:17" x14ac:dyDescent="0.2">
      <c r="A200" s="99">
        <v>116.65</v>
      </c>
      <c r="B200" s="97">
        <v>-7542.2008156385918</v>
      </c>
      <c r="C200" s="97">
        <v>60.500061086200759</v>
      </c>
      <c r="E200" s="99">
        <v>115.60000000000001</v>
      </c>
      <c r="F200" s="97">
        <v>-7539.83</v>
      </c>
      <c r="G200" s="97">
        <v>198.7</v>
      </c>
      <c r="J200" s="102">
        <f t="shared" si="24"/>
        <v>-1.0499999999999972</v>
      </c>
      <c r="K200" s="105">
        <f t="shared" si="25"/>
        <v>-7542.2051083891711</v>
      </c>
      <c r="L200" s="105">
        <f t="shared" si="26"/>
        <v>60.499767671437922</v>
      </c>
      <c r="M200" s="103">
        <f t="shared" si="27"/>
        <v>4.30276652381775E-3</v>
      </c>
      <c r="N200" s="103"/>
      <c r="O200" s="105">
        <f t="shared" si="28"/>
        <v>-7539.8257025934354</v>
      </c>
      <c r="P200" s="105">
        <f t="shared" si="29"/>
        <v>198.70021470113403</v>
      </c>
      <c r="Q200" s="103">
        <f t="shared" si="30"/>
        <v>4.3027665237574267E-3</v>
      </c>
    </row>
    <row r="201" spans="1:17" x14ac:dyDescent="0.2">
      <c r="A201" s="99">
        <v>113.5</v>
      </c>
      <c r="B201" s="97">
        <v>-7576.0627714065249</v>
      </c>
      <c r="C201" s="97">
        <v>132.87475987402144</v>
      </c>
      <c r="E201" s="99">
        <v>112.45</v>
      </c>
      <c r="F201" s="97">
        <v>-7572.36</v>
      </c>
      <c r="G201" s="97">
        <v>271.68</v>
      </c>
      <c r="J201" s="102">
        <f t="shared" si="24"/>
        <v>-1.0499999999999972</v>
      </c>
      <c r="K201" s="105">
        <f t="shared" si="25"/>
        <v>-7576.06699958626</v>
      </c>
      <c r="L201" s="105">
        <f t="shared" si="26"/>
        <v>132.87140316875445</v>
      </c>
      <c r="M201" s="103">
        <f t="shared" si="27"/>
        <v>5.3986085356464777E-3</v>
      </c>
      <c r="N201" s="103"/>
      <c r="O201" s="105">
        <f t="shared" si="28"/>
        <v>-7572.3557110188485</v>
      </c>
      <c r="P201" s="105">
        <f t="shared" si="29"/>
        <v>271.68327866052005</v>
      </c>
      <c r="Q201" s="103">
        <f t="shared" si="30"/>
        <v>5.3986085355920768E-3</v>
      </c>
    </row>
    <row r="202" spans="1:17" x14ac:dyDescent="0.2">
      <c r="A202" s="99">
        <v>109.97</v>
      </c>
      <c r="B202" s="97">
        <v>-7605.4546946078663</v>
      </c>
      <c r="C202" s="97">
        <v>206.6218543715857</v>
      </c>
      <c r="E202" s="99">
        <v>108.92</v>
      </c>
      <c r="F202" s="97">
        <v>-7600.39</v>
      </c>
      <c r="G202" s="97">
        <v>345.96</v>
      </c>
      <c r="J202" s="102">
        <f t="shared" si="24"/>
        <v>-1.0499999999999972</v>
      </c>
      <c r="K202" s="105">
        <f t="shared" si="25"/>
        <v>-7605.4534688146059</v>
      </c>
      <c r="L202" s="105">
        <f t="shared" si="26"/>
        <v>206.62528256700423</v>
      </c>
      <c r="M202" s="103">
        <f t="shared" si="27"/>
        <v>3.6407544471965154E-3</v>
      </c>
      <c r="N202" s="103"/>
      <c r="O202" s="105">
        <f t="shared" si="28"/>
        <v>-7600.3912884088777</v>
      </c>
      <c r="P202" s="105">
        <f t="shared" si="29"/>
        <v>345.95659484280657</v>
      </c>
      <c r="Q202" s="103">
        <f t="shared" si="30"/>
        <v>3.6407544475206446E-3</v>
      </c>
    </row>
    <row r="203" spans="1:17" x14ac:dyDescent="0.2">
      <c r="A203" s="99">
        <v>107.29</v>
      </c>
      <c r="B203" s="97">
        <v>-7630.9393410096718</v>
      </c>
      <c r="C203" s="97">
        <v>282.22824335791665</v>
      </c>
      <c r="E203" s="99">
        <v>106.24000000000001</v>
      </c>
      <c r="F203" s="97">
        <v>-7624.49</v>
      </c>
      <c r="G203" s="97">
        <v>422.02</v>
      </c>
      <c r="J203" s="102">
        <f t="shared" si="24"/>
        <v>-1.0499999999999972</v>
      </c>
      <c r="K203" s="105">
        <f t="shared" si="25"/>
        <v>-7630.9432163293513</v>
      </c>
      <c r="L203" s="105">
        <f t="shared" si="26"/>
        <v>282.23088005577813</v>
      </c>
      <c r="M203" s="103">
        <f t="shared" si="27"/>
        <v>4.6872463378105408E-3</v>
      </c>
      <c r="N203" s="103"/>
      <c r="O203" s="105">
        <f t="shared" si="28"/>
        <v>-7624.4861736483545</v>
      </c>
      <c r="P203" s="105">
        <f t="shared" si="29"/>
        <v>422.01729272991406</v>
      </c>
      <c r="Q203" s="103">
        <f t="shared" si="30"/>
        <v>4.6872463378661699E-3</v>
      </c>
    </row>
    <row r="204" spans="1:17" x14ac:dyDescent="0.2">
      <c r="A204" s="99">
        <v>104.49</v>
      </c>
      <c r="B204" s="97">
        <v>-7652.8674297157258</v>
      </c>
      <c r="C204" s="97">
        <v>359.27324959947993</v>
      </c>
      <c r="E204" s="99">
        <v>103.44</v>
      </c>
      <c r="F204" s="97">
        <v>-7645</v>
      </c>
      <c r="G204" s="97">
        <v>499.45</v>
      </c>
      <c r="J204" s="102">
        <f t="shared" si="24"/>
        <v>-1.0499999999999972</v>
      </c>
      <c r="K204" s="105">
        <f t="shared" si="25"/>
        <v>-7652.8686718173049</v>
      </c>
      <c r="L204" s="105">
        <f t="shared" si="26"/>
        <v>359.27203400381916</v>
      </c>
      <c r="M204" s="103">
        <f t="shared" si="27"/>
        <v>1.7379554490993231E-3</v>
      </c>
      <c r="N204" s="103"/>
      <c r="O204" s="105">
        <f t="shared" si="28"/>
        <v>-7644.9987358312819</v>
      </c>
      <c r="P204" s="105">
        <f t="shared" si="29"/>
        <v>499.45119263011702</v>
      </c>
      <c r="Q204" s="103">
        <f t="shared" si="30"/>
        <v>1.7379554493209954E-3</v>
      </c>
    </row>
    <row r="205" spans="1:17" x14ac:dyDescent="0.2">
      <c r="A205" s="99">
        <v>101.25</v>
      </c>
      <c r="B205" s="97">
        <v>-7670.8083344810339</v>
      </c>
      <c r="C205" s="97">
        <v>437.8366996230904</v>
      </c>
      <c r="E205" s="99">
        <v>100.2</v>
      </c>
      <c r="F205" s="97">
        <v>-7661.5</v>
      </c>
      <c r="G205" s="97">
        <v>578.33000000000004</v>
      </c>
      <c r="J205" s="102">
        <f t="shared" si="24"/>
        <v>-1.0499999999999972</v>
      </c>
      <c r="K205" s="105">
        <f t="shared" si="25"/>
        <v>-7670.8113717975521</v>
      </c>
      <c r="L205" s="105">
        <f t="shared" si="26"/>
        <v>437.83642744906149</v>
      </c>
      <c r="M205" s="103">
        <f t="shared" si="27"/>
        <v>3.0494868968006465E-3</v>
      </c>
      <c r="N205" s="103"/>
      <c r="O205" s="105">
        <f t="shared" si="28"/>
        <v>-7661.4969582059248</v>
      </c>
      <c r="P205" s="105">
        <f t="shared" si="29"/>
        <v>578.33021646970985</v>
      </c>
      <c r="Q205" s="103">
        <f t="shared" si="30"/>
        <v>3.0494868963949753E-3</v>
      </c>
    </row>
    <row r="206" spans="1:17" x14ac:dyDescent="0.2">
      <c r="A206" s="99">
        <v>98.76</v>
      </c>
      <c r="B206" s="97">
        <v>-7684.9326582618651</v>
      </c>
      <c r="C206" s="97">
        <v>517.95392085153844</v>
      </c>
      <c r="E206" s="99">
        <v>97.710000000000008</v>
      </c>
      <c r="F206" s="97">
        <v>-7674.15</v>
      </c>
      <c r="G206" s="97">
        <v>658.69</v>
      </c>
      <c r="J206" s="102">
        <f t="shared" si="24"/>
        <v>-1.0499999999999972</v>
      </c>
      <c r="K206" s="105">
        <f t="shared" si="25"/>
        <v>-7684.9318391515299</v>
      </c>
      <c r="L206" s="105">
        <f t="shared" si="26"/>
        <v>517.95112336501211</v>
      </c>
      <c r="M206" s="103">
        <f t="shared" si="27"/>
        <v>2.9149395544798206E-3</v>
      </c>
      <c r="N206" s="103"/>
      <c r="O206" s="105">
        <f t="shared" si="28"/>
        <v>-7674.1507677090449</v>
      </c>
      <c r="P206" s="105">
        <f t="shared" si="29"/>
        <v>658.69281202692525</v>
      </c>
      <c r="Q206" s="103">
        <f t="shared" si="30"/>
        <v>2.9149395544674044E-3</v>
      </c>
    </row>
    <row r="207" spans="1:17" x14ac:dyDescent="0.2">
      <c r="A207" s="99">
        <v>96.56</v>
      </c>
      <c r="B207" s="97">
        <v>-7696.0029484931874</v>
      </c>
      <c r="C207" s="97">
        <v>600.33215056029735</v>
      </c>
      <c r="E207" s="99">
        <v>95.51</v>
      </c>
      <c r="F207" s="97">
        <v>-7683.71</v>
      </c>
      <c r="G207" s="97">
        <v>741.26</v>
      </c>
      <c r="J207" s="102">
        <f t="shared" si="24"/>
        <v>-1.0499999999999972</v>
      </c>
      <c r="K207" s="105">
        <f t="shared" si="25"/>
        <v>-7696.0033234632629</v>
      </c>
      <c r="L207" s="105">
        <f t="shared" si="26"/>
        <v>600.33207222538317</v>
      </c>
      <c r="M207" s="103">
        <f t="shared" si="27"/>
        <v>3.8306515926803987E-4</v>
      </c>
      <c r="N207" s="103"/>
      <c r="O207" s="105">
        <f t="shared" si="28"/>
        <v>-7683.7096236574071</v>
      </c>
      <c r="P207" s="105">
        <f t="shared" si="29"/>
        <v>741.26007145045958</v>
      </c>
      <c r="Q207" s="103">
        <f t="shared" si="30"/>
        <v>3.8306515824323458E-4</v>
      </c>
    </row>
    <row r="208" spans="1:17" x14ac:dyDescent="0.2">
      <c r="A208" s="99">
        <v>93.99</v>
      </c>
      <c r="B208" s="97">
        <v>-7703.7190885606888</v>
      </c>
      <c r="C208" s="97">
        <v>684.01637159729114</v>
      </c>
      <c r="E208" s="99">
        <v>92.94</v>
      </c>
      <c r="F208" s="97">
        <v>-7689.89</v>
      </c>
      <c r="G208" s="97">
        <v>825.07</v>
      </c>
      <c r="J208" s="102">
        <f t="shared" si="24"/>
        <v>-1.0499999999999972</v>
      </c>
      <c r="K208" s="105">
        <f t="shared" si="25"/>
        <v>-7703.7180982448335</v>
      </c>
      <c r="L208" s="105">
        <f t="shared" si="26"/>
        <v>684.01475113846323</v>
      </c>
      <c r="M208" s="103">
        <f t="shared" si="27"/>
        <v>1.8991082923558548E-3</v>
      </c>
      <c r="N208" s="103"/>
      <c r="O208" s="105">
        <f t="shared" si="28"/>
        <v>-7689.8909604547698</v>
      </c>
      <c r="P208" s="105">
        <f t="shared" si="29"/>
        <v>825.07163833419781</v>
      </c>
      <c r="Q208" s="103">
        <f t="shared" si="30"/>
        <v>1.8991082928016007E-3</v>
      </c>
    </row>
    <row r="209" spans="1:17" x14ac:dyDescent="0.2">
      <c r="A209" s="99">
        <v>91.47</v>
      </c>
      <c r="B209" s="97">
        <v>-7707.7078870819914</v>
      </c>
      <c r="C209" s="97">
        <v>767.77696042255229</v>
      </c>
      <c r="E209" s="99">
        <v>90.42</v>
      </c>
      <c r="F209" s="97">
        <v>-7692.35</v>
      </c>
      <c r="G209" s="97">
        <v>908.89</v>
      </c>
      <c r="J209" s="102">
        <f t="shared" si="24"/>
        <v>-1.0499999999999972</v>
      </c>
      <c r="K209" s="105">
        <f t="shared" si="25"/>
        <v>-7707.7136809219483</v>
      </c>
      <c r="L209" s="105">
        <f t="shared" si="26"/>
        <v>767.77559711718004</v>
      </c>
      <c r="M209" s="103">
        <f t="shared" si="27"/>
        <v>5.9520738388638634E-3</v>
      </c>
      <c r="N209" s="103"/>
      <c r="O209" s="105">
        <f t="shared" si="28"/>
        <v>-7692.344182150443</v>
      </c>
      <c r="P209" s="105">
        <f t="shared" si="29"/>
        <v>908.89125690473213</v>
      </c>
      <c r="Q209" s="103">
        <f t="shared" si="30"/>
        <v>5.9520738384274642E-3</v>
      </c>
    </row>
    <row r="210" spans="1:17" x14ac:dyDescent="0.2">
      <c r="A210" s="99">
        <v>88.38</v>
      </c>
      <c r="B210" s="97">
        <v>-7707.5884603332206</v>
      </c>
      <c r="C210" s="97">
        <v>852.19557683744779</v>
      </c>
      <c r="E210" s="99">
        <v>87.33</v>
      </c>
      <c r="F210" s="97">
        <v>-7690.68</v>
      </c>
      <c r="G210" s="97">
        <v>993.29</v>
      </c>
      <c r="J210" s="102">
        <f t="shared" si="24"/>
        <v>-1.0499999999999972</v>
      </c>
      <c r="K210" s="105">
        <f t="shared" si="25"/>
        <v>-7707.59058555092</v>
      </c>
      <c r="L210" s="105">
        <f t="shared" si="26"/>
        <v>852.19202767148408</v>
      </c>
      <c r="M210" s="103">
        <f t="shared" si="27"/>
        <v>4.1368018211639761E-3</v>
      </c>
      <c r="N210" s="103"/>
      <c r="O210" s="105">
        <f t="shared" si="28"/>
        <v>-7690.6778101009359</v>
      </c>
      <c r="P210" s="105">
        <f t="shared" si="29"/>
        <v>993.29350962553463</v>
      </c>
      <c r="Q210" s="103">
        <f t="shared" si="30"/>
        <v>4.1368018209667528E-3</v>
      </c>
    </row>
    <row r="211" spans="1:17" x14ac:dyDescent="0.2">
      <c r="A211" s="99">
        <v>85.72</v>
      </c>
      <c r="B211" s="97">
        <v>-7703.1557822135255</v>
      </c>
      <c r="C211" s="97">
        <v>938.05856159564928</v>
      </c>
      <c r="E211" s="99">
        <v>84.67</v>
      </c>
      <c r="F211" s="97">
        <v>-7684.67</v>
      </c>
      <c r="G211" s="97">
        <v>1079.06</v>
      </c>
      <c r="J211" s="102">
        <f t="shared" si="24"/>
        <v>-1.0499999999999972</v>
      </c>
      <c r="K211" s="105">
        <f t="shared" si="25"/>
        <v>-7703.1533240898389</v>
      </c>
      <c r="L211" s="105">
        <f t="shared" si="26"/>
        <v>938.05775838360228</v>
      </c>
      <c r="M211" s="103">
        <f t="shared" si="27"/>
        <v>2.5860242944326572E-3</v>
      </c>
      <c r="N211" s="103"/>
      <c r="O211" s="105">
        <f t="shared" si="28"/>
        <v>-7684.6724429921242</v>
      </c>
      <c r="P211" s="105">
        <f t="shared" si="29"/>
        <v>1079.0608481221229</v>
      </c>
      <c r="Q211" s="103">
        <f t="shared" si="30"/>
        <v>2.5860242949088631E-3</v>
      </c>
    </row>
    <row r="212" spans="1:17" x14ac:dyDescent="0.2">
      <c r="A212" s="99">
        <v>83.05</v>
      </c>
      <c r="B212" s="97">
        <v>-7694.7498818709482</v>
      </c>
      <c r="C212" s="97">
        <v>1023.4651373310749</v>
      </c>
      <c r="E212" s="99">
        <v>82</v>
      </c>
      <c r="F212" s="97">
        <v>-7674.71</v>
      </c>
      <c r="G212" s="97">
        <v>1164.3</v>
      </c>
      <c r="J212" s="102">
        <f t="shared" si="24"/>
        <v>-1.0499999999999972</v>
      </c>
      <c r="K212" s="105">
        <f t="shared" si="25"/>
        <v>-7694.7570136819486</v>
      </c>
      <c r="L212" s="105">
        <f t="shared" si="26"/>
        <v>1023.4659615700313</v>
      </c>
      <c r="M212" s="103">
        <f t="shared" si="27"/>
        <v>7.1792825548339552E-3</v>
      </c>
      <c r="N212" s="103"/>
      <c r="O212" s="105">
        <f t="shared" si="28"/>
        <v>-7674.7028844906654</v>
      </c>
      <c r="P212" s="105">
        <f t="shared" si="29"/>
        <v>1164.2990452094989</v>
      </c>
      <c r="Q212" s="103">
        <f t="shared" si="30"/>
        <v>7.1792825541584148E-3</v>
      </c>
    </row>
    <row r="213" spans="1:17" x14ac:dyDescent="0.2">
      <c r="A213" s="99">
        <v>80.17</v>
      </c>
      <c r="B213" s="97">
        <v>-7682.1107169372772</v>
      </c>
      <c r="C213" s="97">
        <v>1109.0997788538539</v>
      </c>
      <c r="E213" s="99">
        <v>79.12</v>
      </c>
      <c r="F213" s="97">
        <v>-7660.5</v>
      </c>
      <c r="G213" s="97">
        <v>1249.69</v>
      </c>
      <c r="J213" s="102">
        <f t="shared" si="24"/>
        <v>-1.0499999999999972</v>
      </c>
      <c r="K213" s="105">
        <f t="shared" si="25"/>
        <v>-7682.1141656552936</v>
      </c>
      <c r="L213" s="105">
        <f t="shared" si="26"/>
        <v>1109.1020205275461</v>
      </c>
      <c r="M213" s="103">
        <f t="shared" si="27"/>
        <v>4.1132416533955487E-3</v>
      </c>
      <c r="N213" s="103"/>
      <c r="O213" s="105">
        <f t="shared" si="28"/>
        <v>-7660.4965929395948</v>
      </c>
      <c r="P213" s="105">
        <f t="shared" si="29"/>
        <v>1249.6876955051991</v>
      </c>
      <c r="Q213" s="103">
        <f t="shared" si="30"/>
        <v>4.1132416524898279E-3</v>
      </c>
    </row>
    <row r="214" spans="1:17" x14ac:dyDescent="0.2">
      <c r="A214" s="99">
        <v>79.86</v>
      </c>
      <c r="B214" s="97">
        <v>-7667.1694799992856</v>
      </c>
      <c r="C214" s="97">
        <v>1193.9633721710015</v>
      </c>
      <c r="E214" s="99">
        <v>78.81</v>
      </c>
      <c r="F214" s="97">
        <v>-7644.01</v>
      </c>
      <c r="G214" s="97">
        <v>1334.26</v>
      </c>
      <c r="J214" s="102">
        <f t="shared" si="24"/>
        <v>-1.0499999999999972</v>
      </c>
      <c r="K214" s="105">
        <f t="shared" si="25"/>
        <v>-7667.176674032582</v>
      </c>
      <c r="L214" s="105">
        <f t="shared" si="26"/>
        <v>1193.9599980194791</v>
      </c>
      <c r="M214" s="103">
        <f t="shared" si="27"/>
        <v>7.946006139299808E-3</v>
      </c>
      <c r="N214" s="103"/>
      <c r="O214" s="105">
        <f t="shared" si="28"/>
        <v>-7644.0027453435996</v>
      </c>
      <c r="P214" s="105">
        <f t="shared" si="29"/>
        <v>1334.2632417547829</v>
      </c>
      <c r="Q214" s="103">
        <f t="shared" si="30"/>
        <v>7.9460061391750381E-3</v>
      </c>
    </row>
    <row r="215" spans="1:17" x14ac:dyDescent="0.2">
      <c r="A215" s="99">
        <v>78.05</v>
      </c>
      <c r="B215" s="97">
        <v>-7650.2547271814283</v>
      </c>
      <c r="C215" s="97">
        <v>1280.6063801645455</v>
      </c>
      <c r="E215" s="99">
        <v>77</v>
      </c>
      <c r="F215" s="97">
        <v>-7625.51</v>
      </c>
      <c r="G215" s="97">
        <v>1420.58</v>
      </c>
      <c r="J215" s="102">
        <f t="shared" si="24"/>
        <v>-1.0499999999999972</v>
      </c>
      <c r="K215" s="105">
        <f t="shared" si="25"/>
        <v>-7650.2615885502782</v>
      </c>
      <c r="L215" s="105">
        <f t="shared" si="26"/>
        <v>1280.6045147711254</v>
      </c>
      <c r="M215" s="103">
        <f t="shared" si="27"/>
        <v>7.1104201779483081E-3</v>
      </c>
      <c r="N215" s="103"/>
      <c r="O215" s="105">
        <f t="shared" si="28"/>
        <v>-7625.5031056000762</v>
      </c>
      <c r="P215" s="105">
        <f t="shared" si="29"/>
        <v>1420.5817393460779</v>
      </c>
      <c r="Q215" s="103">
        <f t="shared" si="30"/>
        <v>7.1104201768563456E-3</v>
      </c>
    </row>
    <row r="216" spans="1:17" x14ac:dyDescent="0.2">
      <c r="A216" s="99">
        <v>75.69</v>
      </c>
      <c r="B216" s="97">
        <v>-7630.0788391515043</v>
      </c>
      <c r="C216" s="97">
        <v>1367.0694753504281</v>
      </c>
      <c r="E216" s="99">
        <v>74.64</v>
      </c>
      <c r="F216" s="97">
        <v>-7603.75</v>
      </c>
      <c r="G216" s="97">
        <v>1506.66</v>
      </c>
      <c r="J216" s="102">
        <f t="shared" si="24"/>
        <v>-1.0499999999999972</v>
      </c>
      <c r="K216" s="105">
        <f t="shared" si="25"/>
        <v>-7630.0826524894674</v>
      </c>
      <c r="L216" s="105">
        <f t="shared" si="26"/>
        <v>1367.0688110988799</v>
      </c>
      <c r="M216" s="103">
        <f t="shared" si="27"/>
        <v>3.8707591683823928E-3</v>
      </c>
      <c r="N216" s="103"/>
      <c r="O216" s="105">
        <f t="shared" si="28"/>
        <v>-7603.7461751299925</v>
      </c>
      <c r="P216" s="105">
        <f t="shared" si="29"/>
        <v>1506.6605942608535</v>
      </c>
      <c r="Q216" s="103">
        <f t="shared" si="30"/>
        <v>3.8707591679559843E-3</v>
      </c>
    </row>
    <row r="217" spans="1:17" x14ac:dyDescent="0.2">
      <c r="A217" s="99">
        <v>72.87</v>
      </c>
      <c r="B217" s="97">
        <v>-7606.0605206660857</v>
      </c>
      <c r="C217" s="97">
        <v>1452.367331108735</v>
      </c>
      <c r="E217" s="99">
        <v>71.820000000000007</v>
      </c>
      <c r="F217" s="97">
        <v>-7578.17</v>
      </c>
      <c r="G217" s="97">
        <v>1591.5</v>
      </c>
      <c r="J217" s="102">
        <f t="shared" si="24"/>
        <v>-1.0499999999999972</v>
      </c>
      <c r="K217" s="105">
        <f t="shared" si="25"/>
        <v>-7606.0616349515203</v>
      </c>
      <c r="L217" s="105">
        <f t="shared" si="26"/>
        <v>1452.3633168799772</v>
      </c>
      <c r="M217" s="103">
        <f t="shared" si="27"/>
        <v>4.1660130280249154E-3</v>
      </c>
      <c r="N217" s="103"/>
      <c r="O217" s="105">
        <f t="shared" si="28"/>
        <v>-7578.168812341205</v>
      </c>
      <c r="P217" s="105">
        <f t="shared" si="29"/>
        <v>1591.5039931355018</v>
      </c>
      <c r="Q217" s="103">
        <f t="shared" si="30"/>
        <v>4.1660130279582361E-3</v>
      </c>
    </row>
    <row r="218" spans="1:17" x14ac:dyDescent="0.2">
      <c r="A218" s="99">
        <v>70.42</v>
      </c>
      <c r="B218" s="97">
        <v>-7577.902798203615</v>
      </c>
      <c r="C218" s="97">
        <v>1537.2091509301865</v>
      </c>
      <c r="E218" s="99">
        <v>69.37</v>
      </c>
      <c r="F218" s="97">
        <v>-7548.46</v>
      </c>
      <c r="G218" s="97">
        <v>1675.81</v>
      </c>
      <c r="J218" s="102">
        <f t="shared" si="24"/>
        <v>-1.0499999999999972</v>
      </c>
      <c r="K218" s="105">
        <f t="shared" si="25"/>
        <v>-7577.9015986915811</v>
      </c>
      <c r="L218" s="105">
        <f t="shared" si="26"/>
        <v>1537.2035936230368</v>
      </c>
      <c r="M218" s="103">
        <f t="shared" si="27"/>
        <v>5.6852873169308477E-3</v>
      </c>
      <c r="N218" s="103"/>
      <c r="O218" s="105">
        <f t="shared" si="28"/>
        <v>-7548.4610974733441</v>
      </c>
      <c r="P218" s="105">
        <f t="shared" si="29"/>
        <v>1675.8155783549666</v>
      </c>
      <c r="Q218" s="103">
        <f t="shared" si="30"/>
        <v>5.6852873168825868E-3</v>
      </c>
    </row>
    <row r="219" spans="1:17" x14ac:dyDescent="0.2">
      <c r="A219" s="99">
        <v>67.86</v>
      </c>
      <c r="B219" s="97">
        <v>-7545.8129984894731</v>
      </c>
      <c r="C219" s="97">
        <v>1621.3999043340173</v>
      </c>
      <c r="E219" s="99">
        <v>66.81</v>
      </c>
      <c r="F219" s="97">
        <v>-7514.84</v>
      </c>
      <c r="G219" s="97">
        <v>1759.4</v>
      </c>
      <c r="J219" s="102">
        <f t="shared" si="24"/>
        <v>-1.0499999999999972</v>
      </c>
      <c r="K219" s="105">
        <f t="shared" si="25"/>
        <v>-7545.8190250312409</v>
      </c>
      <c r="L219" s="105">
        <f t="shared" si="26"/>
        <v>1621.3956417471254</v>
      </c>
      <c r="M219" s="103">
        <f t="shared" si="27"/>
        <v>7.38165650040273E-3</v>
      </c>
      <c r="N219" s="103"/>
      <c r="O219" s="105">
        <f t="shared" si="28"/>
        <v>-7514.8338963585711</v>
      </c>
      <c r="P219" s="105">
        <f t="shared" si="29"/>
        <v>1759.4041514351725</v>
      </c>
      <c r="Q219" s="103">
        <f t="shared" si="30"/>
        <v>7.3816565000539595E-3</v>
      </c>
    </row>
    <row r="220" spans="1:17" x14ac:dyDescent="0.2">
      <c r="A220" s="99">
        <v>65.5</v>
      </c>
      <c r="B220" s="97">
        <v>-7509.873312491578</v>
      </c>
      <c r="C220" s="97">
        <v>1704.7529401292254</v>
      </c>
      <c r="E220" s="99">
        <v>64.45</v>
      </c>
      <c r="F220" s="97">
        <v>-7477.38</v>
      </c>
      <c r="G220" s="97">
        <v>1842.08</v>
      </c>
      <c r="J220" s="102">
        <f t="shared" si="24"/>
        <v>-1.0499999999999972</v>
      </c>
      <c r="K220" s="105">
        <f t="shared" si="25"/>
        <v>-7509.8804204794387</v>
      </c>
      <c r="L220" s="105">
        <f t="shared" si="26"/>
        <v>1704.7482104110193</v>
      </c>
      <c r="M220" s="103">
        <f t="shared" si="27"/>
        <v>8.5377822494024039E-3</v>
      </c>
      <c r="N220" s="103"/>
      <c r="O220" s="105">
        <f t="shared" si="28"/>
        <v>-7477.3728065339201</v>
      </c>
      <c r="P220" s="105">
        <f t="shared" si="29"/>
        <v>1842.0845986706224</v>
      </c>
      <c r="Q220" s="103">
        <f t="shared" si="30"/>
        <v>8.537782249431811E-3</v>
      </c>
    </row>
    <row r="221" spans="1:17" x14ac:dyDescent="0.2">
      <c r="A221" s="99">
        <v>62.38</v>
      </c>
      <c r="B221" s="97">
        <v>-7469.9152391963535</v>
      </c>
      <c r="C221" s="97">
        <v>1786.4706371951502</v>
      </c>
      <c r="E221" s="99">
        <v>61.330000000000005</v>
      </c>
      <c r="F221" s="97">
        <v>-7435.93</v>
      </c>
      <c r="G221" s="97">
        <v>1923.06</v>
      </c>
      <c r="J221" s="102">
        <f t="shared" si="24"/>
        <v>-1.0499999999999972</v>
      </c>
      <c r="K221" s="105">
        <f t="shared" si="25"/>
        <v>-7469.9213335277191</v>
      </c>
      <c r="L221" s="105">
        <f t="shared" si="26"/>
        <v>1786.474181007794</v>
      </c>
      <c r="M221" s="103">
        <f t="shared" si="27"/>
        <v>7.0497860143418339E-3</v>
      </c>
      <c r="N221" s="103"/>
      <c r="O221" s="105">
        <f t="shared" si="28"/>
        <v>-7435.9239716320917</v>
      </c>
      <c r="P221" s="105">
        <f t="shared" si="29"/>
        <v>1923.0563451042135</v>
      </c>
      <c r="Q221" s="103">
        <f t="shared" si="30"/>
        <v>7.0497860145526852E-3</v>
      </c>
    </row>
    <row r="222" spans="1:17" x14ac:dyDescent="0.2">
      <c r="A222" s="99">
        <v>61.45</v>
      </c>
      <c r="B222" s="97">
        <v>-7427.0156585261966</v>
      </c>
      <c r="C222" s="97">
        <v>1866.8763997120827</v>
      </c>
      <c r="E222" s="99">
        <v>60.400000000000006</v>
      </c>
      <c r="F222" s="97">
        <v>-7391.56</v>
      </c>
      <c r="G222" s="97">
        <v>2002.66</v>
      </c>
      <c r="J222" s="102">
        <f t="shared" si="24"/>
        <v>-1.0499999999999972</v>
      </c>
      <c r="K222" s="105">
        <f t="shared" si="25"/>
        <v>-7427.0174484843801</v>
      </c>
      <c r="L222" s="105">
        <f t="shared" si="26"/>
        <v>1866.8738921278471</v>
      </c>
      <c r="M222" s="103">
        <f t="shared" si="27"/>
        <v>3.0808974338173462E-3</v>
      </c>
      <c r="N222" s="103"/>
      <c r="O222" s="105">
        <f t="shared" si="28"/>
        <v>-7391.55816439107</v>
      </c>
      <c r="P222" s="105">
        <f t="shared" si="29"/>
        <v>2002.6624743623122</v>
      </c>
      <c r="Q222" s="103">
        <f t="shared" si="30"/>
        <v>3.0808974336860224E-3</v>
      </c>
    </row>
    <row r="223" spans="1:17" x14ac:dyDescent="0.2">
      <c r="A223" s="99">
        <v>61.89</v>
      </c>
      <c r="B223" s="97">
        <v>-7384.7955725377997</v>
      </c>
      <c r="C223" s="97">
        <v>1945.1846882765672</v>
      </c>
      <c r="E223" s="99">
        <v>60.84</v>
      </c>
      <c r="F223" s="97">
        <v>-7347.91</v>
      </c>
      <c r="G223" s="97">
        <v>2080.1799999999998</v>
      </c>
      <c r="J223" s="102">
        <f t="shared" si="24"/>
        <v>-1.0499999999999972</v>
      </c>
      <c r="K223" s="105">
        <f t="shared" si="25"/>
        <v>-7384.795326684467</v>
      </c>
      <c r="L223" s="105">
        <f t="shared" si="26"/>
        <v>1945.1807585618528</v>
      </c>
      <c r="M223" s="103">
        <f t="shared" si="27"/>
        <v>3.9373978205433854E-3</v>
      </c>
      <c r="N223" s="103"/>
      <c r="O223" s="105">
        <f t="shared" si="28"/>
        <v>-7347.9101738002983</v>
      </c>
      <c r="P223" s="105">
        <f t="shared" si="29"/>
        <v>2080.1839335600989</v>
      </c>
      <c r="Q223" s="103">
        <f t="shared" si="30"/>
        <v>3.9373978204950691E-3</v>
      </c>
    </row>
    <row r="224" spans="1:17" x14ac:dyDescent="0.2">
      <c r="A224" s="99">
        <v>62.47</v>
      </c>
      <c r="B224" s="97">
        <v>-7343.9119408662191</v>
      </c>
      <c r="C224" s="97">
        <v>2022.6531698096364</v>
      </c>
      <c r="E224" s="99">
        <v>61.42</v>
      </c>
      <c r="F224" s="97">
        <v>-7305.62</v>
      </c>
      <c r="G224" s="97">
        <v>2156.89</v>
      </c>
      <c r="J224" s="102">
        <f t="shared" si="24"/>
        <v>-1.0499999999999972</v>
      </c>
      <c r="K224" s="105">
        <f t="shared" si="25"/>
        <v>-7343.9181333248343</v>
      </c>
      <c r="L224" s="105">
        <f t="shared" si="26"/>
        <v>2022.6528391008396</v>
      </c>
      <c r="M224" s="103">
        <f t="shared" si="27"/>
        <v>6.201283093843938E-3</v>
      </c>
      <c r="N224" s="103"/>
      <c r="O224" s="105">
        <f t="shared" si="28"/>
        <v>-7305.6138025209793</v>
      </c>
      <c r="P224" s="105">
        <f t="shared" si="29"/>
        <v>2156.8902171768864</v>
      </c>
      <c r="Q224" s="103">
        <f t="shared" si="30"/>
        <v>6.2012830938665336E-3</v>
      </c>
    </row>
    <row r="225" spans="1:17" x14ac:dyDescent="0.2">
      <c r="A225" s="99">
        <v>62.95</v>
      </c>
      <c r="B225" s="97">
        <v>-7305.4364028785476</v>
      </c>
      <c r="C225" s="97">
        <v>2097.2201640531089</v>
      </c>
      <c r="E225" s="99">
        <v>61.900000000000006</v>
      </c>
      <c r="F225" s="97">
        <v>-7265.78</v>
      </c>
      <c r="G225" s="97">
        <v>2230.7399999999998</v>
      </c>
      <c r="J225" s="102">
        <f t="shared" si="24"/>
        <v>-1.0499999999999972</v>
      </c>
      <c r="K225" s="105">
        <f t="shared" si="25"/>
        <v>-7305.4381192680576</v>
      </c>
      <c r="L225" s="105">
        <f t="shared" si="26"/>
        <v>2097.2205037966737</v>
      </c>
      <c r="M225" s="103">
        <f t="shared" si="27"/>
        <v>1.7496910126556956E-3</v>
      </c>
      <c r="N225" s="103"/>
      <c r="O225" s="105">
        <f t="shared" si="28"/>
        <v>-7265.7782901244755</v>
      </c>
      <c r="P225" s="105">
        <f t="shared" si="29"/>
        <v>2230.7396288607633</v>
      </c>
      <c r="Q225" s="103">
        <f t="shared" si="30"/>
        <v>1.7496910131158025E-3</v>
      </c>
    </row>
    <row r="226" spans="1:17" x14ac:dyDescent="0.2">
      <c r="A226" s="99">
        <v>63.02</v>
      </c>
      <c r="B226" s="97">
        <v>-7270.7205937018844</v>
      </c>
      <c r="C226" s="97">
        <v>2165.3082127437233</v>
      </c>
      <c r="E226" s="99">
        <v>61.970000000000006</v>
      </c>
      <c r="F226" s="97">
        <v>-7229.82</v>
      </c>
      <c r="G226" s="97">
        <v>2298.1799999999998</v>
      </c>
      <c r="J226" s="102">
        <f t="shared" si="24"/>
        <v>-1.0499999999999972</v>
      </c>
      <c r="K226" s="105">
        <f t="shared" si="25"/>
        <v>-7270.7199908882994</v>
      </c>
      <c r="L226" s="105">
        <f t="shared" si="26"/>
        <v>2165.3081440980277</v>
      </c>
      <c r="M226" s="103">
        <f t="shared" si="27"/>
        <v>6.0670952661585095E-4</v>
      </c>
      <c r="N226" s="103"/>
      <c r="O226" s="105">
        <f t="shared" si="28"/>
        <v>-7229.8206014544357</v>
      </c>
      <c r="P226" s="105">
        <f t="shared" si="29"/>
        <v>2298.1800796806865</v>
      </c>
      <c r="Q226" s="103">
        <f t="shared" si="30"/>
        <v>6.067095272502532E-4</v>
      </c>
    </row>
    <row r="227" spans="1:17" x14ac:dyDescent="0.2">
      <c r="A227" s="99">
        <v>63.02</v>
      </c>
      <c r="B227" s="97">
        <v>-7254.4151366455344</v>
      </c>
      <c r="C227" s="97">
        <v>2197.3371081043397</v>
      </c>
      <c r="E227" s="99">
        <v>61.970000000000006</v>
      </c>
      <c r="F227" s="97">
        <v>-7212.93</v>
      </c>
      <c r="G227" s="97">
        <v>2329.9</v>
      </c>
      <c r="J227" s="102">
        <f t="shared" si="24"/>
        <v>-1.0499999999999972</v>
      </c>
      <c r="K227" s="105">
        <f t="shared" si="25"/>
        <v>-7254.4140938075661</v>
      </c>
      <c r="L227" s="105">
        <f t="shared" si="26"/>
        <v>2197.3323259047897</v>
      </c>
      <c r="M227" s="103">
        <f t="shared" si="27"/>
        <v>4.8945830837239888E-3</v>
      </c>
      <c r="N227" s="103"/>
      <c r="O227" s="105">
        <f t="shared" si="28"/>
        <v>-7212.930955029381</v>
      </c>
      <c r="P227" s="105">
        <f t="shared" si="29"/>
        <v>2329.9048005064783</v>
      </c>
      <c r="Q227" s="103">
        <f t="shared" si="30"/>
        <v>4.8945830839180002E-3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BB07-433E-4F9D-9BCC-B53DF61D6779}">
  <dimension ref="A1:U28"/>
  <sheetViews>
    <sheetView workbookViewId="0">
      <selection activeCell="E37" sqref="E37"/>
    </sheetView>
  </sheetViews>
  <sheetFormatPr defaultRowHeight="14.4" x14ac:dyDescent="0.3"/>
  <sheetData>
    <row r="1" spans="1:21" s="93" customFormat="1" ht="10.199999999999999" x14ac:dyDescent="0.2">
      <c r="A1" s="93" t="s">
        <v>218</v>
      </c>
    </row>
    <row r="2" spans="1:21" s="93" customFormat="1" ht="10.199999999999999" x14ac:dyDescent="0.2">
      <c r="A2" s="93" t="s">
        <v>154</v>
      </c>
    </row>
    <row r="3" spans="1:21" s="93" customFormat="1" ht="10.199999999999999" x14ac:dyDescent="0.2">
      <c r="A3" s="93" t="s">
        <v>219</v>
      </c>
      <c r="U3" s="29"/>
    </row>
    <row r="4" spans="1:21" s="93" customFormat="1" ht="10.199999999999999" x14ac:dyDescent="0.2">
      <c r="U4" s="29"/>
    </row>
    <row r="5" spans="1:21" s="93" customFormat="1" ht="10.199999999999999" x14ac:dyDescent="0.2">
      <c r="A5" s="93" t="s">
        <v>220</v>
      </c>
    </row>
    <row r="6" spans="1:21" s="93" customFormat="1" ht="10.199999999999999" x14ac:dyDescent="0.2">
      <c r="A6" s="93" t="s">
        <v>221</v>
      </c>
    </row>
    <row r="7" spans="1:21" s="93" customFormat="1" ht="10.199999999999999" x14ac:dyDescent="0.2"/>
    <row r="8" spans="1:21" x14ac:dyDescent="0.3">
      <c r="A8" s="93" t="s">
        <v>222</v>
      </c>
    </row>
    <row r="10" spans="1:21" x14ac:dyDescent="0.3">
      <c r="A10" s="93" t="s">
        <v>229</v>
      </c>
    </row>
    <row r="11" spans="1:21" x14ac:dyDescent="0.3">
      <c r="A11">
        <v>1</v>
      </c>
      <c r="B11" t="s">
        <v>225</v>
      </c>
    </row>
    <row r="12" spans="1:21" x14ac:dyDescent="0.3">
      <c r="A12">
        <v>2</v>
      </c>
      <c r="B12" t="s">
        <v>228</v>
      </c>
    </row>
    <row r="13" spans="1:21" x14ac:dyDescent="0.3">
      <c r="A13">
        <v>3</v>
      </c>
      <c r="B13" s="107" t="s">
        <v>227</v>
      </c>
    </row>
    <row r="14" spans="1:21" s="107" customFormat="1" x14ac:dyDescent="0.3">
      <c r="A14" s="107">
        <v>4</v>
      </c>
      <c r="B14" s="107" t="s">
        <v>226</v>
      </c>
      <c r="E14" s="93" t="s">
        <v>234</v>
      </c>
    </row>
    <row r="15" spans="1:21" s="107" customFormat="1" x14ac:dyDescent="0.3"/>
    <row r="16" spans="1:21" s="107" customFormat="1" x14ac:dyDescent="0.3">
      <c r="A16" s="93" t="s">
        <v>223</v>
      </c>
    </row>
    <row r="17" spans="1:10" s="107" customFormat="1" x14ac:dyDescent="0.3">
      <c r="A17" s="107">
        <v>1</v>
      </c>
      <c r="B17" s="113" t="s">
        <v>224</v>
      </c>
      <c r="I17" s="93" t="s">
        <v>235</v>
      </c>
    </row>
    <row r="18" spans="1:10" s="107" customFormat="1" x14ac:dyDescent="0.3"/>
    <row r="19" spans="1:10" s="107" customFormat="1" x14ac:dyDescent="0.3">
      <c r="A19" s="107" t="s">
        <v>230</v>
      </c>
    </row>
    <row r="20" spans="1:10" x14ac:dyDescent="0.3">
      <c r="B20" s="18" t="s">
        <v>233</v>
      </c>
      <c r="C20" s="115" t="s">
        <v>215</v>
      </c>
      <c r="D20">
        <v>354</v>
      </c>
      <c r="E20" s="107">
        <v>185</v>
      </c>
      <c r="F20" s="107">
        <v>300</v>
      </c>
      <c r="G20" s="107">
        <v>354</v>
      </c>
      <c r="H20" s="107">
        <v>354</v>
      </c>
      <c r="I20" s="107">
        <v>0</v>
      </c>
      <c r="J20" s="107">
        <v>40</v>
      </c>
    </row>
    <row r="21" spans="1:10" x14ac:dyDescent="0.3">
      <c r="B21" s="18"/>
      <c r="C21" s="115" t="s">
        <v>216</v>
      </c>
      <c r="D21">
        <v>4</v>
      </c>
      <c r="E21" s="107">
        <v>4</v>
      </c>
      <c r="F21" s="107">
        <v>4</v>
      </c>
      <c r="G21" s="107">
        <v>50</v>
      </c>
      <c r="H21" s="107">
        <v>4</v>
      </c>
      <c r="I21" s="107">
        <v>200</v>
      </c>
      <c r="J21" s="107">
        <v>4</v>
      </c>
    </row>
    <row r="22" spans="1:10" x14ac:dyDescent="0.3">
      <c r="B22" s="18"/>
      <c r="C22" s="115"/>
    </row>
    <row r="23" spans="1:10" x14ac:dyDescent="0.3">
      <c r="B23" s="18" t="s">
        <v>232</v>
      </c>
      <c r="C23" s="115" t="s">
        <v>217</v>
      </c>
      <c r="D23">
        <f>D21-D20</f>
        <v>-350</v>
      </c>
      <c r="E23" s="107">
        <f t="shared" ref="E23:J23" si="0">E21-E20</f>
        <v>-181</v>
      </c>
      <c r="F23" s="107">
        <f t="shared" si="0"/>
        <v>-296</v>
      </c>
      <c r="G23" s="107">
        <f t="shared" si="0"/>
        <v>-304</v>
      </c>
      <c r="H23" s="107">
        <f t="shared" si="0"/>
        <v>-350</v>
      </c>
      <c r="I23" s="107">
        <f t="shared" si="0"/>
        <v>200</v>
      </c>
      <c r="J23" s="107">
        <f t="shared" si="0"/>
        <v>-36</v>
      </c>
    </row>
    <row r="24" spans="1:10" x14ac:dyDescent="0.3">
      <c r="B24" s="18"/>
      <c r="C24" s="115" t="s">
        <v>207</v>
      </c>
      <c r="D24">
        <f>IF(D23&gt;180, D23-360,D23)</f>
        <v>-350</v>
      </c>
      <c r="E24" s="107">
        <f t="shared" ref="E24:J24" si="1">IF(E23&gt;180, E23-360,E23)</f>
        <v>-181</v>
      </c>
      <c r="F24" s="107">
        <f t="shared" si="1"/>
        <v>-296</v>
      </c>
      <c r="G24" s="107">
        <f t="shared" si="1"/>
        <v>-304</v>
      </c>
      <c r="H24" s="107">
        <f t="shared" si="1"/>
        <v>-350</v>
      </c>
      <c r="I24" s="107">
        <f t="shared" si="1"/>
        <v>-160</v>
      </c>
      <c r="J24" s="107">
        <f t="shared" si="1"/>
        <v>-36</v>
      </c>
    </row>
    <row r="25" spans="1:10" x14ac:dyDescent="0.3">
      <c r="B25" s="18"/>
      <c r="C25" s="115" t="s">
        <v>208</v>
      </c>
      <c r="D25" s="114">
        <f>IF(D24&lt;-180, D24+360,D24)</f>
        <v>10</v>
      </c>
      <c r="E25" s="114">
        <f t="shared" ref="E25:J25" si="2">IF(E24&lt;-180, E24+360,E24)</f>
        <v>179</v>
      </c>
      <c r="F25" s="114">
        <f t="shared" si="2"/>
        <v>64</v>
      </c>
      <c r="G25" s="114">
        <f t="shared" si="2"/>
        <v>56</v>
      </c>
      <c r="H25" s="114">
        <f t="shared" si="2"/>
        <v>10</v>
      </c>
      <c r="I25" s="114">
        <f t="shared" si="2"/>
        <v>-160</v>
      </c>
      <c r="J25" s="114">
        <f t="shared" si="2"/>
        <v>-36</v>
      </c>
    </row>
    <row r="26" spans="1:10" x14ac:dyDescent="0.3">
      <c r="B26" s="18"/>
      <c r="C26" s="115"/>
    </row>
    <row r="27" spans="1:10" x14ac:dyDescent="0.3">
      <c r="B27" s="18"/>
      <c r="C27" s="115"/>
    </row>
    <row r="28" spans="1:10" x14ac:dyDescent="0.3">
      <c r="B28" s="18" t="s">
        <v>231</v>
      </c>
      <c r="C28" s="115" t="s">
        <v>217</v>
      </c>
      <c r="D28" s="114">
        <f>DEGREES(ATAN2(COS(RADIANS(D21-D20)), SIN(RADIANS(D21-D20))))</f>
        <v>10.000000000000004</v>
      </c>
      <c r="E28" s="114">
        <f t="shared" ref="E28:J28" si="3">DEGREES(ATAN2(COS(RADIANS(E21-E20)), SIN(RADIANS(E21-E20))))</f>
        <v>178.99999999999997</v>
      </c>
      <c r="F28" s="114">
        <f t="shared" si="3"/>
        <v>64</v>
      </c>
      <c r="G28" s="114">
        <f t="shared" si="3"/>
        <v>55.999999999999993</v>
      </c>
      <c r="H28" s="114">
        <f t="shared" si="3"/>
        <v>10.000000000000004</v>
      </c>
      <c r="I28" s="114">
        <f t="shared" si="3"/>
        <v>-160</v>
      </c>
      <c r="J28" s="114">
        <f t="shared" si="3"/>
        <v>-36</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B34F-4768-4AA8-85D5-89F91FDD1F68}">
  <dimension ref="A1:U70"/>
  <sheetViews>
    <sheetView workbookViewId="0">
      <selection activeCell="B49" sqref="B49:C50"/>
    </sheetView>
  </sheetViews>
  <sheetFormatPr defaultRowHeight="14.4" x14ac:dyDescent="0.3"/>
  <cols>
    <col min="2" max="2" width="10.88671875" bestFit="1" customWidth="1"/>
    <col min="3" max="3" width="12" bestFit="1" customWidth="1"/>
  </cols>
  <sheetData>
    <row r="1" spans="1:21" s="1" customFormat="1" ht="10.199999999999999" x14ac:dyDescent="0.2">
      <c r="A1" s="1" t="s">
        <v>165</v>
      </c>
    </row>
    <row r="2" spans="1:21" s="1" customFormat="1" ht="10.199999999999999" x14ac:dyDescent="0.2">
      <c r="A2" s="1" t="s">
        <v>154</v>
      </c>
    </row>
    <row r="3" spans="1:21" s="1" customFormat="1" ht="10.199999999999999" x14ac:dyDescent="0.2">
      <c r="A3" s="1" t="s">
        <v>129</v>
      </c>
      <c r="U3" s="29"/>
    </row>
    <row r="4" spans="1:21" s="1" customFormat="1" ht="10.199999999999999" x14ac:dyDescent="0.2">
      <c r="U4" s="29"/>
    </row>
    <row r="5" spans="1:21" s="1" customFormat="1" ht="10.199999999999999" x14ac:dyDescent="0.2">
      <c r="A5" s="1" t="s">
        <v>157</v>
      </c>
    </row>
    <row r="6" spans="1:21" s="1" customFormat="1" ht="10.199999999999999" x14ac:dyDescent="0.2">
      <c r="A6" s="1" t="s">
        <v>130</v>
      </c>
    </row>
    <row r="7" spans="1:21" s="1" customFormat="1" ht="10.199999999999999" x14ac:dyDescent="0.2">
      <c r="A7" s="1" t="s">
        <v>158</v>
      </c>
    </row>
    <row r="8" spans="1:21" s="1" customFormat="1" ht="10.199999999999999" x14ac:dyDescent="0.2">
      <c r="A8" s="1" t="s">
        <v>159</v>
      </c>
    </row>
    <row r="9" spans="1:21" s="1" customFormat="1" ht="10.199999999999999" x14ac:dyDescent="0.2">
      <c r="A9" s="1" t="s">
        <v>160</v>
      </c>
    </row>
    <row r="10" spans="1:21" s="1" customFormat="1" ht="10.199999999999999" x14ac:dyDescent="0.2">
      <c r="A10" s="1" t="s">
        <v>162</v>
      </c>
    </row>
    <row r="11" spans="1:21" s="1" customFormat="1" ht="10.199999999999999" x14ac:dyDescent="0.2">
      <c r="A11" s="1" t="s">
        <v>163</v>
      </c>
    </row>
    <row r="12" spans="1:21" s="1" customFormat="1" ht="10.199999999999999" x14ac:dyDescent="0.2">
      <c r="A12" s="1" t="s">
        <v>164</v>
      </c>
    </row>
    <row r="13" spans="1:21" s="1" customFormat="1" ht="10.199999999999999" x14ac:dyDescent="0.2"/>
    <row r="14" spans="1:21" s="1" customFormat="1" ht="10.199999999999999" x14ac:dyDescent="0.2">
      <c r="A14" s="56" t="s">
        <v>147</v>
      </c>
    </row>
    <row r="15" spans="1:21" s="1" customFormat="1" ht="10.199999999999999" x14ac:dyDescent="0.2">
      <c r="A15" s="59" t="s">
        <v>148</v>
      </c>
    </row>
    <row r="16" spans="1:21" s="1" customFormat="1" ht="10.199999999999999" x14ac:dyDescent="0.2"/>
    <row r="17" spans="1:18" s="1" customFormat="1" ht="10.199999999999999" x14ac:dyDescent="0.2">
      <c r="A17" s="25" t="s">
        <v>141</v>
      </c>
      <c r="B17" s="56" t="s">
        <v>151</v>
      </c>
      <c r="C17" s="56"/>
      <c r="D17" s="65" t="s">
        <v>149</v>
      </c>
      <c r="E17" s="74" t="s">
        <v>31</v>
      </c>
      <c r="G17" s="24" t="s">
        <v>150</v>
      </c>
    </row>
    <row r="18" spans="1:18" s="1" customFormat="1" ht="10.199999999999999" x14ac:dyDescent="0.2"/>
    <row r="19" spans="1:18" s="1" customFormat="1" ht="10.199999999999999" x14ac:dyDescent="0.2">
      <c r="A19" s="17" t="s">
        <v>167</v>
      </c>
      <c r="B19" s="18"/>
      <c r="C19" s="18"/>
      <c r="D19" s="18"/>
      <c r="E19" s="79"/>
      <c r="F19" s="51"/>
      <c r="G19" s="17" t="s">
        <v>168</v>
      </c>
      <c r="H19" s="17"/>
      <c r="I19" s="17"/>
      <c r="J19" s="17"/>
      <c r="K19" s="17"/>
      <c r="M19" s="17" t="s">
        <v>169</v>
      </c>
      <c r="N19" s="17"/>
      <c r="O19" s="17"/>
      <c r="P19" s="17"/>
      <c r="Q19" s="17"/>
    </row>
    <row r="20" spans="1:18" s="1" customFormat="1" ht="10.199999999999999" x14ac:dyDescent="0.2">
      <c r="A20" s="17" t="s">
        <v>171</v>
      </c>
      <c r="B20" s="18"/>
      <c r="C20" s="18"/>
      <c r="D20" s="18"/>
      <c r="E20" s="79"/>
      <c r="F20" s="51"/>
      <c r="G20" s="17" t="s">
        <v>172</v>
      </c>
      <c r="H20" s="17"/>
      <c r="I20" s="17"/>
      <c r="J20" s="17"/>
      <c r="K20" s="17"/>
      <c r="M20" s="17" t="s">
        <v>170</v>
      </c>
      <c r="N20" s="17"/>
      <c r="O20" s="17"/>
      <c r="P20" s="17"/>
      <c r="Q20" s="17"/>
    </row>
    <row r="21" spans="1:18" s="1" customFormat="1" ht="10.199999999999999" x14ac:dyDescent="0.2">
      <c r="A21" s="25"/>
      <c r="D21" s="25"/>
    </row>
    <row r="22" spans="1:18" s="1" customFormat="1" x14ac:dyDescent="0.3">
      <c r="A22" s="25"/>
      <c r="B22" s="69" t="s">
        <v>133</v>
      </c>
      <c r="C22" s="69" t="s">
        <v>134</v>
      </c>
      <c r="D22" s="69" t="s">
        <v>135</v>
      </c>
      <c r="G22" s="69" t="s">
        <v>133</v>
      </c>
      <c r="H22" s="69" t="s">
        <v>134</v>
      </c>
      <c r="I22" s="69" t="s">
        <v>135</v>
      </c>
      <c r="K22"/>
      <c r="M22" s="69" t="s">
        <v>133</v>
      </c>
      <c r="N22" s="69" t="s">
        <v>134</v>
      </c>
      <c r="O22" s="69" t="s">
        <v>135</v>
      </c>
      <c r="Q22"/>
    </row>
    <row r="23" spans="1:18" s="1" customFormat="1" x14ac:dyDescent="0.3">
      <c r="A23" s="25" t="s">
        <v>136</v>
      </c>
      <c r="B23" s="55">
        <v>281742</v>
      </c>
      <c r="C23" s="55">
        <v>282412</v>
      </c>
      <c r="D23" s="73">
        <f>C23-B23</f>
        <v>670</v>
      </c>
      <c r="E23" s="29" t="s">
        <v>31</v>
      </c>
      <c r="G23" s="55">
        <v>780000</v>
      </c>
      <c r="H23" s="55">
        <v>790000</v>
      </c>
      <c r="I23" s="61">
        <f>H23-G23</f>
        <v>10000</v>
      </c>
      <c r="J23" s="29" t="s">
        <v>31</v>
      </c>
      <c r="K23"/>
      <c r="M23" s="55">
        <v>780000</v>
      </c>
      <c r="N23" s="55">
        <v>790000</v>
      </c>
      <c r="O23" s="61">
        <f>N23-M23</f>
        <v>10000</v>
      </c>
      <c r="P23" s="29" t="s">
        <v>31</v>
      </c>
      <c r="Q23"/>
    </row>
    <row r="24" spans="1:18" s="1" customFormat="1" x14ac:dyDescent="0.3">
      <c r="A24" s="25" t="s">
        <v>137</v>
      </c>
      <c r="B24" s="55">
        <v>3117814</v>
      </c>
      <c r="C24" s="55">
        <v>3115603</v>
      </c>
      <c r="D24" s="73">
        <f t="shared" ref="D24:D28" si="0">C24-B24</f>
        <v>-2211</v>
      </c>
      <c r="E24" s="29" t="s">
        <v>31</v>
      </c>
      <c r="G24" s="55">
        <v>3330000</v>
      </c>
      <c r="H24" s="55">
        <v>3330000</v>
      </c>
      <c r="I24" s="61">
        <f t="shared" ref="I24:I25" si="1">H24-G24</f>
        <v>0</v>
      </c>
      <c r="J24" s="29" t="s">
        <v>31</v>
      </c>
      <c r="K24"/>
      <c r="M24" s="55">
        <v>3330000</v>
      </c>
      <c r="N24" s="55">
        <v>3330000</v>
      </c>
      <c r="O24" s="61">
        <f t="shared" ref="O24:O25" si="2">N24-M24</f>
        <v>0</v>
      </c>
      <c r="P24" s="29" t="s">
        <v>31</v>
      </c>
      <c r="Q24"/>
    </row>
    <row r="25" spans="1:18" s="1" customFormat="1" x14ac:dyDescent="0.3">
      <c r="A25" s="25" t="s">
        <v>139</v>
      </c>
      <c r="B25" s="56">
        <v>0</v>
      </c>
      <c r="C25" s="56">
        <v>3805.48</v>
      </c>
      <c r="D25" s="74">
        <f t="shared" si="0"/>
        <v>3805.48</v>
      </c>
      <c r="E25" s="29" t="s">
        <v>31</v>
      </c>
      <c r="G25" s="56">
        <v>0</v>
      </c>
      <c r="H25" s="56">
        <v>2000</v>
      </c>
      <c r="I25" s="62">
        <f t="shared" si="1"/>
        <v>2000</v>
      </c>
      <c r="J25" s="29" t="s">
        <v>31</v>
      </c>
      <c r="K25"/>
      <c r="M25" s="56">
        <v>0</v>
      </c>
      <c r="N25" s="56">
        <v>6000</v>
      </c>
      <c r="O25" s="62">
        <f t="shared" si="2"/>
        <v>6000</v>
      </c>
      <c r="P25" s="29" t="s">
        <v>31</v>
      </c>
      <c r="Q25"/>
    </row>
    <row r="26" spans="1:18" ht="11.25" customHeight="1" x14ac:dyDescent="0.3">
      <c r="A26" s="25" t="s">
        <v>109</v>
      </c>
      <c r="B26" s="58">
        <v>-1.05</v>
      </c>
      <c r="C26" s="58">
        <v>-1.046</v>
      </c>
      <c r="D26" s="75">
        <f>C26-B26</f>
        <v>4.0000000000000036E-3</v>
      </c>
      <c r="E26" s="29" t="s">
        <v>25</v>
      </c>
      <c r="G26" s="58">
        <v>1.456</v>
      </c>
      <c r="H26" s="58">
        <v>1.508</v>
      </c>
      <c r="I26" s="64">
        <f>H26-G26</f>
        <v>5.2000000000000046E-2</v>
      </c>
      <c r="J26" s="29" t="s">
        <v>25</v>
      </c>
      <c r="M26" s="58">
        <v>1.456</v>
      </c>
      <c r="N26" s="58">
        <v>1.508</v>
      </c>
      <c r="O26" s="64">
        <f>N26-M26</f>
        <v>5.2000000000000046E-2</v>
      </c>
      <c r="P26" s="29" t="s">
        <v>25</v>
      </c>
    </row>
    <row r="27" spans="1:18" ht="11.25" customHeight="1" x14ac:dyDescent="0.3">
      <c r="A27" s="25" t="s">
        <v>131</v>
      </c>
      <c r="B27" s="57">
        <v>1.0001899999999999</v>
      </c>
      <c r="C27" s="57">
        <v>1.0001800000000001</v>
      </c>
      <c r="D27" s="76">
        <f t="shared" si="0"/>
        <v>-9.9999999998434674E-6</v>
      </c>
      <c r="E27" s="29" t="s">
        <v>140</v>
      </c>
      <c r="G27" s="57">
        <v>1.00057</v>
      </c>
      <c r="H27" s="57">
        <v>1.00064</v>
      </c>
      <c r="I27" s="63">
        <f t="shared" ref="I27:I28" si="3">H27-G27</f>
        <v>7.0000000000014495E-5</v>
      </c>
      <c r="J27" s="29" t="s">
        <v>140</v>
      </c>
      <c r="M27" s="57">
        <v>1.00057</v>
      </c>
      <c r="N27" s="57">
        <v>1.00064</v>
      </c>
      <c r="O27" s="63">
        <f t="shared" ref="O27:O28" si="4">N27-M27</f>
        <v>7.0000000000014495E-5</v>
      </c>
      <c r="P27" s="29" t="s">
        <v>140</v>
      </c>
    </row>
    <row r="28" spans="1:18" ht="11.25" customHeight="1" x14ac:dyDescent="0.3">
      <c r="A28" s="25" t="s">
        <v>132</v>
      </c>
      <c r="B28" s="67">
        <f>6371000/(6371000-B25)</f>
        <v>1</v>
      </c>
      <c r="C28" s="67">
        <f>6371000/(6371000-C25)</f>
        <v>1.0005976698195802</v>
      </c>
      <c r="D28" s="76">
        <f t="shared" si="0"/>
        <v>5.9766981958020438E-4</v>
      </c>
      <c r="E28" s="29" t="s">
        <v>140</v>
      </c>
      <c r="G28" s="67">
        <f>6371000/(6371000-G25)</f>
        <v>1</v>
      </c>
      <c r="H28" s="67">
        <f>6371000/(6371000-H25)</f>
        <v>1.0003140210394097</v>
      </c>
      <c r="I28" s="63">
        <f t="shared" si="3"/>
        <v>3.1402103940969539E-4</v>
      </c>
      <c r="J28" s="29" t="s">
        <v>140</v>
      </c>
      <c r="M28" s="67">
        <f>6371000/(6371000-M25)</f>
        <v>1</v>
      </c>
      <c r="N28" s="67">
        <f>6371000/(6371000-N25)</f>
        <v>1.000942655145326</v>
      </c>
      <c r="O28" s="63">
        <f t="shared" si="4"/>
        <v>9.4265514532598793E-4</v>
      </c>
      <c r="P28" s="29" t="s">
        <v>140</v>
      </c>
    </row>
    <row r="29" spans="1:18" ht="11.25" customHeight="1" x14ac:dyDescent="0.3"/>
    <row r="30" spans="1:18" ht="11.25" customHeight="1" x14ac:dyDescent="0.3">
      <c r="A30" s="1" t="s">
        <v>156</v>
      </c>
      <c r="E30" s="69" t="s">
        <v>155</v>
      </c>
      <c r="J30" s="69" t="s">
        <v>155</v>
      </c>
      <c r="P30" s="69" t="s">
        <v>155</v>
      </c>
    </row>
    <row r="31" spans="1:18" ht="11.25" customHeight="1" x14ac:dyDescent="0.3">
      <c r="A31" s="1" t="s">
        <v>138</v>
      </c>
      <c r="B31" s="60">
        <f>SQRT(SUMSQ(D23:D24))</f>
        <v>2310.2859130419333</v>
      </c>
      <c r="C31" s="60">
        <f>SQRT(SUMSQ(D23:D24))</f>
        <v>2310.2859130419333</v>
      </c>
      <c r="D31" s="77">
        <f t="shared" ref="D31:D33" si="5">C31-B31</f>
        <v>0</v>
      </c>
      <c r="E31" s="71"/>
      <c r="F31" s="29" t="s">
        <v>31</v>
      </c>
      <c r="G31" s="60">
        <f>SQRT(SUMSQ(I23:I24))</f>
        <v>10000</v>
      </c>
      <c r="H31" s="60">
        <f>SQRT(SUMSQ(I23:I24))</f>
        <v>10000</v>
      </c>
      <c r="I31" s="68">
        <f t="shared" ref="I31:I35" si="6">H31-G31</f>
        <v>0</v>
      </c>
      <c r="K31" s="29" t="s">
        <v>31</v>
      </c>
      <c r="M31" s="60">
        <f>SQRT(SUMSQ(O23:O24))</f>
        <v>10000</v>
      </c>
      <c r="N31" s="60">
        <f>SQRT(SUMSQ(O23:O24))</f>
        <v>10000</v>
      </c>
      <c r="O31" s="68">
        <f t="shared" ref="O31:O35" si="7">N31-M31</f>
        <v>0</v>
      </c>
      <c r="Q31" s="29" t="s">
        <v>31</v>
      </c>
      <c r="R31" s="1" t="s">
        <v>166</v>
      </c>
    </row>
    <row r="32" spans="1:18" ht="11.25" customHeight="1" x14ac:dyDescent="0.3">
      <c r="A32" s="1" t="s">
        <v>142</v>
      </c>
      <c r="B32" s="60">
        <f>B31*B27</f>
        <v>2310.7248673654112</v>
      </c>
      <c r="C32" s="60">
        <f>C31*C27</f>
        <v>2310.7017645062811</v>
      </c>
      <c r="D32" s="77">
        <f t="shared" si="5"/>
        <v>-2.3102859130176512E-2</v>
      </c>
      <c r="E32" s="72">
        <f>D32/2</f>
        <v>-1.1551429565088256E-2</v>
      </c>
      <c r="F32" s="29" t="s">
        <v>31</v>
      </c>
      <c r="G32" s="60">
        <f>G31*G27</f>
        <v>10005.699999999999</v>
      </c>
      <c r="H32" s="60">
        <f>H31*H27</f>
        <v>10006.4</v>
      </c>
      <c r="I32" s="68">
        <f t="shared" si="6"/>
        <v>0.7000000000007276</v>
      </c>
      <c r="J32" s="72">
        <f>I32/2</f>
        <v>0.3500000000003638</v>
      </c>
      <c r="K32" s="29" t="s">
        <v>31</v>
      </c>
      <c r="M32" s="60">
        <f>M31*M27</f>
        <v>10005.699999999999</v>
      </c>
      <c r="N32" s="60">
        <f>N31*N27</f>
        <v>10006.4</v>
      </c>
      <c r="O32" s="68">
        <f t="shared" si="7"/>
        <v>0.7000000000007276</v>
      </c>
      <c r="P32" s="72">
        <f>O32/2</f>
        <v>0.3500000000003638</v>
      </c>
      <c r="Q32" s="29" t="s">
        <v>31</v>
      </c>
      <c r="R32" s="1" t="s">
        <v>153</v>
      </c>
    </row>
    <row r="33" spans="1:18" ht="11.25" customHeight="1" x14ac:dyDescent="0.3">
      <c r="A33" s="66" t="s">
        <v>56</v>
      </c>
      <c r="B33" s="60">
        <f>B32-B31</f>
        <v>0.4389543234779012</v>
      </c>
      <c r="C33" s="60">
        <f>C32-C31</f>
        <v>0.41585146434772469</v>
      </c>
      <c r="D33" s="77">
        <f t="shared" si="5"/>
        <v>-2.3102859130176512E-2</v>
      </c>
      <c r="E33" s="72">
        <f>AVERAGE(C33,B33)</f>
        <v>0.42740289391281294</v>
      </c>
      <c r="F33" s="29" t="s">
        <v>31</v>
      </c>
      <c r="G33" s="60">
        <f>G32-G31</f>
        <v>5.6999999999989086</v>
      </c>
      <c r="H33" s="60">
        <f>H32-H31</f>
        <v>6.3999999999996362</v>
      </c>
      <c r="I33" s="68">
        <f t="shared" si="6"/>
        <v>0.7000000000007276</v>
      </c>
      <c r="J33" s="72">
        <f>AVERAGE(H33,G33)</f>
        <v>6.0499999999992724</v>
      </c>
      <c r="K33" s="29" t="s">
        <v>31</v>
      </c>
      <c r="M33" s="60">
        <f>M32-M31</f>
        <v>5.6999999999989086</v>
      </c>
      <c r="N33" s="60">
        <f>N32-N31</f>
        <v>6.3999999999996362</v>
      </c>
      <c r="O33" s="68">
        <f t="shared" si="7"/>
        <v>0.7000000000007276</v>
      </c>
      <c r="P33" s="72">
        <f>AVERAGE(N33,M33)</f>
        <v>6.0499999999992724</v>
      </c>
      <c r="Q33" s="29" t="s">
        <v>31</v>
      </c>
      <c r="R33" s="1" t="s">
        <v>161</v>
      </c>
    </row>
    <row r="34" spans="1:18" ht="11.25" customHeight="1" x14ac:dyDescent="0.3">
      <c r="A34" s="1" t="s">
        <v>152</v>
      </c>
      <c r="B34" s="60">
        <f>B31*TAN(RADIANS(B26))</f>
        <v>-42.342940904455219</v>
      </c>
      <c r="C34" s="60">
        <f>C31*TAN(RADIANS(C26))</f>
        <v>-42.181598547921965</v>
      </c>
      <c r="D34" s="77">
        <f>C34-B34</f>
        <v>0.16134235653325391</v>
      </c>
      <c r="E34" s="72">
        <f>D34/2</f>
        <v>8.0671178266626953E-2</v>
      </c>
      <c r="F34" s="29" t="s">
        <v>31</v>
      </c>
      <c r="G34" s="60">
        <f>G31*TAN(RADIANS(G26))</f>
        <v>254.17465418686746</v>
      </c>
      <c r="H34" s="60">
        <f>H31*TAN(RADIANS(H26))</f>
        <v>263.25644163243311</v>
      </c>
      <c r="I34" s="68">
        <f t="shared" si="6"/>
        <v>9.0817874455656522</v>
      </c>
      <c r="J34" s="72">
        <f>I34/2</f>
        <v>4.5408937227828261</v>
      </c>
      <c r="K34" s="29" t="s">
        <v>31</v>
      </c>
      <c r="M34" s="60">
        <f>M31*TAN(RADIANS(M26))</f>
        <v>254.17465418686746</v>
      </c>
      <c r="N34" s="60">
        <f>N31*TAN(RADIANS(N26))</f>
        <v>263.25644163243311</v>
      </c>
      <c r="O34" s="68">
        <f t="shared" si="7"/>
        <v>9.0817874455656522</v>
      </c>
      <c r="P34" s="72">
        <f>O34/2</f>
        <v>4.5408937227828261</v>
      </c>
      <c r="Q34" s="29" t="s">
        <v>31</v>
      </c>
      <c r="R34" s="1" t="s">
        <v>143</v>
      </c>
    </row>
    <row r="35" spans="1:18" ht="11.25" customHeight="1" x14ac:dyDescent="0.3">
      <c r="A35" s="1" t="s">
        <v>144</v>
      </c>
      <c r="B35" s="60">
        <f>B31*B28</f>
        <v>2310.2859130419333</v>
      </c>
      <c r="C35" s="60">
        <f>C31*C28</f>
        <v>2311.6667012067596</v>
      </c>
      <c r="D35" s="68">
        <f t="shared" ref="D35" si="8">C35-B35</f>
        <v>1.3807881648262992</v>
      </c>
      <c r="F35" s="29" t="s">
        <v>31</v>
      </c>
      <c r="G35" s="60">
        <f>G31*G28</f>
        <v>10000</v>
      </c>
      <c r="H35" s="60">
        <f>H31*H28</f>
        <v>10003.140210394096</v>
      </c>
      <c r="I35" s="68">
        <f t="shared" si="6"/>
        <v>3.140210394096357</v>
      </c>
      <c r="K35" s="29" t="s">
        <v>31</v>
      </c>
      <c r="M35" s="60">
        <f>M31*M28</f>
        <v>10000</v>
      </c>
      <c r="N35" s="60">
        <f>N31*N28</f>
        <v>10009.42655145326</v>
      </c>
      <c r="O35" s="61">
        <f t="shared" si="7"/>
        <v>9.42655145325989</v>
      </c>
      <c r="Q35" s="29" t="s">
        <v>31</v>
      </c>
      <c r="R35" s="1" t="s">
        <v>145</v>
      </c>
    </row>
    <row r="36" spans="1:18" ht="11.25" customHeight="1" x14ac:dyDescent="0.3">
      <c r="A36" s="80" t="s">
        <v>146</v>
      </c>
      <c r="E36" s="78">
        <f>SQRT(SUMSQ(E33,E34))</f>
        <v>0.43494950595209686</v>
      </c>
      <c r="F36" s="29" t="s">
        <v>31</v>
      </c>
      <c r="J36" s="78">
        <f>SQRT(SUMSQ(J33,J34))</f>
        <v>7.5645367208838161</v>
      </c>
      <c r="K36" s="29" t="s">
        <v>31</v>
      </c>
      <c r="P36" s="78">
        <f>SQRT(SUMSQ(P33,P34))</f>
        <v>7.5645367208838161</v>
      </c>
      <c r="Q36" s="29" t="s">
        <v>31</v>
      </c>
    </row>
    <row r="37" spans="1:18" ht="11.25" customHeight="1" x14ac:dyDescent="0.3">
      <c r="A37" s="1"/>
      <c r="G37" s="1"/>
    </row>
    <row r="38" spans="1:18" ht="11.25" customHeight="1" x14ac:dyDescent="0.3">
      <c r="A38" s="1"/>
    </row>
    <row r="39" spans="1:18" ht="11.25" customHeight="1" x14ac:dyDescent="0.3"/>
    <row r="40" spans="1:18" ht="11.25" customHeight="1" x14ac:dyDescent="0.3"/>
    <row r="41" spans="1:18" ht="11.25" customHeight="1" x14ac:dyDescent="0.3"/>
    <row r="42" spans="1:18" ht="11.25" customHeight="1" x14ac:dyDescent="0.3">
      <c r="F42" s="70"/>
    </row>
    <row r="43" spans="1:18" ht="11.25" customHeight="1" x14ac:dyDescent="0.3">
      <c r="A43" s="107"/>
      <c r="B43" s="107" t="s">
        <v>133</v>
      </c>
      <c r="C43" s="107" t="s">
        <v>134</v>
      </c>
      <c r="F43" s="70"/>
    </row>
    <row r="44" spans="1:18" ht="11.25" customHeight="1" x14ac:dyDescent="0.3">
      <c r="A44" s="107" t="s">
        <v>184</v>
      </c>
      <c r="B44" s="110">
        <v>10229028.359999999</v>
      </c>
      <c r="C44" s="110">
        <v>10221773.942557655</v>
      </c>
      <c r="F44" s="70"/>
    </row>
    <row r="45" spans="1:18" ht="11.25" customHeight="1" x14ac:dyDescent="0.3">
      <c r="A45" s="107" t="s">
        <v>185</v>
      </c>
      <c r="B45" s="110">
        <v>924348.57</v>
      </c>
      <c r="C45" s="110">
        <v>926545.9062456903</v>
      </c>
      <c r="F45" s="70"/>
    </row>
    <row r="46" spans="1:18" ht="11.25" customHeight="1" x14ac:dyDescent="0.3">
      <c r="A46" s="107" t="s">
        <v>186</v>
      </c>
      <c r="B46" s="110">
        <v>0</v>
      </c>
      <c r="C46" s="110">
        <v>3805.482511057206</v>
      </c>
    </row>
    <row r="47" spans="1:18" ht="11.25" customHeight="1" x14ac:dyDescent="0.3">
      <c r="A47" s="107" t="s">
        <v>187</v>
      </c>
      <c r="B47" s="110">
        <v>3117814.0797561593</v>
      </c>
      <c r="C47" s="110">
        <v>3115602.9288974311</v>
      </c>
    </row>
    <row r="48" spans="1:18" ht="11.25" customHeight="1" x14ac:dyDescent="0.3">
      <c r="A48" s="107" t="s">
        <v>188</v>
      </c>
      <c r="B48" s="110">
        <v>281742.00762001524</v>
      </c>
      <c r="C48" s="110">
        <v>282411.75704720052</v>
      </c>
    </row>
    <row r="49" spans="1:7" ht="11.25" customHeight="1" x14ac:dyDescent="0.3">
      <c r="A49" s="107" t="s">
        <v>189</v>
      </c>
      <c r="B49" s="108">
        <v>-1.05</v>
      </c>
      <c r="C49" s="108">
        <v>-1.0458400000000001</v>
      </c>
    </row>
    <row r="50" spans="1:7" ht="11.25" customHeight="1" x14ac:dyDescent="0.3">
      <c r="A50" s="107" t="s">
        <v>190</v>
      </c>
      <c r="B50" s="109">
        <v>1.0001880000000001</v>
      </c>
      <c r="C50" s="109">
        <v>1.0001844</v>
      </c>
    </row>
    <row r="51" spans="1:7" ht="11.25" customHeight="1" x14ac:dyDescent="0.3">
      <c r="G51" s="1"/>
    </row>
    <row r="52" spans="1:7" ht="11.25" customHeight="1" x14ac:dyDescent="0.3"/>
    <row r="53" spans="1:7" ht="11.25" customHeight="1" x14ac:dyDescent="0.3">
      <c r="G53" s="1"/>
    </row>
    <row r="54" spans="1:7" ht="11.25" customHeight="1" x14ac:dyDescent="0.3"/>
    <row r="55" spans="1:7" ht="11.25" customHeight="1" x14ac:dyDescent="0.3"/>
    <row r="56" spans="1:7" ht="11.25" customHeight="1" x14ac:dyDescent="0.3"/>
    <row r="57" spans="1:7" ht="11.25" customHeight="1" x14ac:dyDescent="0.3"/>
    <row r="58" spans="1:7" ht="11.25" customHeight="1" x14ac:dyDescent="0.3"/>
    <row r="59" spans="1:7" ht="11.25" customHeight="1" x14ac:dyDescent="0.3"/>
    <row r="60" spans="1:7" ht="11.25" customHeight="1" x14ac:dyDescent="0.3"/>
    <row r="61" spans="1:7" ht="11.25" customHeight="1" x14ac:dyDescent="0.3"/>
    <row r="62" spans="1:7" ht="11.25" customHeight="1" x14ac:dyDescent="0.3"/>
    <row r="63" spans="1:7" ht="11.25" customHeight="1" x14ac:dyDescent="0.3"/>
    <row r="64" spans="1:7" ht="11.25" customHeight="1" x14ac:dyDescent="0.3"/>
    <row r="65" ht="11.25" customHeight="1" x14ac:dyDescent="0.3"/>
    <row r="66" ht="11.25" customHeight="1" x14ac:dyDescent="0.3"/>
    <row r="67" ht="11.25" customHeight="1" x14ac:dyDescent="0.3"/>
    <row r="68" ht="11.25" customHeight="1" x14ac:dyDescent="0.3"/>
    <row r="69" ht="11.25" customHeight="1" x14ac:dyDescent="0.3"/>
    <row r="70" ht="11.25" customHeigh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BC4E-5659-4876-9F92-C6CE59D427AD}">
  <dimension ref="A1:AF233"/>
  <sheetViews>
    <sheetView zoomScale="115" zoomScaleNormal="115" workbookViewId="0">
      <pane ySplit="20" topLeftCell="A21" activePane="bottomLeft" state="frozen"/>
      <selection pane="bottomLeft" activeCell="E21" sqref="E21"/>
    </sheetView>
  </sheetViews>
  <sheetFormatPr defaultColWidth="9.109375" defaultRowHeight="10.199999999999999" x14ac:dyDescent="0.2"/>
  <cols>
    <col min="1" max="1" width="7.88671875" style="93" customWidth="1"/>
    <col min="2" max="2" width="8.109375" style="93" bestFit="1" customWidth="1"/>
    <col min="3" max="3" width="7.6640625" style="93" bestFit="1" customWidth="1"/>
    <col min="4" max="4" width="3" style="93" customWidth="1"/>
    <col min="5" max="5" width="11.33203125" style="93" bestFit="1" customWidth="1"/>
    <col min="6" max="6" width="10.44140625" style="93" bestFit="1" customWidth="1"/>
    <col min="7" max="7" width="3.109375" style="93" customWidth="1"/>
    <col min="8" max="9" width="10.5546875" style="93" customWidth="1"/>
    <col min="10" max="12" width="7.109375" style="93" customWidth="1"/>
    <col min="13" max="15" width="7.6640625" style="93" customWidth="1"/>
    <col min="16" max="16" width="3.109375" style="93" customWidth="1"/>
    <col min="17" max="24" width="9.109375" style="93"/>
    <col min="25" max="25" width="3.109375" style="93" customWidth="1"/>
    <col min="26" max="26" width="9.109375" style="93" customWidth="1"/>
    <col min="27" max="29" width="9.109375" style="93"/>
    <col min="30" max="32" width="7.6640625" style="93" customWidth="1"/>
    <col min="33" max="16384" width="9.109375" style="93"/>
  </cols>
  <sheetData>
    <row r="1" spans="1:23" x14ac:dyDescent="0.2">
      <c r="A1" s="93" t="s">
        <v>192</v>
      </c>
      <c r="I1" s="93" t="s">
        <v>107</v>
      </c>
      <c r="Q1" s="93" t="s">
        <v>206</v>
      </c>
    </row>
    <row r="2" spans="1:23" x14ac:dyDescent="0.2">
      <c r="A2" s="93" t="s">
        <v>154</v>
      </c>
      <c r="I2" s="93" t="s">
        <v>108</v>
      </c>
    </row>
    <row r="3" spans="1:23" x14ac:dyDescent="0.2">
      <c r="A3" s="93" t="s">
        <v>193</v>
      </c>
    </row>
    <row r="5" spans="1:23" x14ac:dyDescent="0.2">
      <c r="A5" s="25" t="s">
        <v>44</v>
      </c>
    </row>
    <row r="6" spans="1:23" x14ac:dyDescent="0.2">
      <c r="B6" s="93" t="s">
        <v>22</v>
      </c>
      <c r="E6" s="93" t="s">
        <v>173</v>
      </c>
      <c r="I6" s="29" t="s">
        <v>93</v>
      </c>
    </row>
    <row r="7" spans="1:23" x14ac:dyDescent="0.2">
      <c r="B7" s="93" t="s">
        <v>21</v>
      </c>
      <c r="E7" s="8" t="s">
        <v>17</v>
      </c>
      <c r="I7" s="29" t="s">
        <v>92</v>
      </c>
    </row>
    <row r="8" spans="1:23" x14ac:dyDescent="0.2">
      <c r="B8" s="93" t="s">
        <v>35</v>
      </c>
      <c r="E8" s="93" t="s">
        <v>66</v>
      </c>
      <c r="I8" s="29" t="s">
        <v>67</v>
      </c>
    </row>
    <row r="9" spans="1:23" x14ac:dyDescent="0.2">
      <c r="A9" s="25" t="s">
        <v>45</v>
      </c>
    </row>
    <row r="10" spans="1:23" x14ac:dyDescent="0.2">
      <c r="B10" s="93" t="s">
        <v>47</v>
      </c>
      <c r="E10" s="93" t="s">
        <v>174</v>
      </c>
    </row>
    <row r="11" spans="1:23" x14ac:dyDescent="0.2">
      <c r="B11" s="93" t="s">
        <v>48</v>
      </c>
      <c r="E11" s="93">
        <v>6081740479</v>
      </c>
    </row>
    <row r="12" spans="1:23" x14ac:dyDescent="0.2">
      <c r="A12" s="25" t="s">
        <v>46</v>
      </c>
    </row>
    <row r="13" spans="1:23" x14ac:dyDescent="0.2">
      <c r="B13" s="93" t="s">
        <v>47</v>
      </c>
      <c r="E13" s="93" t="s">
        <v>175</v>
      </c>
      <c r="U13" s="18" t="s">
        <v>238</v>
      </c>
      <c r="W13" s="18" t="s">
        <v>239</v>
      </c>
    </row>
    <row r="14" spans="1:23" x14ac:dyDescent="0.2">
      <c r="B14" s="93" t="s">
        <v>49</v>
      </c>
      <c r="E14" s="91">
        <v>608174047904</v>
      </c>
      <c r="U14" s="93" t="s">
        <v>237</v>
      </c>
      <c r="W14" s="93" t="s">
        <v>240</v>
      </c>
    </row>
    <row r="15" spans="1:23" x14ac:dyDescent="0.2">
      <c r="A15" s="25" t="s">
        <v>73</v>
      </c>
      <c r="E15" s="93" t="s">
        <v>72</v>
      </c>
    </row>
    <row r="18" spans="1:32" x14ac:dyDescent="0.2">
      <c r="A18" s="17" t="s">
        <v>11</v>
      </c>
      <c r="B18" s="18"/>
      <c r="C18" s="18"/>
      <c r="D18" s="18"/>
      <c r="E18" s="18"/>
      <c r="F18" s="18"/>
      <c r="H18" s="13" t="s">
        <v>9</v>
      </c>
      <c r="I18" s="14"/>
      <c r="J18" s="14"/>
      <c r="K18" s="14"/>
      <c r="L18" s="14"/>
      <c r="M18" s="14"/>
      <c r="N18" s="14"/>
      <c r="O18" s="14"/>
      <c r="Q18" s="16" t="s">
        <v>236</v>
      </c>
      <c r="R18" s="16"/>
      <c r="S18" s="16"/>
      <c r="T18" s="16"/>
      <c r="U18" s="16"/>
      <c r="V18" s="16"/>
      <c r="W18" s="16"/>
      <c r="X18" s="16"/>
      <c r="Y18" s="16"/>
      <c r="Z18" s="16"/>
      <c r="AA18" s="16"/>
      <c r="AB18" s="16"/>
      <c r="AC18" s="16"/>
      <c r="AD18" s="16"/>
      <c r="AE18" s="16"/>
      <c r="AF18" s="16"/>
    </row>
    <row r="19" spans="1:32" x14ac:dyDescent="0.2">
      <c r="E19" s="111" t="s">
        <v>210</v>
      </c>
      <c r="F19" s="111" t="s">
        <v>211</v>
      </c>
      <c r="H19" s="111" t="s">
        <v>205</v>
      </c>
      <c r="M19" s="29" t="str">
        <f>CONCATENATE("(oriented """,E7,""")")</f>
        <v>(oriented "Grid North")</v>
      </c>
      <c r="Q19" s="71" t="str">
        <f>E6</f>
        <v>ft</v>
      </c>
      <c r="R19" s="71" t="str">
        <f>E6</f>
        <v>ft</v>
      </c>
      <c r="S19" s="71" t="str">
        <f>E6</f>
        <v>ft</v>
      </c>
      <c r="T19" s="111" t="s">
        <v>204</v>
      </c>
      <c r="U19" s="111" t="s">
        <v>209</v>
      </c>
      <c r="W19" s="111" t="s">
        <v>203</v>
      </c>
    </row>
    <row r="20" spans="1:32" s="2" customFormat="1" x14ac:dyDescent="0.3">
      <c r="A20" s="11" t="str">
        <f>CONCATENATE("MD [",$E6,"]")</f>
        <v>MD [ft]</v>
      </c>
      <c r="B20" s="12" t="s">
        <v>2</v>
      </c>
      <c r="C20" s="12" t="s">
        <v>3</v>
      </c>
      <c r="E20" s="2" t="s">
        <v>1</v>
      </c>
      <c r="F20" s="2" t="s">
        <v>0</v>
      </c>
      <c r="H20" s="12" t="s">
        <v>5</v>
      </c>
      <c r="I20" s="2" t="s">
        <v>4</v>
      </c>
      <c r="J20" s="2" t="str">
        <f>CONCATENATE("dn [",$E6,"]")</f>
        <v>dn [ft]</v>
      </c>
      <c r="K20" s="2" t="str">
        <f>CONCATENATE("de [",$E6,"]")</f>
        <v>de [ft]</v>
      </c>
      <c r="L20" s="2" t="str">
        <f>CONCATENATE("dd [",$E6,"]")</f>
        <v>dd [ft]</v>
      </c>
      <c r="M20" s="7" t="str">
        <f>CONCATENATE("n [",$E6,"]")</f>
        <v>n [ft]</v>
      </c>
      <c r="N20" s="7" t="str">
        <f>CONCATENATE("e [",$E6,"]")</f>
        <v>e [ft]</v>
      </c>
      <c r="O20" s="7" t="str">
        <f>CONCATENATE("d [",$E6,"]")</f>
        <v>d [ft]</v>
      </c>
      <c r="Q20" s="2" t="s">
        <v>194</v>
      </c>
      <c r="R20" s="2" t="s">
        <v>195</v>
      </c>
      <c r="S20" s="2" t="s">
        <v>196</v>
      </c>
      <c r="T20" s="2" t="s">
        <v>200</v>
      </c>
      <c r="U20" s="2" t="s">
        <v>202</v>
      </c>
      <c r="V20" s="7" t="s">
        <v>198</v>
      </c>
      <c r="W20" s="2" t="s">
        <v>201</v>
      </c>
      <c r="X20" s="7" t="s">
        <v>199</v>
      </c>
      <c r="Z20" s="2" t="s">
        <v>197</v>
      </c>
      <c r="AA20" s="2" t="s">
        <v>212</v>
      </c>
      <c r="AB20" s="2" t="s">
        <v>213</v>
      </c>
      <c r="AC20" s="2" t="s">
        <v>214</v>
      </c>
      <c r="AD20" s="7" t="str">
        <f>CONCATENATE("n_i [",$E6,"]")</f>
        <v>n_i [ft]</v>
      </c>
      <c r="AE20" s="7" t="str">
        <f>CONCATENATE("e_i [",$E6,"]")</f>
        <v>e_i [ft]</v>
      </c>
      <c r="AF20" s="7" t="str">
        <f>CONCATENATE("d_i [",$E6,"]")</f>
        <v>d_i [ft]</v>
      </c>
    </row>
    <row r="21" spans="1:32" x14ac:dyDescent="0.2">
      <c r="A21" s="3">
        <v>0</v>
      </c>
      <c r="B21" s="3">
        <v>0</v>
      </c>
      <c r="C21" s="3">
        <v>55.47</v>
      </c>
      <c r="E21" s="93">
        <f>RADIANS(B21)</f>
        <v>0</v>
      </c>
      <c r="F21" s="93">
        <f>RADIANS(C21)</f>
        <v>0.96813413608125454</v>
      </c>
      <c r="M21" s="8">
        <v>0</v>
      </c>
      <c r="N21" s="8">
        <v>0</v>
      </c>
      <c r="O21" s="8">
        <v>0</v>
      </c>
    </row>
    <row r="22" spans="1:32" x14ac:dyDescent="0.2">
      <c r="A22" s="3">
        <v>3137</v>
      </c>
      <c r="B22" s="3">
        <v>0</v>
      </c>
      <c r="C22" s="3">
        <v>55.47</v>
      </c>
      <c r="E22" s="93">
        <f t="shared" ref="E22:F37" si="0">RADIANS(B22)</f>
        <v>0</v>
      </c>
      <c r="F22" s="93">
        <f t="shared" si="0"/>
        <v>0.96813413608125454</v>
      </c>
      <c r="H22" s="86">
        <f>ACOS(MAX(-1,MIN(1, COS(E22-E21)-SIN(E21)*SIN(E22)*(1-COS(F22-F21)))))</f>
        <v>0</v>
      </c>
      <c r="I22" s="86">
        <f>IF(H22=0, 1, 2*TAN(H22/2)/H22)</f>
        <v>1</v>
      </c>
      <c r="J22" s="108">
        <f>0.5*(A22-A21)*I22 * (SIN(E21)*COS(F21) + SIN(E22)*COS(F22))</f>
        <v>0</v>
      </c>
      <c r="K22" s="108">
        <f>0.5*(A22-A21)*I22 * (SIN(E21)*SIN(F21) + SIN(E22)*SIN(F22))</f>
        <v>0</v>
      </c>
      <c r="L22" s="108">
        <f>0.5*(A22-A21)*I22 * (COS(E21) + COS(E22))</f>
        <v>3137</v>
      </c>
      <c r="M22" s="95">
        <f>M21+J22</f>
        <v>0</v>
      </c>
      <c r="N22" s="95">
        <f t="shared" ref="N22:O37" si="1">N21+K22</f>
        <v>0</v>
      </c>
      <c r="O22" s="95">
        <f t="shared" si="1"/>
        <v>3137</v>
      </c>
      <c r="Q22" s="18">
        <v>100</v>
      </c>
      <c r="R22" s="93">
        <f t="shared" ref="R22:R26" si="2">IF(OR(Q22&lt;A21, Q22&gt;A22), "error", Q22-A21)</f>
        <v>100</v>
      </c>
      <c r="S22" s="93">
        <f t="shared" ref="S22:S26" si="3">A22-A21</f>
        <v>3137</v>
      </c>
      <c r="T22" s="93">
        <f t="shared" ref="T22:T26" si="4">H22 * (R22/S22)</f>
        <v>0</v>
      </c>
      <c r="U22" s="109">
        <f>IF(T22=0, E21, ACOS( (SIN(H22-T22)/SIN(H22))*COS(E21) + (SIN(T22)/SIN(H22))*COS(E22)  ))</f>
        <v>0</v>
      </c>
      <c r="V22" s="108">
        <f t="shared" ref="V22:V26" si="5">DEGREES(U22)</f>
        <v>0</v>
      </c>
      <c r="W22" s="93">
        <f>IF(T22=0, F21, ATAN2( SIN(E21)*COS(F21)*SIN(H22-T22) + SIN(E22)*COS(F22)*SIN(T22), SIN(E21)*SIN(F21)*SIN(H22-T22) + SIN(E22)*SIN(F22)*SIN(T22) ))</f>
        <v>0.96813413608125454</v>
      </c>
      <c r="X22" s="108">
        <f t="shared" ref="X22:X26" si="6">MOD(DEGREES(W22), 360)</f>
        <v>55.47</v>
      </c>
      <c r="Y22" s="95"/>
      <c r="Z22" s="86">
        <f t="shared" ref="Z22:Z26" si="7">IF(T22=0, 1, 2*TAN(T22/2)/T22)</f>
        <v>1</v>
      </c>
      <c r="AA22" s="108">
        <f>0.5*R22*Z22 * (SIN(E21)*COS(F21) + SIN(U22)*COS(W22))</f>
        <v>0</v>
      </c>
      <c r="AB22" s="108">
        <f>0.5*R22*Z22 * (SIN(E21)*SIN(F21) + SIN(U22)*SIN(W22))</f>
        <v>0</v>
      </c>
      <c r="AC22" s="108">
        <f>0.5*R22*Z22 * (COS(E21) + COS(U22))</f>
        <v>100</v>
      </c>
      <c r="AD22" s="110">
        <f t="shared" ref="AD22:AD26" si="8">M21+AA22</f>
        <v>0</v>
      </c>
      <c r="AE22" s="110">
        <f t="shared" ref="AE22:AE26" si="9">N21+AB22</f>
        <v>0</v>
      </c>
      <c r="AF22" s="110">
        <f t="shared" ref="AF22:AF26" si="10">O21+AC22</f>
        <v>100</v>
      </c>
    </row>
    <row r="23" spans="1:32" x14ac:dyDescent="0.2">
      <c r="A23" s="3">
        <v>3150</v>
      </c>
      <c r="B23" s="3">
        <v>0.83</v>
      </c>
      <c r="C23" s="3">
        <v>55.47</v>
      </c>
      <c r="E23" s="93">
        <f t="shared" si="0"/>
        <v>1.4486232791552934E-2</v>
      </c>
      <c r="F23" s="93">
        <f t="shared" si="0"/>
        <v>0.96813413608125454</v>
      </c>
      <c r="H23" s="86">
        <f t="shared" ref="H23:H86" si="11">ACOS(MAX(-1,MIN(1, COS(E23-E22)-SIN(E22)*SIN(E23)*(1-COS(F23-F22)))))</f>
        <v>1.4486232791551368E-2</v>
      </c>
      <c r="I23" s="86">
        <f t="shared" ref="I23:I86" si="12">IF(H23=0, 1, 2*TAN(H23/2)/H23)</f>
        <v>1.0000174879453605</v>
      </c>
      <c r="J23" s="108">
        <f t="shared" ref="J23:J86" si="13">0.5*(A23-A22)*I23 * (SIN(E22)*COS(F22) + SIN(E23)*COS(F23))</f>
        <v>5.3372792574907055E-2</v>
      </c>
      <c r="K23" s="108">
        <f t="shared" ref="K23:K86" si="14">0.5*(A23-A22)*I23 * (SIN(E22)*SIN(F22) + SIN(E23)*SIN(F23))</f>
        <v>7.7570852493516751E-2</v>
      </c>
      <c r="L23" s="108">
        <f t="shared" ref="L23:L86" si="15">0.5*(A23-A22)*I23 * (COS(E22) + COS(E23))</f>
        <v>12.999545327732967</v>
      </c>
      <c r="M23" s="95">
        <f t="shared" ref="M23:O38" si="16">M22+J23</f>
        <v>5.3372792574907055E-2</v>
      </c>
      <c r="N23" s="95">
        <f t="shared" si="1"/>
        <v>7.7570852493516751E-2</v>
      </c>
      <c r="O23" s="95">
        <f t="shared" si="1"/>
        <v>3149.9995453277329</v>
      </c>
      <c r="Q23" s="18">
        <v>3140</v>
      </c>
      <c r="R23" s="93">
        <f t="shared" si="2"/>
        <v>3</v>
      </c>
      <c r="S23" s="93">
        <f t="shared" si="3"/>
        <v>13</v>
      </c>
      <c r="T23" s="93">
        <f t="shared" si="4"/>
        <v>3.342976798050316E-3</v>
      </c>
      <c r="U23" s="109">
        <f>IF(T23=0, E22, ACOS( (SIN(H23-T23)/SIN(H23))*COS(E22) + (SIN(T23)/SIN(H23))*COS(E23)  ))</f>
        <v>3.3429767980448499E-3</v>
      </c>
      <c r="V23" s="108">
        <f t="shared" si="5"/>
        <v>0.19153846153812765</v>
      </c>
      <c r="W23" s="93">
        <f>IF(T23=0, F22, ATAN2( SIN(E22)*COS(F22)*SIN(H23-T23) + SIN(E23)*COS(F23)*SIN(T23), SIN(E22)*SIN(F22)*SIN(H23-T23) + SIN(E23)*SIN(F23)*SIN(T23) ))</f>
        <v>0.96813413608125454</v>
      </c>
      <c r="X23" s="108">
        <f t="shared" si="6"/>
        <v>55.47</v>
      </c>
      <c r="Y23" s="95"/>
      <c r="Z23" s="86">
        <f t="shared" si="7"/>
        <v>1.0000009312921969</v>
      </c>
      <c r="AA23" s="108">
        <f>0.5*R23*Z23 * (SIN(E22)*COS(F22) + SIN(U23)*COS(W23))</f>
        <v>2.8423851251559882E-3</v>
      </c>
      <c r="AB23" s="108">
        <f>0.5*R23*Z23 * (SIN(E22)*SIN(F22) + SIN(U23)*SIN(W23))</f>
        <v>4.1310605392025487E-3</v>
      </c>
      <c r="AC23" s="108">
        <f>0.5*R23*Z23 * (COS(E22) + COS(U23))</f>
        <v>2.9999944122561861</v>
      </c>
      <c r="AD23" s="110">
        <f t="shared" si="8"/>
        <v>2.8423851251559882E-3</v>
      </c>
      <c r="AE23" s="110">
        <f t="shared" si="9"/>
        <v>4.1310605392025487E-3</v>
      </c>
      <c r="AF23" s="110">
        <f t="shared" si="10"/>
        <v>3139.999994412256</v>
      </c>
    </row>
    <row r="24" spans="1:32" x14ac:dyDescent="0.2">
      <c r="A24" s="3">
        <v>3175</v>
      </c>
      <c r="B24" s="3">
        <v>0.72</v>
      </c>
      <c r="C24" s="3">
        <v>56.8</v>
      </c>
      <c r="E24" s="93">
        <f t="shared" si="0"/>
        <v>1.2566370614359171E-2</v>
      </c>
      <c r="F24" s="93">
        <f t="shared" si="0"/>
        <v>0.99134701513277912</v>
      </c>
      <c r="H24" s="86">
        <f t="shared" si="11"/>
        <v>1.9452378027871031E-3</v>
      </c>
      <c r="I24" s="86">
        <f t="shared" si="12"/>
        <v>1.0000003153292951</v>
      </c>
      <c r="J24" s="108">
        <f t="shared" si="13"/>
        <v>0.18864701658912097</v>
      </c>
      <c r="K24" s="108">
        <f t="shared" si="14"/>
        <v>0.28060736780235773</v>
      </c>
      <c r="L24" s="108">
        <f t="shared" si="15"/>
        <v>24.997709389613224</v>
      </c>
      <c r="M24" s="95">
        <f t="shared" si="16"/>
        <v>0.24201980916402804</v>
      </c>
      <c r="N24" s="95">
        <f t="shared" si="1"/>
        <v>0.35817822029587448</v>
      </c>
      <c r="O24" s="95">
        <f t="shared" si="1"/>
        <v>3174.9972547173461</v>
      </c>
      <c r="Q24" s="18">
        <v>3157</v>
      </c>
      <c r="R24" s="93">
        <f t="shared" si="2"/>
        <v>7</v>
      </c>
      <c r="S24" s="93">
        <f t="shared" si="3"/>
        <v>25</v>
      </c>
      <c r="T24" s="93">
        <f t="shared" si="4"/>
        <v>5.446665847803889E-4</v>
      </c>
      <c r="U24" s="109">
        <f t="shared" ref="U24:U26" si="17">IF(T24=0, E23, ACOS( (SIN(H24-T24)/SIN(H24))*COS(E23) + (SIN(T24)/SIN(H24))*COS(E24)  ))</f>
        <v>1.3947962637172129E-2</v>
      </c>
      <c r="V24" s="112">
        <f t="shared" si="5"/>
        <v>0.79915939191612451</v>
      </c>
      <c r="W24" s="93">
        <f t="shared" ref="W24:W26" si="18">IF(T24=0, F23, ATAN2( SIN(E23)*COS(F23)*SIN(H24-T24) + SIN(E24)*COS(F24)*SIN(T24), SIN(E23)*SIN(F23)*SIN(H24-T24) + SIN(E24)*SIN(F24)*SIN(T24) ))</f>
        <v>0.97398948137889119</v>
      </c>
      <c r="X24" s="112">
        <f t="shared" si="6"/>
        <v>55.805486573146354</v>
      </c>
      <c r="Y24" s="110"/>
      <c r="Z24" s="86">
        <f t="shared" si="7"/>
        <v>1.0000000247218082</v>
      </c>
      <c r="AA24" s="108">
        <f t="shared" ref="AA24:AA26" si="19">0.5*R24*Z24 * (SIN(E23)*COS(F23) + SIN(U24)*COS(W24))</f>
        <v>5.6173651555908762E-2</v>
      </c>
      <c r="AB24" s="108">
        <f t="shared" ref="AB24:AB26" si="20">0.5*R24*Z24 * (SIN(E23)*SIN(F23) + SIN(U24)*SIN(W24))</f>
        <v>8.2145821644853068E-2</v>
      </c>
      <c r="AC24" s="108">
        <f t="shared" ref="AC24:AC26" si="21">0.5*R24*Z24 * (COS(E23) + COS(U24))</f>
        <v>6.9992924909228229</v>
      </c>
      <c r="AD24" s="110">
        <f t="shared" si="8"/>
        <v>0.10954644413081582</v>
      </c>
      <c r="AE24" s="110">
        <f t="shared" si="9"/>
        <v>0.15971667413836982</v>
      </c>
      <c r="AF24" s="110">
        <f t="shared" si="10"/>
        <v>3156.9988378186558</v>
      </c>
    </row>
    <row r="25" spans="1:32" x14ac:dyDescent="0.2">
      <c r="A25" s="3">
        <v>3200</v>
      </c>
      <c r="B25" s="3">
        <v>0.82</v>
      </c>
      <c r="C25" s="3">
        <v>66.83</v>
      </c>
      <c r="E25" s="93">
        <f t="shared" si="0"/>
        <v>1.4311699866353502E-2</v>
      </c>
      <c r="F25" s="93">
        <f t="shared" si="0"/>
        <v>1.1664035391078105</v>
      </c>
      <c r="H25" s="86">
        <f t="shared" si="11"/>
        <v>2.9228638599234635E-3</v>
      </c>
      <c r="I25" s="86">
        <f t="shared" si="12"/>
        <v>1.0000007119283703</v>
      </c>
      <c r="J25" s="108">
        <f t="shared" si="13"/>
        <v>0.1563950995447122</v>
      </c>
      <c r="K25" s="108">
        <f t="shared" si="14"/>
        <v>0.29589650977702853</v>
      </c>
      <c r="L25" s="108">
        <f t="shared" si="15"/>
        <v>24.99775071628677</v>
      </c>
      <c r="M25" s="95">
        <f t="shared" si="16"/>
        <v>0.39841490870874025</v>
      </c>
      <c r="N25" s="95">
        <f t="shared" si="1"/>
        <v>0.65407473007290307</v>
      </c>
      <c r="O25" s="95">
        <f t="shared" si="1"/>
        <v>3199.9950054336327</v>
      </c>
      <c r="Q25" s="18">
        <v>3198</v>
      </c>
      <c r="R25" s="93">
        <f t="shared" si="2"/>
        <v>23</v>
      </c>
      <c r="S25" s="93">
        <f t="shared" si="3"/>
        <v>25</v>
      </c>
      <c r="T25" s="93">
        <f t="shared" si="4"/>
        <v>2.6890347511295868E-3</v>
      </c>
      <c r="U25" s="109">
        <f t="shared" si="17"/>
        <v>1.4157793469393054E-2</v>
      </c>
      <c r="V25" s="112">
        <f t="shared" si="5"/>
        <v>0.81118181301410119</v>
      </c>
      <c r="W25" s="93">
        <f t="shared" si="18"/>
        <v>1.1540361812090312</v>
      </c>
      <c r="X25" s="112">
        <f t="shared" si="6"/>
        <v>66.121402588672169</v>
      </c>
      <c r="Y25" s="110"/>
      <c r="Z25" s="86">
        <f t="shared" si="7"/>
        <v>1.0000006025760935</v>
      </c>
      <c r="AA25" s="108">
        <f t="shared" si="19"/>
        <v>0.14503331779454212</v>
      </c>
      <c r="AB25" s="108">
        <f t="shared" si="20"/>
        <v>0.26979409154984513</v>
      </c>
      <c r="AC25" s="108">
        <f t="shared" si="21"/>
        <v>22.997953337687427</v>
      </c>
      <c r="AD25" s="110">
        <f t="shared" si="8"/>
        <v>0.38705312695857019</v>
      </c>
      <c r="AE25" s="110">
        <f t="shared" si="9"/>
        <v>0.62797231184571967</v>
      </c>
      <c r="AF25" s="110">
        <f t="shared" si="10"/>
        <v>3197.9952080550333</v>
      </c>
    </row>
    <row r="26" spans="1:32" x14ac:dyDescent="0.2">
      <c r="A26" s="3">
        <v>3225</v>
      </c>
      <c r="B26" s="3">
        <v>0.87</v>
      </c>
      <c r="C26" s="3">
        <v>68.67</v>
      </c>
      <c r="E26" s="93">
        <f t="shared" si="0"/>
        <v>1.5184364492350668E-2</v>
      </c>
      <c r="F26" s="93">
        <f t="shared" si="0"/>
        <v>1.1985175973445061</v>
      </c>
      <c r="H26" s="86">
        <f t="shared" si="11"/>
        <v>9.9278740191333092E-4</v>
      </c>
      <c r="I26" s="86">
        <f t="shared" si="12"/>
        <v>1.0000000821355768</v>
      </c>
      <c r="J26" s="108">
        <f t="shared" si="13"/>
        <v>0.1394229022905191</v>
      </c>
      <c r="K26" s="108">
        <f t="shared" si="14"/>
        <v>0.34125747668743239</v>
      </c>
      <c r="L26" s="108">
        <f t="shared" si="15"/>
        <v>24.997280917215633</v>
      </c>
      <c r="M26" s="95">
        <f t="shared" si="16"/>
        <v>0.53783781099925931</v>
      </c>
      <c r="N26" s="95">
        <f t="shared" si="1"/>
        <v>0.9953322067603354</v>
      </c>
      <c r="O26" s="95">
        <f t="shared" si="1"/>
        <v>3224.9922863508482</v>
      </c>
      <c r="Q26" s="18">
        <v>3201</v>
      </c>
      <c r="R26" s="93">
        <f t="shared" si="2"/>
        <v>1</v>
      </c>
      <c r="S26" s="93">
        <f t="shared" si="3"/>
        <v>25</v>
      </c>
      <c r="T26" s="93">
        <f t="shared" si="4"/>
        <v>3.9711496076533238E-5</v>
      </c>
      <c r="U26" s="109">
        <f t="shared" si="17"/>
        <v>1.4346306580308221E-2</v>
      </c>
      <c r="V26" s="112">
        <f t="shared" si="5"/>
        <v>0.82198281865242195</v>
      </c>
      <c r="W26" s="93">
        <f t="shared" si="18"/>
        <v>1.1677629021452509</v>
      </c>
      <c r="X26" s="112">
        <f t="shared" si="6"/>
        <v>66.907885764871423</v>
      </c>
      <c r="Y26" s="110"/>
      <c r="Z26" s="86">
        <f t="shared" si="7"/>
        <v>1.0000000001314169</v>
      </c>
      <c r="AA26" s="108">
        <f t="shared" si="19"/>
        <v>5.6287385201094107E-3</v>
      </c>
      <c r="AB26" s="108">
        <f t="shared" si="20"/>
        <v>1.3176626633271548E-2</v>
      </c>
      <c r="AC26" s="108">
        <f t="shared" si="21"/>
        <v>0.99989734157153487</v>
      </c>
      <c r="AD26" s="110">
        <f t="shared" si="8"/>
        <v>0.40404364722884967</v>
      </c>
      <c r="AE26" s="110">
        <f t="shared" si="9"/>
        <v>0.66725135670617464</v>
      </c>
      <c r="AF26" s="110">
        <f t="shared" si="10"/>
        <v>3200.9949027752041</v>
      </c>
    </row>
    <row r="27" spans="1:32" x14ac:dyDescent="0.2">
      <c r="A27" s="3">
        <v>3250</v>
      </c>
      <c r="B27" s="3">
        <v>0.87</v>
      </c>
      <c r="C27" s="3">
        <v>70.62</v>
      </c>
      <c r="E27" s="93">
        <f t="shared" si="0"/>
        <v>1.5184364492350668E-2</v>
      </c>
      <c r="F27" s="93">
        <f t="shared" si="0"/>
        <v>1.2325515177583957</v>
      </c>
      <c r="H27" s="86">
        <f t="shared" si="11"/>
        <v>5.1673865980661482E-4</v>
      </c>
      <c r="I27" s="86">
        <f t="shared" si="12"/>
        <v>1.0000000222515708</v>
      </c>
      <c r="J27" s="108">
        <f t="shared" si="13"/>
        <v>0.13201745145177926</v>
      </c>
      <c r="K27" s="108">
        <f t="shared" si="14"/>
        <v>0.35583940293267829</v>
      </c>
      <c r="L27" s="108">
        <f t="shared" si="15"/>
        <v>24.997118550036948</v>
      </c>
      <c r="M27" s="95">
        <f t="shared" si="16"/>
        <v>0.66985526245103855</v>
      </c>
      <c r="N27" s="95">
        <f t="shared" si="1"/>
        <v>1.3511716096930138</v>
      </c>
      <c r="O27" s="95">
        <f t="shared" si="1"/>
        <v>3249.9894049008853</v>
      </c>
      <c r="Q27" s="18">
        <v>3250</v>
      </c>
      <c r="R27" s="93">
        <f>IF(OR(Q27&lt;A26, Q27&gt;A27), "error", Q27-A26)</f>
        <v>25</v>
      </c>
      <c r="S27" s="93">
        <f t="shared" ref="S27:S29" si="22">A27-A26</f>
        <v>25</v>
      </c>
      <c r="T27" s="93">
        <f t="shared" ref="T27:T29" si="23">H27 * (R27/S27)</f>
        <v>5.1673865980661482E-4</v>
      </c>
      <c r="U27" s="109">
        <f>IF(T27=0, E26, ACOS( (SIN(H27-T27)/SIN(H27))*COS(E26) + (SIN(T27)/SIN(H27))*COS(E27)  ))</f>
        <v>1.5184364492350388E-2</v>
      </c>
      <c r="V27" s="112">
        <f t="shared" ref="V27:V29" si="24">DEGREES(U27)</f>
        <v>0.86999999999998401</v>
      </c>
      <c r="W27" s="93">
        <f>IF(T27=0, F26, ATAN2( SIN(E26)*COS(F26)*SIN(H27-T27) + SIN(E27)*COS(F27)*SIN(T27), SIN(E26)*SIN(F26)*SIN(H27-T27) + SIN(E27)*SIN(F27)*SIN(T27) ))</f>
        <v>1.2325515177583957</v>
      </c>
      <c r="X27" s="112">
        <f t="shared" ref="X27:X34" si="25">MOD(DEGREES(W27), 360)</f>
        <v>70.62</v>
      </c>
      <c r="Y27" s="110"/>
      <c r="Z27" s="86">
        <f>IF(T27=0, 1, 2*TAN(T27/2)/T27)</f>
        <v>1.0000000222515708</v>
      </c>
      <c r="AA27" s="108">
        <f>0.5*R27*Z27 * (SIN(E26)*COS(F26) + SIN(U27)*COS(W27))</f>
        <v>0.13201745145177812</v>
      </c>
      <c r="AB27" s="108">
        <f>0.5*R27*Z27 * (SIN(E26)*SIN(F26) + SIN(U27)*SIN(W27))</f>
        <v>0.35583940293267496</v>
      </c>
      <c r="AC27" s="108">
        <f>0.5*R27*Z27 * (COS(E26) + COS(U27))</f>
        <v>24.997118550036948</v>
      </c>
      <c r="AD27" s="110">
        <f>M26+AA27</f>
        <v>0.66985526245103744</v>
      </c>
      <c r="AE27" s="110">
        <f t="shared" ref="AE27" si="26">N26+AB27</f>
        <v>1.3511716096930104</v>
      </c>
      <c r="AF27" s="110">
        <f>O26+AC27</f>
        <v>3249.9894049008853</v>
      </c>
    </row>
    <row r="28" spans="1:32" x14ac:dyDescent="0.2">
      <c r="A28" s="3">
        <v>3275</v>
      </c>
      <c r="B28" s="3">
        <v>0.83</v>
      </c>
      <c r="C28" s="3">
        <v>70.150000000000006</v>
      </c>
      <c r="E28" s="93">
        <f t="shared" si="0"/>
        <v>1.4486232791552934E-2</v>
      </c>
      <c r="F28" s="93">
        <f t="shared" si="0"/>
        <v>1.2243484702740224</v>
      </c>
      <c r="H28" s="86">
        <f t="shared" si="11"/>
        <v>7.0865230851535621E-4</v>
      </c>
      <c r="I28" s="86">
        <f t="shared" si="12"/>
        <v>1.00000004184901</v>
      </c>
      <c r="J28" s="108">
        <f t="shared" si="13"/>
        <v>0.12446524376617993</v>
      </c>
      <c r="K28" s="108">
        <f t="shared" si="14"/>
        <v>0.34935626229501465</v>
      </c>
      <c r="L28" s="108">
        <f t="shared" si="15"/>
        <v>24.997248497573889</v>
      </c>
      <c r="M28" s="95">
        <f t="shared" si="16"/>
        <v>0.7943205062172185</v>
      </c>
      <c r="N28" s="95">
        <f t="shared" si="1"/>
        <v>1.7005278719880284</v>
      </c>
      <c r="O28" s="95">
        <f t="shared" si="1"/>
        <v>3274.9866533984591</v>
      </c>
      <c r="Q28" s="18">
        <v>3260</v>
      </c>
      <c r="R28" s="93">
        <f t="shared" ref="R28:R30" si="27">IF(OR(Q28&lt;A27, Q28&gt;A28), "error", Q28-A27)</f>
        <v>10</v>
      </c>
      <c r="S28" s="93">
        <f t="shared" si="22"/>
        <v>25</v>
      </c>
      <c r="T28" s="93">
        <f t="shared" si="23"/>
        <v>2.8346092340614248E-4</v>
      </c>
      <c r="U28" s="109">
        <f t="shared" ref="U28:U30" si="28">IF(T28=0, E27, ACOS( (SIN(H28-T28)/SIN(H28))*COS(E27) + (SIN(T28)/SIN(H28))*COS(E28)  ))</f>
        <v>1.4904992664745098E-2</v>
      </c>
      <c r="V28" s="112">
        <f t="shared" si="24"/>
        <v>0.85399317336334446</v>
      </c>
      <c r="W28" s="93">
        <f t="shared" ref="W28:W30" si="29">IF(T28=0, F27, ATAN2( SIN(E27)*COS(F27)*SIN(H28-T28) + SIN(E28)*COS(F28)*SIN(T28), SIN(E27)*SIN(F27)*SIN(H28-T28) + SIN(E28)*SIN(F28)*SIN(T28) ))</f>
        <v>1.2293625091094911</v>
      </c>
      <c r="X28" s="112">
        <f t="shared" si="25"/>
        <v>70.437283263587062</v>
      </c>
      <c r="Y28" s="110"/>
      <c r="Z28" s="86">
        <f t="shared" ref="Z28:Z34" si="30">IF(T28=0, 1, 2*TAN(T28/2)/T28)</f>
        <v>1.0000000066958412</v>
      </c>
      <c r="AA28" s="108">
        <f t="shared" ref="AA28:AA30" si="31">0.5*R28*Z28 * (SIN(E27)*COS(F27) + SIN(U28)*COS(W28))</f>
        <v>5.01452141972916E-2</v>
      </c>
      <c r="AB28" s="108">
        <f t="shared" ref="AB28:AB30" si="32">0.5*R28*Z28 * (SIN(E27)*SIN(F27) + SIN(U28)*SIN(W28))</f>
        <v>0.14183768020878768</v>
      </c>
      <c r="AC28" s="108">
        <f t="shared" ref="AC28:AC30" si="33">0.5*R28*Z28 * (COS(E27) + COS(U28))</f>
        <v>9.9988682789794741</v>
      </c>
      <c r="AD28" s="110">
        <f t="shared" ref="AD28:AD30" si="34">M27+AA28</f>
        <v>0.72000047664833011</v>
      </c>
      <c r="AE28" s="110">
        <f t="shared" ref="AE28:AE34" si="35">N27+AB28</f>
        <v>1.4930092899018015</v>
      </c>
      <c r="AF28" s="110">
        <f t="shared" ref="AF28:AF30" si="36">O27+AC28</f>
        <v>3259.9882731798648</v>
      </c>
    </row>
    <row r="29" spans="1:32" x14ac:dyDescent="0.2">
      <c r="A29" s="3">
        <v>3300</v>
      </c>
      <c r="B29" s="3">
        <v>0.78</v>
      </c>
      <c r="C29" s="3">
        <v>65.7</v>
      </c>
      <c r="E29" s="93">
        <f t="shared" si="0"/>
        <v>1.3613568165555772E-2</v>
      </c>
      <c r="F29" s="93">
        <f t="shared" si="0"/>
        <v>1.1466813185602747</v>
      </c>
      <c r="H29" s="86">
        <f t="shared" si="11"/>
        <v>1.3965926429813091E-3</v>
      </c>
      <c r="I29" s="86">
        <f t="shared" si="12"/>
        <v>1.0000001625392825</v>
      </c>
      <c r="J29" s="108">
        <f t="shared" si="13"/>
        <v>0.13150955202234008</v>
      </c>
      <c r="K29" s="108">
        <f t="shared" si="14"/>
        <v>0.32540156919281749</v>
      </c>
      <c r="L29" s="108">
        <f t="shared" si="15"/>
        <v>24.997534227788716</v>
      </c>
      <c r="M29" s="95">
        <f t="shared" si="16"/>
        <v>0.92583005823955855</v>
      </c>
      <c r="N29" s="95">
        <f t="shared" si="1"/>
        <v>2.0259294411808457</v>
      </c>
      <c r="O29" s="95">
        <f t="shared" si="1"/>
        <v>3299.9841876262476</v>
      </c>
      <c r="Q29" s="18">
        <v>3290</v>
      </c>
      <c r="R29" s="93">
        <f t="shared" si="27"/>
        <v>15</v>
      </c>
      <c r="S29" s="93">
        <f t="shared" si="22"/>
        <v>25</v>
      </c>
      <c r="T29" s="93">
        <f t="shared" si="23"/>
        <v>8.3795558578878546E-4</v>
      </c>
      <c r="U29" s="109">
        <f t="shared" si="28"/>
        <v>1.3952412866690134E-2</v>
      </c>
      <c r="V29" s="112">
        <f t="shared" si="24"/>
        <v>0.79941437128537074</v>
      </c>
      <c r="W29" s="93">
        <f t="shared" si="29"/>
        <v>1.178909886134065</v>
      </c>
      <c r="X29" s="112">
        <f t="shared" si="25"/>
        <v>67.546560901730373</v>
      </c>
      <c r="Y29" s="110"/>
      <c r="Z29" s="86">
        <f t="shared" si="30"/>
        <v>1.0000000585141344</v>
      </c>
      <c r="AA29" s="108">
        <f t="shared" si="31"/>
        <v>7.6855985120801079E-2</v>
      </c>
      <c r="AB29" s="108">
        <f t="shared" si="32"/>
        <v>0.19889490375494837</v>
      </c>
      <c r="AC29" s="108">
        <f t="shared" si="33"/>
        <v>14.99848395035753</v>
      </c>
      <c r="AD29" s="110">
        <f t="shared" si="34"/>
        <v>0.87117649133801955</v>
      </c>
      <c r="AE29" s="110">
        <f t="shared" si="35"/>
        <v>1.8994227757429767</v>
      </c>
      <c r="AF29" s="110">
        <f t="shared" si="36"/>
        <v>3289.9851373488168</v>
      </c>
    </row>
    <row r="30" spans="1:32" x14ac:dyDescent="0.2">
      <c r="A30" s="3">
        <v>3325</v>
      </c>
      <c r="B30" s="3">
        <v>0.57999999999999996</v>
      </c>
      <c r="C30" s="3">
        <v>60.97</v>
      </c>
      <c r="E30" s="93">
        <f t="shared" si="0"/>
        <v>1.0122909661567111E-2</v>
      </c>
      <c r="F30" s="93">
        <f t="shared" si="0"/>
        <v>1.0641272449409427</v>
      </c>
      <c r="H30" s="86">
        <f t="shared" si="11"/>
        <v>3.6226112671555732E-3</v>
      </c>
      <c r="I30" s="86">
        <f t="shared" si="12"/>
        <v>1.0000010936108013</v>
      </c>
      <c r="J30" s="108">
        <f t="shared" si="13"/>
        <v>0.13142815543396225</v>
      </c>
      <c r="K30" s="108">
        <f t="shared" si="14"/>
        <v>0.2657258110830758</v>
      </c>
      <c r="L30" s="108">
        <f t="shared" si="15"/>
        <v>24.998228595797112</v>
      </c>
      <c r="M30" s="95">
        <f t="shared" si="16"/>
        <v>1.0572582136735207</v>
      </c>
      <c r="N30" s="95">
        <f t="shared" si="1"/>
        <v>2.2916552522639213</v>
      </c>
      <c r="O30" s="95">
        <f t="shared" si="1"/>
        <v>3324.9824162220448</v>
      </c>
      <c r="Q30" s="18">
        <v>3310</v>
      </c>
      <c r="R30" s="93">
        <f t="shared" si="27"/>
        <v>10</v>
      </c>
      <c r="S30" s="93">
        <f>A30-A29</f>
        <v>25</v>
      </c>
      <c r="T30" s="93">
        <f>H30 * (R30/S30)</f>
        <v>1.4490445068622293E-3</v>
      </c>
      <c r="U30" s="109">
        <f t="shared" si="28"/>
        <v>1.2208082498153638E-2</v>
      </c>
      <c r="V30" s="112">
        <f>DEGREES(U30)</f>
        <v>0.69947160309173007</v>
      </c>
      <c r="W30" s="93">
        <f t="shared" si="29"/>
        <v>1.1193272882524286</v>
      </c>
      <c r="X30" s="112">
        <f t="shared" si="25"/>
        <v>64.132729510687483</v>
      </c>
      <c r="Y30" s="110"/>
      <c r="Z30" s="86">
        <f t="shared" si="30"/>
        <v>1.0000001749775353</v>
      </c>
      <c r="AA30" s="108">
        <f t="shared" si="31"/>
        <v>5.4640567402886836E-2</v>
      </c>
      <c r="AB30" s="108">
        <f t="shared" si="32"/>
        <v>0.11695859272328933</v>
      </c>
      <c r="AC30" s="108">
        <f t="shared" si="33"/>
        <v>9.999165845120956</v>
      </c>
      <c r="AD30" s="110">
        <f t="shared" si="34"/>
        <v>0.98047062564244536</v>
      </c>
      <c r="AE30" s="110">
        <f t="shared" si="35"/>
        <v>2.1428880339041352</v>
      </c>
      <c r="AF30" s="110">
        <f t="shared" si="36"/>
        <v>3309.9833534713684</v>
      </c>
    </row>
    <row r="31" spans="1:32" x14ac:dyDescent="0.2">
      <c r="A31" s="3">
        <v>3350</v>
      </c>
      <c r="B31" s="3">
        <v>0.52</v>
      </c>
      <c r="C31" s="3">
        <v>66.2</v>
      </c>
      <c r="E31" s="93">
        <f t="shared" si="0"/>
        <v>9.0757121103705145E-3</v>
      </c>
      <c r="F31" s="93">
        <f t="shared" si="0"/>
        <v>1.1554079648202462</v>
      </c>
      <c r="H31" s="86">
        <f t="shared" si="11"/>
        <v>1.3643922382431395E-3</v>
      </c>
      <c r="I31" s="86">
        <f t="shared" si="12"/>
        <v>1.000000155130544</v>
      </c>
      <c r="J31" s="108">
        <f t="shared" si="13"/>
        <v>0.10718308986112295</v>
      </c>
      <c r="K31" s="108">
        <f t="shared" si="14"/>
        <v>0.21443466811296358</v>
      </c>
      <c r="L31" s="108">
        <f t="shared" si="15"/>
        <v>24.998848625522605</v>
      </c>
      <c r="M31" s="95">
        <f t="shared" si="16"/>
        <v>1.1644413035346437</v>
      </c>
      <c r="N31" s="95">
        <f t="shared" si="1"/>
        <v>2.5060899203768847</v>
      </c>
      <c r="O31" s="95">
        <f t="shared" si="1"/>
        <v>3349.9812648475672</v>
      </c>
      <c r="Q31" s="18">
        <f>A30+10</f>
        <v>3335</v>
      </c>
      <c r="R31" s="93">
        <f>IF(OR(Q31&lt;A30, Q31&gt;A31), "error", Q31-A30)</f>
        <v>10</v>
      </c>
      <c r="S31" s="93">
        <f t="shared" ref="S31" si="37">A31-A30</f>
        <v>25</v>
      </c>
      <c r="T31" s="93">
        <f t="shared" ref="T31" si="38">H31 * (R31/S31)</f>
        <v>5.4575689529725582E-4</v>
      </c>
      <c r="U31" s="109">
        <f>IF(T31=0, E30, ACOS( (SIN(H31-T31)/SIN(H31))*COS(E30) + (SIN(T31)/SIN(H31))*COS(E31)  ))</f>
        <v>9.6945670280454976E-3</v>
      </c>
      <c r="V31" s="112">
        <f t="shared" ref="V31:V34" si="39">DEGREES(U31)</f>
        <v>0.55545777491369264</v>
      </c>
      <c r="W31" s="93">
        <f>IF(T31=0, F30, ATAN2( SIN(E30)*COS(F30)*SIN(H31-T31) + SIN(E31)*COS(F31)*SIN(T31), SIN(E30)*SIN(F30)*SIN(H31-T31) + SIN(E31)*SIN(F31)*SIN(T31) ))</f>
        <v>1.0982680216238938</v>
      </c>
      <c r="X31" s="112">
        <f t="shared" si="25"/>
        <v>62.926122413231745</v>
      </c>
      <c r="Y31" s="110"/>
      <c r="Z31" s="86">
        <f t="shared" si="30"/>
        <v>1.0000000248208831</v>
      </c>
      <c r="AA31" s="108">
        <f>0.5*R31*Z31 * (SIN(E30)*COS(F30) + SIN(U31)*COS(W31))</f>
        <v>4.6622708933261592E-2</v>
      </c>
      <c r="AB31" s="108">
        <f>0.5*R31*Z31 * (SIN(E30)*SIN(F30) + SIN(U31)*SIN(W31))</f>
        <v>8.7415398823218637E-2</v>
      </c>
      <c r="AC31" s="108">
        <f>0.5*R31*Z31 * (COS(E30) + COS(U31))</f>
        <v>9.9995091073998257</v>
      </c>
      <c r="AD31" s="110">
        <f>M30+AA31</f>
        <v>1.1038809226067823</v>
      </c>
      <c r="AE31" s="110">
        <f t="shared" si="35"/>
        <v>2.3790706510871398</v>
      </c>
      <c r="AF31" s="110">
        <f>O30+AC31</f>
        <v>3334.9819253294445</v>
      </c>
    </row>
    <row r="32" spans="1:32" x14ac:dyDescent="0.2">
      <c r="A32" s="3">
        <v>3375</v>
      </c>
      <c r="B32" s="3">
        <v>0.42</v>
      </c>
      <c r="C32" s="3">
        <v>67.5</v>
      </c>
      <c r="E32" s="93">
        <f t="shared" si="0"/>
        <v>7.3303828583761842E-3</v>
      </c>
      <c r="F32" s="93">
        <f t="shared" si="0"/>
        <v>1.1780972450961724</v>
      </c>
      <c r="H32" s="86">
        <f t="shared" si="11"/>
        <v>1.7551128286190654E-3</v>
      </c>
      <c r="I32" s="86">
        <f t="shared" si="12"/>
        <v>1.0000002567018325</v>
      </c>
      <c r="J32" s="108">
        <f t="shared" si="13"/>
        <v>8.0845040813529404E-2</v>
      </c>
      <c r="K32" s="108">
        <f t="shared" si="14"/>
        <v>0.18845163060418049</v>
      </c>
      <c r="L32" s="108">
        <f t="shared" si="15"/>
        <v>24.999155778220171</v>
      </c>
      <c r="M32" s="95">
        <f t="shared" si="16"/>
        <v>1.2452863443481732</v>
      </c>
      <c r="N32" s="95">
        <f t="shared" si="1"/>
        <v>2.6945415509810653</v>
      </c>
      <c r="O32" s="95">
        <f t="shared" si="1"/>
        <v>3374.9804206257872</v>
      </c>
      <c r="Q32" s="18">
        <f>A31+10</f>
        <v>3360</v>
      </c>
      <c r="R32" s="93">
        <f t="shared" ref="R32:R34" si="40">IF(OR(Q32&lt;A31, Q32&gt;A32), "error", Q32-A31)</f>
        <v>10</v>
      </c>
      <c r="S32" s="93">
        <f>A32-A31</f>
        <v>25</v>
      </c>
      <c r="T32" s="93">
        <f>H32 * (R32/S32)</f>
        <v>7.0204513144762621E-4</v>
      </c>
      <c r="U32" s="109">
        <f t="shared" ref="U32:U34" si="41">IF(T32=0, E31, ACOS( (SIN(H32-T32)/SIN(H32))*COS(E31) + (SIN(T32)/SIN(H32))*COS(E32)  ))</f>
        <v>8.3770898561990048E-3</v>
      </c>
      <c r="V32" s="112">
        <f t="shared" si="39"/>
        <v>0.4799718933620567</v>
      </c>
      <c r="W32" s="93">
        <f t="shared" ref="W32:W34" si="42">IF(T32=0, F31, ATAN2( SIN(E31)*COS(F31)*SIN(H32-T32) + SIN(E32)*COS(F32)*SIN(T32), SIN(E31)*SIN(F31)*SIN(H32-T32) + SIN(E32)*SIN(F32)*SIN(T32) ))</f>
        <v>1.1633491052098468</v>
      </c>
      <c r="X32" s="112">
        <f t="shared" si="25"/>
        <v>66.654993828844994</v>
      </c>
      <c r="Y32" s="110"/>
      <c r="Z32" s="86">
        <f t="shared" si="30"/>
        <v>1.0000000410722827</v>
      </c>
      <c r="AA32" s="108">
        <f t="shared" ref="AA32:AA34" si="43">0.5*R32*Z32 * (SIN(E31)*COS(F31) + SIN(U32)*COS(W32))</f>
        <v>3.490967460198105E-2</v>
      </c>
      <c r="AB32" s="108">
        <f t="shared" ref="AB32:AB34" si="44">0.5*R32*Z32 * (SIN(E31)*SIN(F31) + SIN(U32)*SIN(W32))</f>
        <v>7.9975049717702834E-2</v>
      </c>
      <c r="AC32" s="108">
        <f t="shared" ref="AC32:AC34" si="45">0.5*R32*Z32 * (COS(E31) + COS(U32))</f>
        <v>9.9996190526846505</v>
      </c>
      <c r="AD32" s="110">
        <f t="shared" ref="AD32:AD34" si="46">M31+AA32</f>
        <v>1.1993509781366247</v>
      </c>
      <c r="AE32" s="110">
        <f t="shared" si="35"/>
        <v>2.5860649700945877</v>
      </c>
      <c r="AF32" s="110">
        <f t="shared" ref="AF32:AF34" si="47">O31+AC32</f>
        <v>3359.9808839002517</v>
      </c>
    </row>
    <row r="33" spans="1:32" x14ac:dyDescent="0.2">
      <c r="A33" s="3">
        <v>3400</v>
      </c>
      <c r="B33" s="3">
        <v>0.32</v>
      </c>
      <c r="C33" s="3">
        <v>75.180000000000007</v>
      </c>
      <c r="E33" s="93">
        <f t="shared" si="0"/>
        <v>5.5850536063818549E-3</v>
      </c>
      <c r="F33" s="93">
        <f t="shared" si="0"/>
        <v>1.312138531649337</v>
      </c>
      <c r="H33" s="86">
        <f t="shared" si="11"/>
        <v>1.9443882508178856E-3</v>
      </c>
      <c r="I33" s="86">
        <f t="shared" si="12"/>
        <v>1.0000003150539249</v>
      </c>
      <c r="J33" s="108">
        <f t="shared" si="13"/>
        <v>5.2921848671305657E-2</v>
      </c>
      <c r="K33" s="108">
        <f t="shared" si="14"/>
        <v>0.1521445990164226</v>
      </c>
      <c r="L33" s="108">
        <f t="shared" si="15"/>
        <v>24.999477082337535</v>
      </c>
      <c r="M33" s="95">
        <f t="shared" si="16"/>
        <v>1.2982081930194789</v>
      </c>
      <c r="N33" s="95">
        <f t="shared" si="1"/>
        <v>2.8466861499974878</v>
      </c>
      <c r="O33" s="95">
        <f t="shared" si="1"/>
        <v>3399.9798977081246</v>
      </c>
      <c r="Q33" s="18">
        <f t="shared" ref="Q33:Q34" si="48">A32+10</f>
        <v>3385</v>
      </c>
      <c r="R33" s="93">
        <f t="shared" si="40"/>
        <v>10</v>
      </c>
      <c r="S33" s="93">
        <f t="shared" ref="S33:S34" si="49">A33-A32</f>
        <v>25</v>
      </c>
      <c r="T33" s="93">
        <f t="shared" ref="T33:T34" si="50">H33 * (R33/S33)</f>
        <v>7.777553003271543E-4</v>
      </c>
      <c r="U33" s="109">
        <f t="shared" si="41"/>
        <v>6.6189489089105713E-3</v>
      </c>
      <c r="V33" s="112">
        <f t="shared" si="39"/>
        <v>0.37923783729329691</v>
      </c>
      <c r="W33" s="93">
        <f t="shared" si="42"/>
        <v>1.2232188083131834</v>
      </c>
      <c r="X33" s="112">
        <f t="shared" si="25"/>
        <v>70.085275137367461</v>
      </c>
      <c r="Y33" s="110"/>
      <c r="Z33" s="86">
        <f t="shared" si="30"/>
        <v>1.000000050408612</v>
      </c>
      <c r="AA33" s="108">
        <f t="shared" si="43"/>
        <v>2.5298645001196024E-2</v>
      </c>
      <c r="AB33" s="108">
        <f t="shared" si="44"/>
        <v>6.4977125577205669E-2</v>
      </c>
      <c r="AC33" s="108">
        <f t="shared" si="45"/>
        <v>9.9997566425814615</v>
      </c>
      <c r="AD33" s="110">
        <f t="shared" si="46"/>
        <v>1.2705849893493693</v>
      </c>
      <c r="AE33" s="110">
        <f t="shared" si="35"/>
        <v>2.7595186765582711</v>
      </c>
      <c r="AF33" s="110">
        <f t="shared" si="47"/>
        <v>3384.9801772683686</v>
      </c>
    </row>
    <row r="34" spans="1:32" x14ac:dyDescent="0.2">
      <c r="A34" s="3">
        <v>3425</v>
      </c>
      <c r="B34" s="3">
        <v>0.2</v>
      </c>
      <c r="C34" s="3">
        <v>54.48</v>
      </c>
      <c r="E34" s="93">
        <f t="shared" si="0"/>
        <v>3.4906585039886592E-3</v>
      </c>
      <c r="F34" s="93">
        <f t="shared" si="0"/>
        <v>0.95085537648651064</v>
      </c>
      <c r="H34" s="86">
        <f t="shared" si="11"/>
        <v>2.6274662183944919E-3</v>
      </c>
      <c r="I34" s="86">
        <f t="shared" si="12"/>
        <v>1.0000005752986245</v>
      </c>
      <c r="J34" s="108">
        <f t="shared" si="13"/>
        <v>4.3207263026160944E-2</v>
      </c>
      <c r="K34" s="108">
        <f t="shared" si="14"/>
        <v>0.10300405670381028</v>
      </c>
      <c r="L34" s="108">
        <f t="shared" si="15"/>
        <v>24.999743273390127</v>
      </c>
      <c r="M34" s="95">
        <f t="shared" si="16"/>
        <v>1.3414154560456397</v>
      </c>
      <c r="N34" s="95">
        <f t="shared" si="1"/>
        <v>2.9496902067012982</v>
      </c>
      <c r="O34" s="95">
        <f t="shared" si="1"/>
        <v>3424.9796409815149</v>
      </c>
      <c r="Q34" s="18">
        <f t="shared" si="48"/>
        <v>3410</v>
      </c>
      <c r="R34" s="93">
        <f t="shared" si="40"/>
        <v>10</v>
      </c>
      <c r="S34" s="93">
        <f t="shared" si="49"/>
        <v>25</v>
      </c>
      <c r="T34" s="93">
        <f t="shared" si="50"/>
        <v>1.0509864873577968E-3</v>
      </c>
      <c r="U34" s="109">
        <f t="shared" si="41"/>
        <v>4.6832379709407235E-3</v>
      </c>
      <c r="V34" s="112">
        <f t="shared" si="39"/>
        <v>0.26832977019031473</v>
      </c>
      <c r="W34" s="93">
        <f t="shared" si="42"/>
        <v>1.2065570031756767</v>
      </c>
      <c r="X34" s="112">
        <f t="shared" si="25"/>
        <v>69.130624023918941</v>
      </c>
      <c r="Y34" s="110"/>
      <c r="Z34" s="86">
        <f t="shared" si="30"/>
        <v>1.0000000920477266</v>
      </c>
      <c r="AA34" s="108">
        <f t="shared" si="43"/>
        <v>1.5484500267273132E-2</v>
      </c>
      <c r="AB34" s="108">
        <f t="shared" si="44"/>
        <v>4.8876065809682102E-2</v>
      </c>
      <c r="AC34" s="108">
        <f t="shared" si="45"/>
        <v>9.9998681069137678</v>
      </c>
      <c r="AD34" s="110">
        <f t="shared" si="46"/>
        <v>1.3136926932867521</v>
      </c>
      <c r="AE34" s="110">
        <f t="shared" si="35"/>
        <v>2.8955622158071699</v>
      </c>
      <c r="AF34" s="110">
        <f t="shared" si="47"/>
        <v>3409.9797658150383</v>
      </c>
    </row>
    <row r="35" spans="1:32" x14ac:dyDescent="0.2">
      <c r="A35" s="3">
        <v>3450</v>
      </c>
      <c r="B35" s="3">
        <v>0.08</v>
      </c>
      <c r="C35" s="3">
        <v>28.03</v>
      </c>
      <c r="E35" s="93">
        <f t="shared" si="0"/>
        <v>1.3962634015954637E-3</v>
      </c>
      <c r="F35" s="93">
        <f t="shared" si="0"/>
        <v>0.48921578933401061</v>
      </c>
      <c r="H35" s="86">
        <f t="shared" si="11"/>
        <v>2.3252637187296532E-3</v>
      </c>
      <c r="I35" s="86">
        <f t="shared" si="12"/>
        <v>1.0000004505711904</v>
      </c>
      <c r="J35" s="108">
        <f t="shared" si="13"/>
        <v>4.0756356633597619E-2</v>
      </c>
      <c r="K35" s="108">
        <f t="shared" si="14"/>
        <v>4.3715481081004988E-2</v>
      </c>
      <c r="L35" s="108">
        <f t="shared" si="15"/>
        <v>24.999922925267526</v>
      </c>
      <c r="M35" s="95">
        <f t="shared" si="16"/>
        <v>1.3821718126792373</v>
      </c>
      <c r="N35" s="95">
        <f t="shared" si="1"/>
        <v>2.9934056877823032</v>
      </c>
      <c r="O35" s="95">
        <f t="shared" si="1"/>
        <v>3449.9795639067825</v>
      </c>
      <c r="Q35" s="18">
        <f>A34+10</f>
        <v>3435</v>
      </c>
      <c r="R35" s="93">
        <f>IF(OR(Q35&lt;A34, Q35&gt;A35), "error", Q35-A34)</f>
        <v>10</v>
      </c>
      <c r="S35" s="93">
        <f t="shared" ref="S35" si="51">A35-A34</f>
        <v>25</v>
      </c>
      <c r="T35" s="93">
        <f t="shared" ref="T35" si="52">H35 * (R35/S35)</f>
        <v>9.301054874918613E-4</v>
      </c>
      <c r="U35" s="109">
        <f>IF(T35=0, E34, ACOS( (SIN(H35-T35)/SIN(H35))*COS(E34) + (SIN(T35)/SIN(H35))*COS(E35)  ))</f>
        <v>2.6063374147731189E-3</v>
      </c>
      <c r="V35" s="112">
        <f t="shared" ref="V35:V39" si="53">DEGREES(U35)</f>
        <v>0.14933213385353761</v>
      </c>
      <c r="W35" s="93">
        <f>IF(T35=0, F34, ATAN2( SIN(E34)*COS(F34)*SIN(H35-T35) + SIN(E35)*COS(F35)*SIN(T35), SIN(E34)*SIN(F34)*SIN(H35-T35) + SIN(E35)*SIN(F35)*SIN(T35) ))</f>
        <v>0.85526251079396987</v>
      </c>
      <c r="X35" s="112">
        <f t="shared" ref="X35:X98" si="54">MOD(DEGREES(W35), 360)</f>
        <v>49.002932244256485</v>
      </c>
      <c r="Y35" s="110"/>
      <c r="Z35" s="86">
        <f t="shared" ref="Z35:Z98" si="55">IF(T35=0, 1, 2*TAN(T35/2)/T35)</f>
        <v>1.0000000720913578</v>
      </c>
      <c r="AA35" s="108">
        <f>0.5*R35*Z35 * (SIN(E34)*COS(F34) + SIN(U35)*COS(W35))</f>
        <v>1.8689161507564705E-2</v>
      </c>
      <c r="AB35" s="108">
        <f>0.5*R35*Z35 * (SIN(E34)*SIN(F34) + SIN(U35)*SIN(W35))</f>
        <v>2.404099593762039E-2</v>
      </c>
      <c r="AC35" s="108">
        <f>0.5*R35*Z35 * (COS(E34) + COS(U35))</f>
        <v>9.9999532767219232</v>
      </c>
      <c r="AD35" s="110">
        <f>M34+AA35</f>
        <v>1.3601046175532043</v>
      </c>
      <c r="AE35" s="110">
        <f t="shared" ref="AE35" si="56">N34+AB35</f>
        <v>2.9737312026389184</v>
      </c>
      <c r="AF35" s="110">
        <f>O34+AC35</f>
        <v>3434.9795942582368</v>
      </c>
    </row>
    <row r="36" spans="1:32" x14ac:dyDescent="0.2">
      <c r="A36" s="3">
        <v>3475</v>
      </c>
      <c r="B36" s="3">
        <v>0.13</v>
      </c>
      <c r="C36" s="3">
        <v>354.18</v>
      </c>
      <c r="E36" s="93">
        <f t="shared" si="0"/>
        <v>2.2689280275926286E-3</v>
      </c>
      <c r="F36" s="93">
        <f t="shared" si="0"/>
        <v>6.1816071447135164</v>
      </c>
      <c r="H36" s="86">
        <f t="shared" si="11"/>
        <v>1.3548099369375954E-3</v>
      </c>
      <c r="I36" s="86">
        <f t="shared" si="12"/>
        <v>1.0000001529591918</v>
      </c>
      <c r="J36" s="108">
        <f t="shared" si="13"/>
        <v>4.3621434558365077E-2</v>
      </c>
      <c r="K36" s="108">
        <f t="shared" si="14"/>
        <v>5.3259253222595546E-3</v>
      </c>
      <c r="L36" s="108">
        <f t="shared" si="15"/>
        <v>24.999959464077033</v>
      </c>
      <c r="M36" s="95">
        <f t="shared" si="16"/>
        <v>1.4257932472376023</v>
      </c>
      <c r="N36" s="95">
        <f t="shared" si="1"/>
        <v>2.9987316131045629</v>
      </c>
      <c r="O36" s="95">
        <f t="shared" si="1"/>
        <v>3474.9795233708596</v>
      </c>
      <c r="Q36" s="18">
        <f>A35+10</f>
        <v>3460</v>
      </c>
      <c r="R36" s="93">
        <f t="shared" ref="R36:R99" si="57">IF(OR(Q36&lt;A35, Q36&gt;A36), "error", Q36-A35)</f>
        <v>10</v>
      </c>
      <c r="S36" s="93">
        <f>A36-A35</f>
        <v>25</v>
      </c>
      <c r="T36" s="93">
        <f>H36 * (R36/S36)</f>
        <v>5.4192397477503818E-4</v>
      </c>
      <c r="U36" s="109">
        <f t="shared" ref="U36:U99" si="58">IF(T36=0, E35, ACOS( (SIN(H36-T36)/SIN(H36))*COS(E35) + (SIN(T36)/SIN(H36))*COS(E36)  ))</f>
        <v>1.6698570319435557E-3</v>
      </c>
      <c r="V36" s="112">
        <f t="shared" si="53"/>
        <v>9.5675760320608039E-2</v>
      </c>
      <c r="W36" s="93">
        <f t="shared" ref="W36:W99" si="59">IF(T36=0, F35, ATAN2( SIN(E35)*COS(F35)*SIN(H36-T36) + SIN(E36)*COS(F36)*SIN(T36), SIN(E35)*SIN(F35)*SIN(H36-T36) + SIN(E36)*SIN(F36)*SIN(T36) ))</f>
        <v>0.18164749006941597</v>
      </c>
      <c r="X36" s="112">
        <f t="shared" si="54"/>
        <v>10.407634540122068</v>
      </c>
      <c r="Y36" s="110"/>
      <c r="Z36" s="86">
        <f t="shared" si="55"/>
        <v>1.000000024473467</v>
      </c>
      <c r="AA36" s="108">
        <f t="shared" ref="AA36:AA99" si="60">0.5*R36*Z36 * (SIN(E35)*COS(F35) + SIN(U36)*COS(W36))</f>
        <v>1.4374332404707294E-2</v>
      </c>
      <c r="AB36" s="108">
        <f t="shared" ref="AB36:AB99" si="61">0.5*R36*Z36 * (SIN(E35)*SIN(F35) + SIN(U36)*SIN(W36))</f>
        <v>4.789055295825728E-3</v>
      </c>
      <c r="AC36" s="108">
        <f t="shared" ref="AC36:AC99" si="62">0.5*R36*Z36 * (COS(E35) + COS(U36))</f>
        <v>9.9999883998018078</v>
      </c>
      <c r="AD36" s="110">
        <f t="shared" ref="AD36:AD99" si="63">M35+AA36</f>
        <v>1.3965461450839445</v>
      </c>
      <c r="AE36" s="110">
        <f t="shared" ref="AE36:AE99" si="64">N35+AB36</f>
        <v>2.9981947430781291</v>
      </c>
      <c r="AF36" s="110">
        <f t="shared" ref="AF36:AF99" si="65">O35+AC36</f>
        <v>3459.9795523065841</v>
      </c>
    </row>
    <row r="37" spans="1:32" x14ac:dyDescent="0.2">
      <c r="A37" s="3">
        <v>3500</v>
      </c>
      <c r="B37" s="3">
        <v>7.0000000000000007E-2</v>
      </c>
      <c r="C37" s="3">
        <v>289.58</v>
      </c>
      <c r="E37" s="93">
        <f t="shared" si="0"/>
        <v>1.2217304763960308E-3</v>
      </c>
      <c r="F37" s="93">
        <f t="shared" si="0"/>
        <v>5.0541244479251795</v>
      </c>
      <c r="H37" s="86">
        <f t="shared" si="11"/>
        <v>2.064612649823605E-3</v>
      </c>
      <c r="I37" s="86">
        <f t="shared" si="12"/>
        <v>1.0000003552189343</v>
      </c>
      <c r="J37" s="108">
        <f t="shared" si="13"/>
        <v>3.3333263570110738E-2</v>
      </c>
      <c r="K37" s="108">
        <f t="shared" si="14"/>
        <v>-1.7264508716333612E-2</v>
      </c>
      <c r="L37" s="108">
        <f t="shared" si="15"/>
        <v>24.999967376350128</v>
      </c>
      <c r="M37" s="95">
        <f t="shared" si="16"/>
        <v>1.4591265108077129</v>
      </c>
      <c r="N37" s="95">
        <f t="shared" si="1"/>
        <v>2.9814671043882295</v>
      </c>
      <c r="O37" s="95">
        <f t="shared" si="1"/>
        <v>3499.9794907472096</v>
      </c>
      <c r="Q37" s="18">
        <f t="shared" ref="Q37:Q100" si="66">A36+10</f>
        <v>3485</v>
      </c>
      <c r="R37" s="93">
        <f t="shared" si="57"/>
        <v>10</v>
      </c>
      <c r="S37" s="93">
        <f t="shared" ref="S37:S100" si="67">A37-A36</f>
        <v>25</v>
      </c>
      <c r="T37" s="93">
        <f t="shared" ref="T37:T100" si="68">H37 * (R37/S37)</f>
        <v>8.2584505992944202E-4</v>
      </c>
      <c r="U37" s="109">
        <f t="shared" si="58"/>
        <v>1.6318214321651148E-3</v>
      </c>
      <c r="V37" s="112">
        <f t="shared" si="53"/>
        <v>9.3496480982054639E-2</v>
      </c>
      <c r="W37" s="93">
        <f t="shared" si="59"/>
        <v>-0.37551951583836052</v>
      </c>
      <c r="X37" s="112">
        <f t="shared" si="54"/>
        <v>338.48431661766585</v>
      </c>
      <c r="Y37" s="110"/>
      <c r="Z37" s="86">
        <f t="shared" si="55"/>
        <v>1.0000000568350091</v>
      </c>
      <c r="AA37" s="108">
        <f t="shared" si="60"/>
        <v>1.8876708595198806E-2</v>
      </c>
      <c r="AB37" s="108">
        <f t="shared" si="61"/>
        <v>-4.1427855631222628E-3</v>
      </c>
      <c r="AC37" s="108">
        <f t="shared" si="62"/>
        <v>9.9999810411670289</v>
      </c>
      <c r="AD37" s="110">
        <f t="shared" si="63"/>
        <v>1.4446699558328011</v>
      </c>
      <c r="AE37" s="110">
        <f t="shared" si="64"/>
        <v>2.9945888275414405</v>
      </c>
      <c r="AF37" s="110">
        <f t="shared" si="65"/>
        <v>3484.9795044120265</v>
      </c>
    </row>
    <row r="38" spans="1:32" x14ac:dyDescent="0.2">
      <c r="A38" s="3">
        <v>3525</v>
      </c>
      <c r="B38" s="3">
        <v>0.12</v>
      </c>
      <c r="C38" s="3">
        <v>353.72</v>
      </c>
      <c r="E38" s="93">
        <f t="shared" ref="E38:F101" si="69">RADIANS(B38)</f>
        <v>2.0943951023931952E-3</v>
      </c>
      <c r="F38" s="93">
        <f t="shared" si="69"/>
        <v>6.1735786301543429</v>
      </c>
      <c r="H38" s="86">
        <f t="shared" si="11"/>
        <v>1.9097025889600605E-3</v>
      </c>
      <c r="I38" s="86">
        <f t="shared" si="12"/>
        <v>1.0000003039137757</v>
      </c>
      <c r="J38" s="108">
        <f t="shared" si="13"/>
        <v>3.1140697693697331E-2</v>
      </c>
      <c r="K38" s="108">
        <f t="shared" si="14"/>
        <v>-1.7252294714707204E-2</v>
      </c>
      <c r="L38" s="108">
        <f t="shared" si="15"/>
        <v>24.999970853368144</v>
      </c>
      <c r="M38" s="95">
        <f t="shared" si="16"/>
        <v>1.4902672085014104</v>
      </c>
      <c r="N38" s="95">
        <f t="shared" si="16"/>
        <v>2.9642148096735221</v>
      </c>
      <c r="O38" s="95">
        <f t="shared" si="16"/>
        <v>3524.9794616005779</v>
      </c>
      <c r="Q38" s="18">
        <f t="shared" si="66"/>
        <v>3510</v>
      </c>
      <c r="R38" s="93">
        <f t="shared" si="57"/>
        <v>10</v>
      </c>
      <c r="S38" s="93">
        <f t="shared" si="67"/>
        <v>25</v>
      </c>
      <c r="T38" s="93">
        <f t="shared" si="68"/>
        <v>7.6388103558402423E-4</v>
      </c>
      <c r="U38" s="109">
        <f t="shared" si="58"/>
        <v>1.3322539627296237E-3</v>
      </c>
      <c r="V38" s="112">
        <f t="shared" si="53"/>
        <v>7.6332529303986721E-2</v>
      </c>
      <c r="W38" s="93">
        <f t="shared" si="59"/>
        <v>-0.62758685514044021</v>
      </c>
      <c r="X38" s="112">
        <f t="shared" si="54"/>
        <v>324.0419219225646</v>
      </c>
      <c r="Y38" s="110"/>
      <c r="Z38" s="86">
        <f t="shared" si="55"/>
        <v>1.0000000486261891</v>
      </c>
      <c r="AA38" s="108">
        <f t="shared" si="60"/>
        <v>7.4390902337833735E-3</v>
      </c>
      <c r="AB38" s="108">
        <f t="shared" si="61"/>
        <v>-9.6668663759999374E-3</v>
      </c>
      <c r="AC38" s="108">
        <f t="shared" si="62"/>
        <v>9.9999923174476688</v>
      </c>
      <c r="AD38" s="110">
        <f t="shared" si="63"/>
        <v>1.4665656010414962</v>
      </c>
      <c r="AE38" s="110">
        <f t="shared" si="64"/>
        <v>2.9718002380122295</v>
      </c>
      <c r="AF38" s="110">
        <f t="shared" si="65"/>
        <v>3509.9794830646574</v>
      </c>
    </row>
    <row r="39" spans="1:32" x14ac:dyDescent="0.2">
      <c r="A39" s="3">
        <v>3550</v>
      </c>
      <c r="B39" s="3">
        <v>0.18</v>
      </c>
      <c r="C39" s="3">
        <v>356.23</v>
      </c>
      <c r="E39" s="93">
        <f t="shared" si="69"/>
        <v>3.1415926535897929E-3</v>
      </c>
      <c r="F39" s="93">
        <f t="shared" si="69"/>
        <v>6.2173863943794005</v>
      </c>
      <c r="H39" s="86">
        <f t="shared" si="11"/>
        <v>1.0532084166889888E-3</v>
      </c>
      <c r="I39" s="86">
        <f t="shared" si="12"/>
        <v>1.0000000924373409</v>
      </c>
      <c r="J39" s="108">
        <f t="shared" si="13"/>
        <v>6.5207690096561882E-2</v>
      </c>
      <c r="K39" s="108">
        <f t="shared" si="14"/>
        <v>-5.4458013559952768E-3</v>
      </c>
      <c r="L39" s="108">
        <f t="shared" si="15"/>
        <v>24.999913210390755</v>
      </c>
      <c r="M39" s="95">
        <f t="shared" ref="M39:O54" si="70">M38+J39</f>
        <v>1.5554748985979723</v>
      </c>
      <c r="N39" s="95">
        <f t="shared" si="70"/>
        <v>2.9587690083175269</v>
      </c>
      <c r="O39" s="95">
        <f t="shared" si="70"/>
        <v>3549.9793748109687</v>
      </c>
      <c r="Q39" s="18">
        <f t="shared" si="66"/>
        <v>3535</v>
      </c>
      <c r="R39" s="93">
        <f t="shared" si="57"/>
        <v>10</v>
      </c>
      <c r="S39" s="93">
        <f t="shared" si="67"/>
        <v>25</v>
      </c>
      <c r="T39" s="93">
        <f t="shared" si="68"/>
        <v>4.2128336667559554E-4</v>
      </c>
      <c r="U39" s="109">
        <f t="shared" si="58"/>
        <v>2.5126712401966067E-3</v>
      </c>
      <c r="V39" s="112">
        <f t="shared" si="53"/>
        <v>0.1439654573671679</v>
      </c>
      <c r="W39" s="93">
        <f t="shared" si="59"/>
        <v>-8.7702804517764424E-2</v>
      </c>
      <c r="X39" s="112">
        <f t="shared" si="54"/>
        <v>354.9749994496712</v>
      </c>
      <c r="Y39" s="110"/>
      <c r="Z39" s="86">
        <f t="shared" si="55"/>
        <v>1.0000000147899732</v>
      </c>
      <c r="AA39" s="108">
        <f t="shared" si="60"/>
        <v>2.2924184700643224E-2</v>
      </c>
      <c r="AB39" s="108">
        <f t="shared" si="61"/>
        <v>-2.2459292478793488E-3</v>
      </c>
      <c r="AC39" s="108">
        <f t="shared" si="62"/>
        <v>9.9999733978926351</v>
      </c>
      <c r="AD39" s="110">
        <f t="shared" si="63"/>
        <v>1.5131913932020535</v>
      </c>
      <c r="AE39" s="110">
        <f t="shared" si="64"/>
        <v>2.9619688804256428</v>
      </c>
      <c r="AF39" s="110">
        <f t="shared" si="65"/>
        <v>3534.9794349984704</v>
      </c>
    </row>
    <row r="40" spans="1:32" x14ac:dyDescent="0.2">
      <c r="A40" s="3">
        <v>3575</v>
      </c>
      <c r="B40" s="3">
        <v>0.13</v>
      </c>
      <c r="C40" s="3">
        <v>333.68</v>
      </c>
      <c r="E40" s="93">
        <f t="shared" si="69"/>
        <v>2.2689280275926286E-3</v>
      </c>
      <c r="F40" s="93">
        <f t="shared" si="69"/>
        <v>5.8238146480546789</v>
      </c>
      <c r="H40" s="86">
        <f t="shared" si="11"/>
        <v>1.3606937907730821E-3</v>
      </c>
      <c r="I40" s="86">
        <f t="shared" si="12"/>
        <v>1.0000001542906614</v>
      </c>
      <c r="J40" s="108">
        <f t="shared" si="13"/>
        <v>6.4606254932765825E-2</v>
      </c>
      <c r="K40" s="108">
        <f t="shared" si="14"/>
        <v>-1.5157123006115226E-2</v>
      </c>
      <c r="L40" s="108">
        <f t="shared" si="15"/>
        <v>24.999909997074116</v>
      </c>
      <c r="M40" s="95">
        <f t="shared" si="70"/>
        <v>1.620081153530738</v>
      </c>
      <c r="N40" s="95">
        <f t="shared" si="70"/>
        <v>2.9436118853114115</v>
      </c>
      <c r="O40" s="95">
        <f t="shared" si="70"/>
        <v>3574.9792848080428</v>
      </c>
      <c r="Q40" s="18">
        <f t="shared" si="66"/>
        <v>3560</v>
      </c>
      <c r="R40" s="93">
        <f t="shared" si="57"/>
        <v>10</v>
      </c>
      <c r="S40" s="93">
        <f t="shared" si="67"/>
        <v>25</v>
      </c>
      <c r="T40" s="93">
        <f t="shared" si="68"/>
        <v>5.442775163092328E-4</v>
      </c>
      <c r="U40" s="109">
        <f t="shared" si="58"/>
        <v>2.7452905080735945E-3</v>
      </c>
      <c r="V40" s="112">
        <f t="shared" ref="V40:V103" si="71">DEGREES(U40)</f>
        <v>0.15729355964994243</v>
      </c>
      <c r="W40" s="93">
        <f t="shared" si="59"/>
        <v>-0.19291967853150904</v>
      </c>
      <c r="X40" s="112">
        <f t="shared" si="54"/>
        <v>348.94651663512394</v>
      </c>
      <c r="Y40" s="110"/>
      <c r="Z40" s="86">
        <f t="shared" si="55"/>
        <v>1.000000024686502</v>
      </c>
      <c r="AA40" s="108">
        <f t="shared" si="60"/>
        <v>2.9145737980105491E-2</v>
      </c>
      <c r="AB40" s="108">
        <f t="shared" si="61"/>
        <v>-3.6645235175865715E-3</v>
      </c>
      <c r="AC40" s="108">
        <f t="shared" si="62"/>
        <v>9.9999567313351356</v>
      </c>
      <c r="AD40" s="110">
        <f t="shared" si="63"/>
        <v>1.5846206365780777</v>
      </c>
      <c r="AE40" s="110">
        <f t="shared" si="64"/>
        <v>2.9551044847999401</v>
      </c>
      <c r="AF40" s="110">
        <f t="shared" si="65"/>
        <v>3559.979331542304</v>
      </c>
    </row>
    <row r="41" spans="1:32" x14ac:dyDescent="0.2">
      <c r="A41" s="3">
        <v>3600</v>
      </c>
      <c r="B41" s="3">
        <v>0.23</v>
      </c>
      <c r="C41" s="3">
        <v>12.47</v>
      </c>
      <c r="E41" s="93">
        <f t="shared" si="69"/>
        <v>4.014257279586958E-3</v>
      </c>
      <c r="F41" s="93">
        <f t="shared" si="69"/>
        <v>0.2176425577236929</v>
      </c>
      <c r="H41" s="86">
        <f t="shared" si="11"/>
        <v>2.657776867615036E-3</v>
      </c>
      <c r="I41" s="86">
        <f t="shared" si="12"/>
        <v>1.0000005886485723</v>
      </c>
      <c r="J41" s="108">
        <f t="shared" si="13"/>
        <v>7.4415764055531949E-2</v>
      </c>
      <c r="K41" s="108">
        <f t="shared" si="14"/>
        <v>-1.7402001429677049E-3</v>
      </c>
      <c r="L41" s="108">
        <f t="shared" si="15"/>
        <v>24.999881826935752</v>
      </c>
      <c r="M41" s="95">
        <f t="shared" si="70"/>
        <v>1.6944969175862699</v>
      </c>
      <c r="N41" s="95">
        <f t="shared" si="70"/>
        <v>2.9418716851684437</v>
      </c>
      <c r="O41" s="95">
        <f t="shared" si="70"/>
        <v>3599.9791666349788</v>
      </c>
      <c r="Q41" s="18">
        <f t="shared" si="66"/>
        <v>3585</v>
      </c>
      <c r="R41" s="93">
        <f t="shared" si="57"/>
        <v>10</v>
      </c>
      <c r="S41" s="93">
        <f t="shared" si="67"/>
        <v>25</v>
      </c>
      <c r="T41" s="93">
        <f t="shared" si="68"/>
        <v>1.0631107470460144E-3</v>
      </c>
      <c r="U41" s="109">
        <f t="shared" si="58"/>
        <v>2.7998609167212418E-3</v>
      </c>
      <c r="V41" s="112">
        <f t="shared" si="71"/>
        <v>0.16042021375175683</v>
      </c>
      <c r="W41" s="93">
        <f t="shared" si="59"/>
        <v>-9.1879477540624879E-2</v>
      </c>
      <c r="X41" s="112">
        <f t="shared" si="54"/>
        <v>354.73569371305518</v>
      </c>
      <c r="Y41" s="110"/>
      <c r="Z41" s="86">
        <f t="shared" si="55"/>
        <v>1.0000000941837157</v>
      </c>
      <c r="AA41" s="108">
        <f t="shared" si="60"/>
        <v>2.4108792288004117E-2</v>
      </c>
      <c r="AB41" s="108">
        <f t="shared" si="61"/>
        <v>-6.3144674572183724E-3</v>
      </c>
      <c r="AC41" s="108">
        <f t="shared" si="62"/>
        <v>9.9999684737135546</v>
      </c>
      <c r="AD41" s="110">
        <f t="shared" si="63"/>
        <v>1.6441899458187421</v>
      </c>
      <c r="AE41" s="110">
        <f t="shared" si="64"/>
        <v>2.9372974178541931</v>
      </c>
      <c r="AF41" s="110">
        <f t="shared" si="65"/>
        <v>3584.9792532817564</v>
      </c>
    </row>
    <row r="42" spans="1:32" x14ac:dyDescent="0.2">
      <c r="A42" s="3">
        <v>3625</v>
      </c>
      <c r="B42" s="3">
        <v>0.22</v>
      </c>
      <c r="C42" s="3">
        <v>5.18</v>
      </c>
      <c r="E42" s="93">
        <f t="shared" si="69"/>
        <v>3.8397243543875251E-3</v>
      </c>
      <c r="F42" s="93">
        <f t="shared" si="69"/>
        <v>9.0408055253306266E-2</v>
      </c>
      <c r="H42" s="86">
        <f t="shared" si="11"/>
        <v>5.2881905055568446E-4</v>
      </c>
      <c r="I42" s="86">
        <f t="shared" si="12"/>
        <v>1.0000000233041331</v>
      </c>
      <c r="J42" s="108">
        <f t="shared" si="13"/>
        <v>9.6794760276807099E-2</v>
      </c>
      <c r="K42" s="108">
        <f t="shared" si="14"/>
        <v>1.5168228643366883E-2</v>
      </c>
      <c r="L42" s="108">
        <f t="shared" si="15"/>
        <v>24.999807721943387</v>
      </c>
      <c r="M42" s="95">
        <f t="shared" si="70"/>
        <v>1.791291677863077</v>
      </c>
      <c r="N42" s="95">
        <f t="shared" si="70"/>
        <v>2.9570399138118106</v>
      </c>
      <c r="O42" s="95">
        <f t="shared" si="70"/>
        <v>3624.9789743569222</v>
      </c>
      <c r="Q42" s="18">
        <f t="shared" si="66"/>
        <v>3610</v>
      </c>
      <c r="R42" s="93">
        <f t="shared" si="57"/>
        <v>10</v>
      </c>
      <c r="S42" s="93">
        <f t="shared" si="67"/>
        <v>25</v>
      </c>
      <c r="T42" s="93">
        <f t="shared" si="68"/>
        <v>2.115276202222738E-4</v>
      </c>
      <c r="U42" s="109">
        <f t="shared" si="58"/>
        <v>3.9368559226631294E-3</v>
      </c>
      <c r="V42" s="112">
        <f t="shared" si="71"/>
        <v>0.22556522891967895</v>
      </c>
      <c r="W42" s="93">
        <f t="shared" si="59"/>
        <v>0.16811799752875761</v>
      </c>
      <c r="X42" s="112">
        <f t="shared" si="54"/>
        <v>9.6324517185886158</v>
      </c>
      <c r="Y42" s="110"/>
      <c r="Z42" s="86">
        <f t="shared" si="55"/>
        <v>1.0000000037286612</v>
      </c>
      <c r="AA42" s="108">
        <f t="shared" si="60"/>
        <v>3.9004445371274406E-2</v>
      </c>
      <c r="AB42" s="108">
        <f t="shared" si="61"/>
        <v>7.6276555265342005E-3</v>
      </c>
      <c r="AC42" s="108">
        <f t="shared" si="62"/>
        <v>9.9999210046503038</v>
      </c>
      <c r="AD42" s="110">
        <f t="shared" si="63"/>
        <v>1.7335013629575442</v>
      </c>
      <c r="AE42" s="110">
        <f t="shared" si="64"/>
        <v>2.9494993406949779</v>
      </c>
      <c r="AF42" s="110">
        <f t="shared" si="65"/>
        <v>3609.9790876396291</v>
      </c>
    </row>
    <row r="43" spans="1:32" x14ac:dyDescent="0.2">
      <c r="A43" s="3">
        <v>3650</v>
      </c>
      <c r="B43" s="3">
        <v>0.22</v>
      </c>
      <c r="C43" s="3">
        <v>352.23</v>
      </c>
      <c r="E43" s="93">
        <f t="shared" si="69"/>
        <v>3.8397243543875251E-3</v>
      </c>
      <c r="F43" s="93">
        <f t="shared" si="69"/>
        <v>6.1475732242996273</v>
      </c>
      <c r="H43" s="86">
        <f t="shared" si="11"/>
        <v>8.6600683796533851E-4</v>
      </c>
      <c r="I43" s="86">
        <f t="shared" si="12"/>
        <v>1.0000000624973251</v>
      </c>
      <c r="J43" s="108">
        <f t="shared" si="13"/>
        <v>9.5356193724129526E-2</v>
      </c>
      <c r="K43" s="108">
        <f t="shared" si="14"/>
        <v>-2.1556090852800163E-3</v>
      </c>
      <c r="L43" s="108">
        <f t="shared" si="15"/>
        <v>24.999817269109066</v>
      </c>
      <c r="M43" s="95">
        <f t="shared" si="70"/>
        <v>1.8866478715872066</v>
      </c>
      <c r="N43" s="95">
        <f t="shared" si="70"/>
        <v>2.9548843047265305</v>
      </c>
      <c r="O43" s="95">
        <f t="shared" si="70"/>
        <v>3649.9787916260311</v>
      </c>
      <c r="Q43" s="18">
        <f t="shared" si="66"/>
        <v>3635</v>
      </c>
      <c r="R43" s="93">
        <f t="shared" si="57"/>
        <v>10</v>
      </c>
      <c r="S43" s="93">
        <f t="shared" si="67"/>
        <v>25</v>
      </c>
      <c r="T43" s="93">
        <f t="shared" si="68"/>
        <v>3.4640273518613543E-4</v>
      </c>
      <c r="U43" s="109">
        <f t="shared" si="58"/>
        <v>3.8162143163946727E-3</v>
      </c>
      <c r="V43" s="112">
        <f t="shared" si="71"/>
        <v>0.21865297404681736</v>
      </c>
      <c r="W43" s="93">
        <f t="shared" si="59"/>
        <v>9.2814411035745828E-5</v>
      </c>
      <c r="X43" s="112">
        <f t="shared" si="54"/>
        <v>5.3178740303406876E-3</v>
      </c>
      <c r="Y43" s="110"/>
      <c r="Z43" s="86">
        <f t="shared" si="55"/>
        <v>1.0000000099995714</v>
      </c>
      <c r="AA43" s="108">
        <f t="shared" si="60"/>
        <v>3.820119269878957E-2</v>
      </c>
      <c r="AB43" s="108">
        <f t="shared" si="61"/>
        <v>1.7351132715816219E-3</v>
      </c>
      <c r="AC43" s="108">
        <f t="shared" si="62"/>
        <v>9.9999268326473878</v>
      </c>
      <c r="AD43" s="110">
        <f t="shared" si="63"/>
        <v>1.8294928705618665</v>
      </c>
      <c r="AE43" s="110">
        <f t="shared" si="64"/>
        <v>2.9587750270833921</v>
      </c>
      <c r="AF43" s="110">
        <f t="shared" si="65"/>
        <v>3634.9789011895696</v>
      </c>
    </row>
    <row r="44" spans="1:32" x14ac:dyDescent="0.2">
      <c r="A44" s="3">
        <v>3675</v>
      </c>
      <c r="B44" s="3">
        <v>0.27</v>
      </c>
      <c r="C44" s="3">
        <v>349.2</v>
      </c>
      <c r="E44" s="93">
        <f t="shared" si="69"/>
        <v>4.7123889803846897E-3</v>
      </c>
      <c r="F44" s="93">
        <f t="shared" si="69"/>
        <v>6.0946897479641988</v>
      </c>
      <c r="H44" s="86">
        <f t="shared" si="11"/>
        <v>9.0118534387562121E-4</v>
      </c>
      <c r="I44" s="86">
        <f t="shared" si="12"/>
        <v>1.0000000676779242</v>
      </c>
      <c r="J44" s="108">
        <f t="shared" si="13"/>
        <v>0.10541705811812439</v>
      </c>
      <c r="K44" s="108">
        <f t="shared" si="14"/>
        <v>-1.7526595460304616E-2</v>
      </c>
      <c r="L44" s="108">
        <f t="shared" si="15"/>
        <v>24.999770754221153</v>
      </c>
      <c r="M44" s="95">
        <f t="shared" si="70"/>
        <v>1.992064929705331</v>
      </c>
      <c r="N44" s="95">
        <f t="shared" si="70"/>
        <v>2.9373577092662257</v>
      </c>
      <c r="O44" s="95">
        <f t="shared" si="70"/>
        <v>3674.9785623802522</v>
      </c>
      <c r="Q44" s="18">
        <f t="shared" si="66"/>
        <v>3660</v>
      </c>
      <c r="R44" s="93">
        <f t="shared" si="57"/>
        <v>10</v>
      </c>
      <c r="S44" s="93">
        <f t="shared" si="67"/>
        <v>25</v>
      </c>
      <c r="T44" s="93">
        <f t="shared" si="68"/>
        <v>3.6047413755024849E-4</v>
      </c>
      <c r="U44" s="109">
        <f t="shared" si="58"/>
        <v>4.1873406237387112E-3</v>
      </c>
      <c r="V44" s="112">
        <f t="shared" si="71"/>
        <v>0.23991694512390579</v>
      </c>
      <c r="W44" s="93">
        <f t="shared" si="59"/>
        <v>-0.15940902105711235</v>
      </c>
      <c r="X44" s="112">
        <f t="shared" si="54"/>
        <v>350.86653587711538</v>
      </c>
      <c r="Y44" s="110"/>
      <c r="Z44" s="86">
        <f t="shared" si="55"/>
        <v>1.000000010828467</v>
      </c>
      <c r="AA44" s="108">
        <f t="shared" si="60"/>
        <v>3.9693500197903242E-2</v>
      </c>
      <c r="AB44" s="108">
        <f t="shared" si="61"/>
        <v>-5.9189584920833743E-3</v>
      </c>
      <c r="AC44" s="108">
        <f t="shared" si="62"/>
        <v>9.999919415131588</v>
      </c>
      <c r="AD44" s="110">
        <f t="shared" si="63"/>
        <v>1.9263413717851099</v>
      </c>
      <c r="AE44" s="110">
        <f t="shared" si="64"/>
        <v>2.9489653462344472</v>
      </c>
      <c r="AF44" s="110">
        <f t="shared" si="65"/>
        <v>3659.9787110411626</v>
      </c>
    </row>
    <row r="45" spans="1:32" x14ac:dyDescent="0.2">
      <c r="A45" s="3">
        <v>3700</v>
      </c>
      <c r="B45" s="3">
        <v>0.28000000000000003</v>
      </c>
      <c r="C45" s="3">
        <v>352.58</v>
      </c>
      <c r="E45" s="93">
        <f t="shared" si="69"/>
        <v>4.8869219055841231E-3</v>
      </c>
      <c r="F45" s="93">
        <f t="shared" si="69"/>
        <v>6.153681876681607</v>
      </c>
      <c r="H45" s="86">
        <f t="shared" si="11"/>
        <v>3.325367900162135E-4</v>
      </c>
      <c r="I45" s="86">
        <f t="shared" si="12"/>
        <v>1.0000000092150598</v>
      </c>
      <c r="J45" s="108">
        <f t="shared" si="13"/>
        <v>0.11843603508575973</v>
      </c>
      <c r="K45" s="108">
        <f t="shared" si="14"/>
        <v>-1.8926418867823612E-2</v>
      </c>
      <c r="L45" s="108">
        <f t="shared" si="15"/>
        <v>24.999712177080152</v>
      </c>
      <c r="M45" s="95">
        <f t="shared" si="70"/>
        <v>2.1105009647910906</v>
      </c>
      <c r="N45" s="95">
        <f t="shared" si="70"/>
        <v>2.9184312903984022</v>
      </c>
      <c r="O45" s="95">
        <f t="shared" si="70"/>
        <v>3699.9782745573325</v>
      </c>
      <c r="Q45" s="18">
        <f t="shared" si="66"/>
        <v>3685</v>
      </c>
      <c r="R45" s="93">
        <f t="shared" si="57"/>
        <v>10</v>
      </c>
      <c r="S45" s="93">
        <f t="shared" si="67"/>
        <v>25</v>
      </c>
      <c r="T45" s="93">
        <f t="shared" si="68"/>
        <v>1.330147160064854E-4</v>
      </c>
      <c r="U45" s="109">
        <f t="shared" si="58"/>
        <v>4.7801913143163954E-3</v>
      </c>
      <c r="V45" s="112">
        <f t="shared" si="71"/>
        <v>0.27388478757542339</v>
      </c>
      <c r="W45" s="93">
        <f t="shared" si="59"/>
        <v>-0.1643835017572548</v>
      </c>
      <c r="X45" s="112">
        <f t="shared" si="54"/>
        <v>350.58151912772797</v>
      </c>
      <c r="Y45" s="110"/>
      <c r="Z45" s="86">
        <f t="shared" si="55"/>
        <v>1.0000000014744095</v>
      </c>
      <c r="AA45" s="108">
        <f t="shared" si="60"/>
        <v>4.6723180724796254E-2</v>
      </c>
      <c r="AB45" s="108">
        <f t="shared" si="61"/>
        <v>-8.3262892971989692E-3</v>
      </c>
      <c r="AC45" s="108">
        <f t="shared" si="62"/>
        <v>9.9998873728581845</v>
      </c>
      <c r="AD45" s="110">
        <f t="shared" si="63"/>
        <v>2.0387881104301271</v>
      </c>
      <c r="AE45" s="110">
        <f t="shared" si="64"/>
        <v>2.9290314199690268</v>
      </c>
      <c r="AF45" s="110">
        <f t="shared" si="65"/>
        <v>3684.9784497531105</v>
      </c>
    </row>
    <row r="46" spans="1:32" x14ac:dyDescent="0.2">
      <c r="A46" s="3">
        <v>3725</v>
      </c>
      <c r="B46" s="3">
        <v>0.32</v>
      </c>
      <c r="C46" s="3">
        <v>4.55</v>
      </c>
      <c r="E46" s="93">
        <f t="shared" si="69"/>
        <v>5.5850536063818549E-3</v>
      </c>
      <c r="F46" s="93">
        <f t="shared" si="69"/>
        <v>7.9412480965741994E-2</v>
      </c>
      <c r="H46" s="86">
        <f t="shared" si="11"/>
        <v>1.2939507581344323E-3</v>
      </c>
      <c r="I46" s="86">
        <f t="shared" si="12"/>
        <v>1.000000139525737</v>
      </c>
      <c r="J46" s="108">
        <f t="shared" si="13"/>
        <v>0.13016756218129669</v>
      </c>
      <c r="K46" s="108">
        <f t="shared" si="14"/>
        <v>-2.3506063619522155E-3</v>
      </c>
      <c r="L46" s="108">
        <f t="shared" si="15"/>
        <v>24.999659271214863</v>
      </c>
      <c r="M46" s="95">
        <f t="shared" si="70"/>
        <v>2.2406685269723874</v>
      </c>
      <c r="N46" s="95">
        <f t="shared" si="70"/>
        <v>2.9160806840364502</v>
      </c>
      <c r="O46" s="95">
        <f t="shared" si="70"/>
        <v>3724.9779338285475</v>
      </c>
      <c r="Q46" s="18">
        <f t="shared" si="66"/>
        <v>3710</v>
      </c>
      <c r="R46" s="93">
        <f t="shared" si="57"/>
        <v>10</v>
      </c>
      <c r="S46" s="93">
        <f t="shared" si="67"/>
        <v>25</v>
      </c>
      <c r="T46" s="93">
        <f t="shared" si="68"/>
        <v>5.1758030325377291E-4</v>
      </c>
      <c r="U46" s="109">
        <f t="shared" si="58"/>
        <v>5.1385310594873612E-3</v>
      </c>
      <c r="V46" s="112">
        <f t="shared" si="71"/>
        <v>0.29441614260551313</v>
      </c>
      <c r="W46" s="93">
        <f t="shared" si="59"/>
        <v>-3.9212093712463966E-2</v>
      </c>
      <c r="X46" s="112">
        <f t="shared" si="54"/>
        <v>357.75331252440435</v>
      </c>
      <c r="Y46" s="110"/>
      <c r="Z46" s="86">
        <f t="shared" si="55"/>
        <v>1.0000000223241148</v>
      </c>
      <c r="AA46" s="108">
        <f t="shared" si="60"/>
        <v>4.9902694777986513E-2</v>
      </c>
      <c r="AB46" s="108">
        <f t="shared" si="61"/>
        <v>-4.1627159184473485E-3</v>
      </c>
      <c r="AC46" s="108">
        <f t="shared" si="62"/>
        <v>9.9998745072345123</v>
      </c>
      <c r="AD46" s="110">
        <f t="shared" si="63"/>
        <v>2.1604036595690772</v>
      </c>
      <c r="AE46" s="110">
        <f t="shared" si="64"/>
        <v>2.914268574479955</v>
      </c>
      <c r="AF46" s="110">
        <f t="shared" si="65"/>
        <v>3709.9781490645669</v>
      </c>
    </row>
    <row r="47" spans="1:32" x14ac:dyDescent="0.2">
      <c r="A47" s="3">
        <v>3750</v>
      </c>
      <c r="B47" s="3">
        <v>0.25</v>
      </c>
      <c r="C47" s="3">
        <v>0.23</v>
      </c>
      <c r="E47" s="93">
        <f t="shared" si="69"/>
        <v>4.3633231299858239E-3</v>
      </c>
      <c r="F47" s="93">
        <f t="shared" si="69"/>
        <v>4.014257279586958E-3</v>
      </c>
      <c r="H47" s="86">
        <f t="shared" si="11"/>
        <v>1.2771436838776573E-3</v>
      </c>
      <c r="I47" s="86">
        <f t="shared" si="12"/>
        <v>1.0000001359246879</v>
      </c>
      <c r="J47" s="108">
        <f t="shared" si="13"/>
        <v>0.12413373455884136</v>
      </c>
      <c r="K47" s="108">
        <f t="shared" si="14"/>
        <v>5.7571262563921016E-3</v>
      </c>
      <c r="L47" s="108">
        <f t="shared" si="15"/>
        <v>24.99968945244181</v>
      </c>
      <c r="M47" s="95">
        <f t="shared" si="70"/>
        <v>2.3648022615312287</v>
      </c>
      <c r="N47" s="95">
        <f t="shared" si="70"/>
        <v>2.9218378102928422</v>
      </c>
      <c r="O47" s="95">
        <f t="shared" si="70"/>
        <v>3749.9776232809895</v>
      </c>
      <c r="Q47" s="18">
        <f t="shared" si="66"/>
        <v>3735</v>
      </c>
      <c r="R47" s="93">
        <f t="shared" si="57"/>
        <v>10</v>
      </c>
      <c r="S47" s="93">
        <f t="shared" si="67"/>
        <v>25</v>
      </c>
      <c r="T47" s="93">
        <f t="shared" si="68"/>
        <v>5.1085747355106292E-4</v>
      </c>
      <c r="U47" s="109">
        <f t="shared" si="58"/>
        <v>5.093099939922574E-3</v>
      </c>
      <c r="V47" s="112">
        <f t="shared" si="71"/>
        <v>0.29181313119589664</v>
      </c>
      <c r="W47" s="93">
        <f t="shared" si="59"/>
        <v>5.3596207029421347E-2</v>
      </c>
      <c r="X47" s="112">
        <f t="shared" si="54"/>
        <v>3.0708364606952383</v>
      </c>
      <c r="Y47" s="110"/>
      <c r="Z47" s="86">
        <f t="shared" si="55"/>
        <v>1.0000000217479472</v>
      </c>
      <c r="AA47" s="108">
        <f t="shared" si="60"/>
        <v>5.3265940601650408E-2</v>
      </c>
      <c r="AB47" s="108">
        <f t="shared" si="61"/>
        <v>3.5794682262458525E-3</v>
      </c>
      <c r="AC47" s="108">
        <f t="shared" si="62"/>
        <v>9.9998573865922928</v>
      </c>
      <c r="AD47" s="110">
        <f t="shared" si="63"/>
        <v>2.2939344675740378</v>
      </c>
      <c r="AE47" s="110">
        <f t="shared" si="64"/>
        <v>2.9196601522626962</v>
      </c>
      <c r="AF47" s="110">
        <f t="shared" si="65"/>
        <v>3734.9777912151399</v>
      </c>
    </row>
    <row r="48" spans="1:32" x14ac:dyDescent="0.2">
      <c r="A48" s="3">
        <v>3775</v>
      </c>
      <c r="B48" s="3">
        <v>0.56999999999999995</v>
      </c>
      <c r="C48" s="3">
        <v>15.48</v>
      </c>
      <c r="E48" s="93">
        <f t="shared" si="69"/>
        <v>9.948376736367677E-3</v>
      </c>
      <c r="F48" s="93">
        <f t="shared" si="69"/>
        <v>0.27017696820872222</v>
      </c>
      <c r="H48" s="86">
        <f t="shared" si="11"/>
        <v>5.8523331057929173E-3</v>
      </c>
      <c r="I48" s="86">
        <f t="shared" si="12"/>
        <v>1.0000028541600072</v>
      </c>
      <c r="J48" s="108">
        <f t="shared" si="13"/>
        <v>0.17438302528195682</v>
      </c>
      <c r="K48" s="108">
        <f t="shared" si="14"/>
        <v>3.3409009634164849E-2</v>
      </c>
      <c r="L48" s="108">
        <f t="shared" si="15"/>
        <v>24.999333802257819</v>
      </c>
      <c r="M48" s="95">
        <f t="shared" si="70"/>
        <v>2.5391852868131854</v>
      </c>
      <c r="N48" s="95">
        <f t="shared" si="70"/>
        <v>2.955246819927007</v>
      </c>
      <c r="O48" s="95">
        <f t="shared" si="70"/>
        <v>3774.9769570832473</v>
      </c>
      <c r="Q48" s="18">
        <f t="shared" si="66"/>
        <v>3760</v>
      </c>
      <c r="R48" s="93">
        <f t="shared" si="57"/>
        <v>10</v>
      </c>
      <c r="S48" s="93">
        <f t="shared" si="67"/>
        <v>25</v>
      </c>
      <c r="T48" s="93">
        <f t="shared" si="68"/>
        <v>2.3409332423171671E-3</v>
      </c>
      <c r="U48" s="109">
        <f t="shared" si="58"/>
        <v>6.5415052456498923E-3</v>
      </c>
      <c r="V48" s="112">
        <f t="shared" si="71"/>
        <v>0.37480064223842763</v>
      </c>
      <c r="W48" s="93">
        <f t="shared" si="59"/>
        <v>0.16471231668055294</v>
      </c>
      <c r="X48" s="112">
        <f t="shared" si="54"/>
        <v>9.4373205796179533</v>
      </c>
      <c r="Y48" s="110"/>
      <c r="Z48" s="86">
        <f t="shared" si="55"/>
        <v>1.0000004566642873</v>
      </c>
      <c r="AA48" s="108">
        <f t="shared" si="60"/>
        <v>5.4081013645357154E-2</v>
      </c>
      <c r="AB48" s="108">
        <f t="shared" si="61"/>
        <v>5.4505468232022266E-3</v>
      </c>
      <c r="AC48" s="108">
        <f t="shared" si="62"/>
        <v>9.9998499923302369</v>
      </c>
      <c r="AD48" s="110">
        <f t="shared" si="63"/>
        <v>2.4188832751765861</v>
      </c>
      <c r="AE48" s="110">
        <f t="shared" si="64"/>
        <v>2.9272883571160442</v>
      </c>
      <c r="AF48" s="110">
        <f t="shared" si="65"/>
        <v>3759.9774732733199</v>
      </c>
    </row>
    <row r="49" spans="1:32" x14ac:dyDescent="0.2">
      <c r="A49" s="3">
        <v>3800</v>
      </c>
      <c r="B49" s="3">
        <v>0.38</v>
      </c>
      <c r="C49" s="3">
        <v>5.03</v>
      </c>
      <c r="E49" s="93">
        <f t="shared" si="69"/>
        <v>6.6322511575784525E-3</v>
      </c>
      <c r="F49" s="93">
        <f t="shared" si="69"/>
        <v>8.7790061375314782E-2</v>
      </c>
      <c r="H49" s="86">
        <f t="shared" si="11"/>
        <v>3.6311694636184111E-3</v>
      </c>
      <c r="I49" s="86">
        <f t="shared" si="12"/>
        <v>1.0000010987840884</v>
      </c>
      <c r="J49" s="108">
        <f t="shared" si="13"/>
        <v>0.2024250913622993</v>
      </c>
      <c r="K49" s="108">
        <f t="shared" si="14"/>
        <v>4.0458689465545164E-2</v>
      </c>
      <c r="L49" s="108">
        <f t="shared" si="15"/>
        <v>24.999133993760385</v>
      </c>
      <c r="M49" s="95">
        <f t="shared" si="70"/>
        <v>2.7416103781754848</v>
      </c>
      <c r="N49" s="95">
        <f t="shared" si="70"/>
        <v>2.9957055093925522</v>
      </c>
      <c r="O49" s="95">
        <f t="shared" si="70"/>
        <v>3799.9760910770078</v>
      </c>
      <c r="Q49" s="18">
        <f t="shared" si="66"/>
        <v>3785</v>
      </c>
      <c r="R49" s="93">
        <f t="shared" si="57"/>
        <v>10</v>
      </c>
      <c r="S49" s="93">
        <f t="shared" si="67"/>
        <v>25</v>
      </c>
      <c r="T49" s="93">
        <f t="shared" si="68"/>
        <v>1.4524677854473645E-3</v>
      </c>
      <c r="U49" s="109">
        <f t="shared" si="58"/>
        <v>8.5914107942501872E-3</v>
      </c>
      <c r="V49" s="112">
        <f t="shared" si="71"/>
        <v>0.49225157857367419</v>
      </c>
      <c r="W49" s="93">
        <f t="shared" si="59"/>
        <v>0.21414060731981502</v>
      </c>
      <c r="X49" s="112">
        <f t="shared" si="54"/>
        <v>12.269353021793664</v>
      </c>
      <c r="Y49" s="110"/>
      <c r="Z49" s="86">
        <f t="shared" si="55"/>
        <v>1.0000001758052595</v>
      </c>
      <c r="AA49" s="108">
        <f t="shared" si="60"/>
        <v>8.9912028138495581E-2</v>
      </c>
      <c r="AB49" s="108">
        <f t="shared" si="61"/>
        <v>2.2404586950646153E-2</v>
      </c>
      <c r="AC49" s="108">
        <f t="shared" si="62"/>
        <v>9.9995698048045352</v>
      </c>
      <c r="AD49" s="110">
        <f t="shared" si="63"/>
        <v>2.629097314951681</v>
      </c>
      <c r="AE49" s="110">
        <f t="shared" si="64"/>
        <v>2.9776514068776532</v>
      </c>
      <c r="AF49" s="110">
        <f t="shared" si="65"/>
        <v>3784.9765268880519</v>
      </c>
    </row>
    <row r="50" spans="1:32" x14ac:dyDescent="0.2">
      <c r="A50" s="3">
        <v>3825</v>
      </c>
      <c r="B50" s="3">
        <v>0.4</v>
      </c>
      <c r="C50" s="3">
        <v>3.67</v>
      </c>
      <c r="E50" s="93">
        <f t="shared" si="69"/>
        <v>6.9813170079773184E-3</v>
      </c>
      <c r="F50" s="93">
        <f t="shared" si="69"/>
        <v>6.4053583548191892E-2</v>
      </c>
      <c r="H50" s="86">
        <f t="shared" si="11"/>
        <v>3.8462026105245961E-4</v>
      </c>
      <c r="I50" s="86">
        <f t="shared" si="12"/>
        <v>1.0000000123277288</v>
      </c>
      <c r="J50" s="108">
        <f t="shared" si="13"/>
        <v>0.16967006534982715</v>
      </c>
      <c r="K50" s="108">
        <f t="shared" si="14"/>
        <v>1.2854536124328826E-2</v>
      </c>
      <c r="L50" s="108">
        <f t="shared" si="15"/>
        <v>24.999420775789879</v>
      </c>
      <c r="M50" s="95">
        <f t="shared" si="70"/>
        <v>2.9112804435253121</v>
      </c>
      <c r="N50" s="95">
        <f t="shared" si="70"/>
        <v>3.0085600455168811</v>
      </c>
      <c r="O50" s="95">
        <f t="shared" si="70"/>
        <v>3824.9755118527978</v>
      </c>
      <c r="Q50" s="18">
        <f t="shared" si="66"/>
        <v>3810</v>
      </c>
      <c r="R50" s="93">
        <f t="shared" si="57"/>
        <v>10</v>
      </c>
      <c r="S50" s="93">
        <f t="shared" si="67"/>
        <v>25</v>
      </c>
      <c r="T50" s="93">
        <f t="shared" si="68"/>
        <v>1.5384810442098384E-4</v>
      </c>
      <c r="U50" s="109">
        <f t="shared" si="58"/>
        <v>6.7714152401601169E-3</v>
      </c>
      <c r="V50" s="112">
        <f t="shared" si="71"/>
        <v>0.38797351459173945</v>
      </c>
      <c r="W50" s="93">
        <f t="shared" si="59"/>
        <v>7.8001922288439468E-2</v>
      </c>
      <c r="X50" s="112">
        <f t="shared" si="54"/>
        <v>4.4691809410350096</v>
      </c>
      <c r="Y50" s="110"/>
      <c r="Z50" s="86">
        <f t="shared" si="55"/>
        <v>1.0000000019724367</v>
      </c>
      <c r="AA50" s="108">
        <f t="shared" si="60"/>
        <v>6.6787179488582829E-2</v>
      </c>
      <c r="AB50" s="108">
        <f t="shared" si="61"/>
        <v>5.5456889562451473E-3</v>
      </c>
      <c r="AC50" s="108">
        <f t="shared" si="62"/>
        <v>9.9997754235155849</v>
      </c>
      <c r="AD50" s="110">
        <f t="shared" si="63"/>
        <v>2.8083975576640676</v>
      </c>
      <c r="AE50" s="110">
        <f t="shared" si="64"/>
        <v>3.0012511983487973</v>
      </c>
      <c r="AF50" s="110">
        <f t="shared" si="65"/>
        <v>3809.9758665005234</v>
      </c>
    </row>
    <row r="51" spans="1:32" x14ac:dyDescent="0.2">
      <c r="A51" s="3">
        <v>3850</v>
      </c>
      <c r="B51" s="3">
        <v>0.42</v>
      </c>
      <c r="C51" s="3">
        <v>8.48</v>
      </c>
      <c r="E51" s="93">
        <f t="shared" si="69"/>
        <v>7.3303828583761842E-3</v>
      </c>
      <c r="F51" s="93">
        <f t="shared" si="69"/>
        <v>0.14800392056911915</v>
      </c>
      <c r="H51" s="86">
        <f t="shared" si="11"/>
        <v>6.9447687582413486E-4</v>
      </c>
      <c r="I51" s="86">
        <f t="shared" si="12"/>
        <v>1.0000000401915128</v>
      </c>
      <c r="J51" s="108">
        <f t="shared" si="13"/>
        <v>0.17771402455368704</v>
      </c>
      <c r="K51" s="108">
        <f t="shared" si="14"/>
        <v>1.9097852847275398E-2</v>
      </c>
      <c r="L51" s="108">
        <f t="shared" si="15"/>
        <v>24.99936054937805</v>
      </c>
      <c r="M51" s="95">
        <f t="shared" si="70"/>
        <v>3.0889944680789991</v>
      </c>
      <c r="N51" s="95">
        <f t="shared" si="70"/>
        <v>3.0276578983641564</v>
      </c>
      <c r="O51" s="95">
        <f t="shared" si="70"/>
        <v>3849.9748724021761</v>
      </c>
      <c r="Q51" s="18">
        <f t="shared" si="66"/>
        <v>3835</v>
      </c>
      <c r="R51" s="93">
        <f t="shared" si="57"/>
        <v>10</v>
      </c>
      <c r="S51" s="93">
        <f t="shared" si="67"/>
        <v>25</v>
      </c>
      <c r="T51" s="93">
        <f t="shared" si="68"/>
        <v>2.7779075032965397E-4</v>
      </c>
      <c r="U51" s="109">
        <f t="shared" si="58"/>
        <v>7.1148666439302399E-3</v>
      </c>
      <c r="V51" s="112">
        <f t="shared" si="71"/>
        <v>0.40765183049561105</v>
      </c>
      <c r="W51" s="93">
        <f t="shared" si="59"/>
        <v>9.8617135021198551E-2</v>
      </c>
      <c r="X51" s="112">
        <f t="shared" si="54"/>
        <v>5.6503456243864614</v>
      </c>
      <c r="Y51" s="110"/>
      <c r="Z51" s="86">
        <f t="shared" si="55"/>
        <v>1.0000000064306418</v>
      </c>
      <c r="AA51" s="108">
        <f t="shared" si="60"/>
        <v>7.0235907021417271E-2</v>
      </c>
      <c r="AB51" s="108">
        <f t="shared" si="61"/>
        <v>5.7368707034615536E-3</v>
      </c>
      <c r="AC51" s="108">
        <f t="shared" si="62"/>
        <v>9.9997516650472491</v>
      </c>
      <c r="AD51" s="110">
        <f t="shared" si="63"/>
        <v>2.9815163505467295</v>
      </c>
      <c r="AE51" s="110">
        <f t="shared" si="64"/>
        <v>3.0142969162203426</v>
      </c>
      <c r="AF51" s="110">
        <f t="shared" si="65"/>
        <v>3834.9752635178452</v>
      </c>
    </row>
    <row r="52" spans="1:32" x14ac:dyDescent="0.2">
      <c r="A52" s="3">
        <v>3875</v>
      </c>
      <c r="B52" s="3">
        <v>0.42</v>
      </c>
      <c r="C52" s="3">
        <v>6.85</v>
      </c>
      <c r="E52" s="93">
        <f t="shared" si="69"/>
        <v>7.3303828583761842E-3</v>
      </c>
      <c r="F52" s="93">
        <f t="shared" si="69"/>
        <v>0.11955505376161157</v>
      </c>
      <c r="H52" s="86">
        <f t="shared" si="11"/>
        <v>2.0853218589445E-4</v>
      </c>
      <c r="I52" s="86">
        <f t="shared" si="12"/>
        <v>1.0000000036238059</v>
      </c>
      <c r="J52" s="108">
        <f t="shared" si="13"/>
        <v>0.18160212231966852</v>
      </c>
      <c r="K52" s="108">
        <f t="shared" si="14"/>
        <v>2.44406172303087E-2</v>
      </c>
      <c r="L52" s="108">
        <f t="shared" si="15"/>
        <v>24.999328412189787</v>
      </c>
      <c r="M52" s="95">
        <f t="shared" si="70"/>
        <v>3.2705965903986676</v>
      </c>
      <c r="N52" s="95">
        <f t="shared" si="70"/>
        <v>3.0520985155944653</v>
      </c>
      <c r="O52" s="95">
        <f t="shared" si="70"/>
        <v>3874.9742008143658</v>
      </c>
      <c r="Q52" s="18">
        <f t="shared" si="66"/>
        <v>3860</v>
      </c>
      <c r="R52" s="93">
        <f t="shared" si="57"/>
        <v>10</v>
      </c>
      <c r="S52" s="93">
        <f t="shared" si="67"/>
        <v>25</v>
      </c>
      <c r="T52" s="93">
        <f t="shared" si="68"/>
        <v>8.3412874357780006E-5</v>
      </c>
      <c r="U52" s="109">
        <f t="shared" si="58"/>
        <v>7.3296709664116833E-3</v>
      </c>
      <c r="V52" s="112">
        <f t="shared" si="71"/>
        <v>0.41995921159496485</v>
      </c>
      <c r="W52" s="93">
        <f t="shared" si="59"/>
        <v>0.13662455804822987</v>
      </c>
      <c r="X52" s="112">
        <f t="shared" si="54"/>
        <v>7.8280105540036953</v>
      </c>
      <c r="Y52" s="110"/>
      <c r="Z52" s="86">
        <f t="shared" si="55"/>
        <v>1.0000000005798091</v>
      </c>
      <c r="AA52" s="108">
        <f t="shared" si="60"/>
        <v>7.2557406324950502E-2</v>
      </c>
      <c r="AB52" s="108">
        <f t="shared" si="61"/>
        <v>1.0396253653763152E-2</v>
      </c>
      <c r="AC52" s="108">
        <f t="shared" si="62"/>
        <v>9.9997313605274663</v>
      </c>
      <c r="AD52" s="110">
        <f t="shared" si="63"/>
        <v>3.1615518744039495</v>
      </c>
      <c r="AE52" s="110">
        <f t="shared" si="64"/>
        <v>3.0380541520179194</v>
      </c>
      <c r="AF52" s="110">
        <f t="shared" si="65"/>
        <v>3859.9746037627037</v>
      </c>
    </row>
    <row r="53" spans="1:32" x14ac:dyDescent="0.2">
      <c r="A53" s="3">
        <v>3900</v>
      </c>
      <c r="B53" s="3">
        <v>0.38</v>
      </c>
      <c r="C53" s="3">
        <v>357.23</v>
      </c>
      <c r="E53" s="93">
        <f t="shared" si="69"/>
        <v>6.6322511575784525E-3</v>
      </c>
      <c r="F53" s="93">
        <f t="shared" si="69"/>
        <v>6.2348396868993436</v>
      </c>
      <c r="H53" s="86">
        <f t="shared" si="11"/>
        <v>1.3618706506608458E-3</v>
      </c>
      <c r="I53" s="86">
        <f t="shared" si="12"/>
        <v>1.0000001545576678</v>
      </c>
      <c r="J53" s="108">
        <f t="shared" si="13"/>
        <v>0.17378059294461598</v>
      </c>
      <c r="K53" s="108">
        <f t="shared" si="14"/>
        <v>6.9222156851500996E-3</v>
      </c>
      <c r="L53" s="108">
        <f t="shared" si="15"/>
        <v>24.999393108432198</v>
      </c>
      <c r="M53" s="95">
        <f t="shared" si="70"/>
        <v>3.4443771833432835</v>
      </c>
      <c r="N53" s="95">
        <f t="shared" si="70"/>
        <v>3.0590207312796154</v>
      </c>
      <c r="O53" s="95">
        <f t="shared" si="70"/>
        <v>3899.973593922798</v>
      </c>
      <c r="Q53" s="18">
        <f t="shared" si="66"/>
        <v>3885</v>
      </c>
      <c r="R53" s="93">
        <f t="shared" si="57"/>
        <v>10</v>
      </c>
      <c r="S53" s="93">
        <f t="shared" si="67"/>
        <v>25</v>
      </c>
      <c r="T53" s="93">
        <f t="shared" si="68"/>
        <v>5.4474826026433836E-4</v>
      </c>
      <c r="U53" s="109">
        <f t="shared" si="58"/>
        <v>7.0278225046642717E-3</v>
      </c>
      <c r="V53" s="112">
        <f t="shared" si="71"/>
        <v>0.4026645686843221</v>
      </c>
      <c r="W53" s="93">
        <f t="shared" si="59"/>
        <v>5.6430379540528527E-2</v>
      </c>
      <c r="X53" s="112">
        <f t="shared" si="54"/>
        <v>3.2332225839936743</v>
      </c>
      <c r="Y53" s="110"/>
      <c r="Z53" s="86">
        <f t="shared" si="55"/>
        <v>1.0000000247292229</v>
      </c>
      <c r="AA53" s="108">
        <f t="shared" si="60"/>
        <v>7.1472851870844192E-2</v>
      </c>
      <c r="AB53" s="108">
        <f t="shared" si="61"/>
        <v>6.353296196666529E-3</v>
      </c>
      <c r="AC53" s="108">
        <f t="shared" si="62"/>
        <v>9.9997424363905836</v>
      </c>
      <c r="AD53" s="110">
        <f t="shared" si="63"/>
        <v>3.3420694422695116</v>
      </c>
      <c r="AE53" s="110">
        <f t="shared" si="64"/>
        <v>3.0584518117911319</v>
      </c>
      <c r="AF53" s="110">
        <f t="shared" si="65"/>
        <v>3884.9739432507563</v>
      </c>
    </row>
    <row r="54" spans="1:32" x14ac:dyDescent="0.2">
      <c r="A54" s="3">
        <v>3925</v>
      </c>
      <c r="B54" s="3">
        <v>0.33</v>
      </c>
      <c r="C54" s="3">
        <v>354.12</v>
      </c>
      <c r="E54" s="93">
        <f t="shared" si="69"/>
        <v>5.7595865315812874E-3</v>
      </c>
      <c r="F54" s="93">
        <f t="shared" si="69"/>
        <v>6.1805599471623198</v>
      </c>
      <c r="H54" s="86">
        <f t="shared" si="11"/>
        <v>9.3491170561033066E-4</v>
      </c>
      <c r="I54" s="86">
        <f t="shared" si="12"/>
        <v>1.0000000728383311</v>
      </c>
      <c r="J54" s="108">
        <f t="shared" si="13"/>
        <v>0.15442132262653907</v>
      </c>
      <c r="K54" s="108">
        <f t="shared" si="14"/>
        <v>-1.13819063616816E-2</v>
      </c>
      <c r="L54" s="108">
        <f t="shared" si="15"/>
        <v>24.999519575051323</v>
      </c>
      <c r="M54" s="95">
        <f t="shared" si="70"/>
        <v>3.5987985059698224</v>
      </c>
      <c r="N54" s="95">
        <f t="shared" si="70"/>
        <v>3.0476388249179336</v>
      </c>
      <c r="O54" s="95">
        <f t="shared" si="70"/>
        <v>3924.9731134978492</v>
      </c>
      <c r="Q54" s="18">
        <f t="shared" si="66"/>
        <v>3910</v>
      </c>
      <c r="R54" s="93">
        <f t="shared" si="57"/>
        <v>10</v>
      </c>
      <c r="S54" s="93">
        <f t="shared" si="67"/>
        <v>25</v>
      </c>
      <c r="T54" s="93">
        <f t="shared" si="68"/>
        <v>3.739646822441323E-4</v>
      </c>
      <c r="U54" s="109">
        <f t="shared" si="58"/>
        <v>6.2810360629730333E-3</v>
      </c>
      <c r="V54" s="112">
        <f t="shared" si="71"/>
        <v>0.35987685737782155</v>
      </c>
      <c r="W54" s="93">
        <f t="shared" si="59"/>
        <v>-6.8246563600343577E-2</v>
      </c>
      <c r="X54" s="112">
        <f t="shared" si="54"/>
        <v>356.08975993942914</v>
      </c>
      <c r="Y54" s="110"/>
      <c r="Z54" s="86">
        <f t="shared" si="55"/>
        <v>1.0000000116541321</v>
      </c>
      <c r="AA54" s="108">
        <f t="shared" si="60"/>
        <v>6.4454133777726172E-2</v>
      </c>
      <c r="AB54" s="108">
        <f t="shared" si="61"/>
        <v>-3.7441834962437131E-3</v>
      </c>
      <c r="AC54" s="108">
        <f t="shared" si="62"/>
        <v>9.9997915218426279</v>
      </c>
      <c r="AD54" s="110">
        <f t="shared" si="63"/>
        <v>3.5088313171210097</v>
      </c>
      <c r="AE54" s="110">
        <f t="shared" si="64"/>
        <v>3.0552765477833717</v>
      </c>
      <c r="AF54" s="110">
        <f t="shared" si="65"/>
        <v>3909.9733854446408</v>
      </c>
    </row>
    <row r="55" spans="1:32" x14ac:dyDescent="0.2">
      <c r="A55" s="3">
        <v>3950</v>
      </c>
      <c r="B55" s="3">
        <v>0.28000000000000003</v>
      </c>
      <c r="C55" s="3">
        <v>341.05</v>
      </c>
      <c r="E55" s="93">
        <f t="shared" si="69"/>
        <v>4.8869219055841231E-3</v>
      </c>
      <c r="F55" s="93">
        <f t="shared" si="69"/>
        <v>5.9524454139266609</v>
      </c>
      <c r="H55" s="86">
        <f t="shared" si="11"/>
        <v>1.4899112892450272E-3</v>
      </c>
      <c r="I55" s="86">
        <f t="shared" si="12"/>
        <v>1.0000001849863451</v>
      </c>
      <c r="J55" s="108">
        <f t="shared" si="13"/>
        <v>0.12939121518151639</v>
      </c>
      <c r="K55" s="108">
        <f t="shared" si="14"/>
        <v>-2.7212833918581321E-2</v>
      </c>
      <c r="L55" s="108">
        <f t="shared" si="15"/>
        <v>24.999648032695827</v>
      </c>
      <c r="M55" s="95">
        <f t="shared" ref="M55:O70" si="72">M54+J55</f>
        <v>3.7281897211513386</v>
      </c>
      <c r="N55" s="95">
        <f t="shared" si="72"/>
        <v>3.0204259909993523</v>
      </c>
      <c r="O55" s="95">
        <f t="shared" si="72"/>
        <v>3949.9727615305451</v>
      </c>
      <c r="Q55" s="18">
        <f t="shared" si="66"/>
        <v>3935</v>
      </c>
      <c r="R55" s="93">
        <f t="shared" si="57"/>
        <v>10</v>
      </c>
      <c r="S55" s="93">
        <f t="shared" si="67"/>
        <v>25</v>
      </c>
      <c r="T55" s="93">
        <f t="shared" si="68"/>
        <v>5.9596451569801092E-4</v>
      </c>
      <c r="U55" s="109">
        <f t="shared" si="58"/>
        <v>5.3780802502860769E-3</v>
      </c>
      <c r="V55" s="112">
        <f t="shared" si="71"/>
        <v>0.30814130022405367</v>
      </c>
      <c r="W55" s="93">
        <f t="shared" si="59"/>
        <v>-0.18491378374827921</v>
      </c>
      <c r="X55" s="112">
        <f t="shared" si="54"/>
        <v>349.40522061742882</v>
      </c>
      <c r="Y55" s="110"/>
      <c r="Z55" s="86">
        <f t="shared" si="55"/>
        <v>1.0000000295978098</v>
      </c>
      <c r="AA55" s="108">
        <f t="shared" si="60"/>
        <v>5.5078108682922823E-2</v>
      </c>
      <c r="AB55" s="108">
        <f t="shared" si="61"/>
        <v>-7.8942905830449214E-3</v>
      </c>
      <c r="AC55" s="108">
        <f t="shared" si="62"/>
        <v>9.9998450549165643</v>
      </c>
      <c r="AD55" s="110">
        <f t="shared" si="63"/>
        <v>3.653876614652745</v>
      </c>
      <c r="AE55" s="110">
        <f t="shared" si="64"/>
        <v>3.0397445343348886</v>
      </c>
      <c r="AF55" s="110">
        <f t="shared" si="65"/>
        <v>3934.9729585527657</v>
      </c>
    </row>
    <row r="56" spans="1:32" x14ac:dyDescent="0.2">
      <c r="A56" s="3">
        <v>3975</v>
      </c>
      <c r="B56" s="3">
        <v>0.27</v>
      </c>
      <c r="C56" s="3">
        <v>1.1200000000000001</v>
      </c>
      <c r="E56" s="93">
        <f t="shared" si="69"/>
        <v>4.7123889803846897E-3</v>
      </c>
      <c r="F56" s="93">
        <f t="shared" si="69"/>
        <v>1.9547687622336492E-2</v>
      </c>
      <c r="H56" s="86">
        <f t="shared" si="11"/>
        <v>1.6814771681157303E-3</v>
      </c>
      <c r="I56" s="86">
        <f t="shared" si="12"/>
        <v>1.0000002356138555</v>
      </c>
      <c r="J56" s="108">
        <f t="shared" si="13"/>
        <v>0.11666896443269273</v>
      </c>
      <c r="K56" s="108">
        <f t="shared" si="14"/>
        <v>-1.8685964692977113E-2</v>
      </c>
      <c r="L56" s="108">
        <f t="shared" si="15"/>
        <v>24.999717836984829</v>
      </c>
      <c r="M56" s="95">
        <f t="shared" si="72"/>
        <v>3.8448586855840312</v>
      </c>
      <c r="N56" s="95">
        <f t="shared" si="72"/>
        <v>3.0017400263063752</v>
      </c>
      <c r="O56" s="95">
        <f t="shared" si="72"/>
        <v>3974.97247936753</v>
      </c>
      <c r="Q56" s="18">
        <f t="shared" si="66"/>
        <v>3960</v>
      </c>
      <c r="R56" s="93">
        <f t="shared" si="57"/>
        <v>10</v>
      </c>
      <c r="S56" s="93">
        <f t="shared" si="67"/>
        <v>25</v>
      </c>
      <c r="T56" s="93">
        <f t="shared" si="68"/>
        <v>6.7259086724629218E-4</v>
      </c>
      <c r="U56" s="109">
        <f t="shared" si="58"/>
        <v>4.746923706143269E-3</v>
      </c>
      <c r="V56" s="112">
        <f t="shared" si="71"/>
        <v>0.27197869403260833</v>
      </c>
      <c r="W56" s="93">
        <f t="shared" si="59"/>
        <v>-0.19404600477139897</v>
      </c>
      <c r="X56" s="112">
        <f t="shared" si="54"/>
        <v>348.88198289522342</v>
      </c>
      <c r="Y56" s="110"/>
      <c r="Z56" s="86">
        <f t="shared" si="55"/>
        <v>1.0000000376982079</v>
      </c>
      <c r="AA56" s="108">
        <f t="shared" si="60"/>
        <v>4.6399301859116227E-2</v>
      </c>
      <c r="AB56" s="108">
        <f t="shared" si="61"/>
        <v>-1.2511677023293914E-2</v>
      </c>
      <c r="AC56" s="108">
        <f t="shared" si="62"/>
        <v>9.9998843389763508</v>
      </c>
      <c r="AD56" s="110">
        <f t="shared" si="63"/>
        <v>3.7745890230104546</v>
      </c>
      <c r="AE56" s="110">
        <f t="shared" si="64"/>
        <v>3.0079143139760585</v>
      </c>
      <c r="AF56" s="110">
        <f t="shared" si="65"/>
        <v>3959.9726458695213</v>
      </c>
    </row>
    <row r="57" spans="1:32" x14ac:dyDescent="0.2">
      <c r="A57" s="3">
        <v>4000</v>
      </c>
      <c r="B57" s="3">
        <v>0.33</v>
      </c>
      <c r="C57" s="3">
        <v>358.2</v>
      </c>
      <c r="E57" s="93">
        <f t="shared" si="69"/>
        <v>5.7595865315812874E-3</v>
      </c>
      <c r="F57" s="93">
        <f t="shared" si="69"/>
        <v>6.2517693806436885</v>
      </c>
      <c r="H57" s="86">
        <f t="shared" si="11"/>
        <v>1.0803244581283344E-3</v>
      </c>
      <c r="I57" s="86">
        <f t="shared" si="12"/>
        <v>1.0000000972584226</v>
      </c>
      <c r="J57" s="108">
        <f t="shared" si="13"/>
        <v>0.13085231193158203</v>
      </c>
      <c r="K57" s="108">
        <f t="shared" si="14"/>
        <v>-1.1100236606501131E-3</v>
      </c>
      <c r="L57" s="108">
        <f t="shared" si="15"/>
        <v>24.999656310713654</v>
      </c>
      <c r="M57" s="95">
        <f t="shared" si="72"/>
        <v>3.9757109975156131</v>
      </c>
      <c r="N57" s="95">
        <f t="shared" si="72"/>
        <v>3.0006300026457251</v>
      </c>
      <c r="O57" s="95">
        <f t="shared" si="72"/>
        <v>3999.9721356782438</v>
      </c>
      <c r="Q57" s="18">
        <f t="shared" si="66"/>
        <v>3985</v>
      </c>
      <c r="R57" s="93">
        <f t="shared" si="57"/>
        <v>10</v>
      </c>
      <c r="S57" s="93">
        <f t="shared" si="67"/>
        <v>25</v>
      </c>
      <c r="T57" s="93">
        <f t="shared" si="68"/>
        <v>4.3212978325133381E-4</v>
      </c>
      <c r="U57" s="109">
        <f t="shared" si="58"/>
        <v>5.1296195449694881E-3</v>
      </c>
      <c r="V57" s="112">
        <f t="shared" si="71"/>
        <v>0.29390555043456945</v>
      </c>
      <c r="W57" s="93">
        <f t="shared" si="59"/>
        <v>-3.33335543396103E-3</v>
      </c>
      <c r="X57" s="112">
        <f t="shared" si="54"/>
        <v>359.80901280201704</v>
      </c>
      <c r="Y57" s="110"/>
      <c r="Z57" s="86">
        <f t="shared" si="55"/>
        <v>1.000000015561346</v>
      </c>
      <c r="AA57" s="108">
        <f t="shared" si="60"/>
        <v>4.9205199725260461E-2</v>
      </c>
      <c r="AB57" s="108">
        <f t="shared" si="61"/>
        <v>3.750568156062837E-4</v>
      </c>
      <c r="AC57" s="108">
        <f t="shared" si="62"/>
        <v>9.9998788568421055</v>
      </c>
      <c r="AD57" s="110">
        <f t="shared" si="63"/>
        <v>3.8940638853092917</v>
      </c>
      <c r="AE57" s="110">
        <f t="shared" si="64"/>
        <v>3.0021150831219816</v>
      </c>
      <c r="AF57" s="110">
        <f t="shared" si="65"/>
        <v>3984.9723582243723</v>
      </c>
    </row>
    <row r="58" spans="1:32" x14ac:dyDescent="0.2">
      <c r="A58" s="3">
        <v>4025</v>
      </c>
      <c r="B58" s="3">
        <v>0.35</v>
      </c>
      <c r="C58" s="3">
        <v>342.93</v>
      </c>
      <c r="E58" s="93">
        <f t="shared" si="69"/>
        <v>6.1086523819801532E-3</v>
      </c>
      <c r="F58" s="93">
        <f t="shared" si="69"/>
        <v>5.9852576038641541</v>
      </c>
      <c r="H58" s="86">
        <f t="shared" si="11"/>
        <v>1.6143358861386847E-3</v>
      </c>
      <c r="I58" s="86">
        <f t="shared" si="12"/>
        <v>1.0000002171734192</v>
      </c>
      <c r="J58" s="108">
        <f t="shared" si="13"/>
        <v>0.14495282319074831</v>
      </c>
      <c r="K58" s="108">
        <f t="shared" si="14"/>
        <v>-2.4675425760979929E-2</v>
      </c>
      <c r="L58" s="108">
        <f t="shared" si="15"/>
        <v>24.999564877594818</v>
      </c>
      <c r="M58" s="95">
        <f t="shared" si="72"/>
        <v>4.1206638207063611</v>
      </c>
      <c r="N58" s="95">
        <f t="shared" si="72"/>
        <v>2.9759545768847451</v>
      </c>
      <c r="O58" s="95">
        <f t="shared" si="72"/>
        <v>4024.9717005558387</v>
      </c>
      <c r="Q58" s="18">
        <f t="shared" si="66"/>
        <v>4010</v>
      </c>
      <c r="R58" s="93">
        <f t="shared" si="57"/>
        <v>10</v>
      </c>
      <c r="S58" s="93">
        <f t="shared" si="67"/>
        <v>25</v>
      </c>
      <c r="T58" s="93">
        <f t="shared" si="68"/>
        <v>6.4573435445547389E-4</v>
      </c>
      <c r="U58" s="109">
        <f t="shared" si="58"/>
        <v>5.8484616235661147E-3</v>
      </c>
      <c r="V58" s="112">
        <f t="shared" si="71"/>
        <v>0.33509216767456756</v>
      </c>
      <c r="W58" s="93">
        <f t="shared" si="59"/>
        <v>-0.14167312093774581</v>
      </c>
      <c r="X58" s="112">
        <f t="shared" si="54"/>
        <v>351.88272809982067</v>
      </c>
      <c r="Y58" s="110"/>
      <c r="Z58" s="86">
        <f t="shared" si="55"/>
        <v>1.0000000347477394</v>
      </c>
      <c r="AA58" s="108">
        <f t="shared" si="60"/>
        <v>5.7732733914256894E-2</v>
      </c>
      <c r="AB58" s="108">
        <f t="shared" si="61"/>
        <v>-5.0335408067622728E-3</v>
      </c>
      <c r="AC58" s="108">
        <f t="shared" si="62"/>
        <v>9.9998319045935933</v>
      </c>
      <c r="AD58" s="110">
        <f t="shared" si="63"/>
        <v>4.0334437314298697</v>
      </c>
      <c r="AE58" s="110">
        <f t="shared" si="64"/>
        <v>2.995596461838963</v>
      </c>
      <c r="AF58" s="110">
        <f t="shared" si="65"/>
        <v>4009.9719675828374</v>
      </c>
    </row>
    <row r="59" spans="1:32" x14ac:dyDescent="0.2">
      <c r="A59" s="3">
        <v>4050</v>
      </c>
      <c r="B59" s="3">
        <v>0.33</v>
      </c>
      <c r="C59" s="3">
        <v>358.65</v>
      </c>
      <c r="E59" s="93">
        <f t="shared" si="69"/>
        <v>5.7595865315812874E-3</v>
      </c>
      <c r="F59" s="93">
        <f t="shared" si="69"/>
        <v>6.2596233622776625</v>
      </c>
      <c r="H59" s="86">
        <f t="shared" si="11"/>
        <v>1.6594346334501964E-3</v>
      </c>
      <c r="I59" s="86">
        <f t="shared" si="12"/>
        <v>1.000000229477005</v>
      </c>
      <c r="J59" s="108">
        <f t="shared" si="13"/>
        <v>0.1449683664054992</v>
      </c>
      <c r="K59" s="108">
        <f t="shared" si="14"/>
        <v>-2.4110198051038707E-2</v>
      </c>
      <c r="L59" s="108">
        <f t="shared" si="15"/>
        <v>24.999565185179041</v>
      </c>
      <c r="M59" s="95">
        <f t="shared" si="72"/>
        <v>4.2656321871118603</v>
      </c>
      <c r="N59" s="95">
        <f t="shared" si="72"/>
        <v>2.9518443788337065</v>
      </c>
      <c r="O59" s="95">
        <f t="shared" si="72"/>
        <v>4049.9712657410178</v>
      </c>
      <c r="Q59" s="18">
        <f t="shared" si="66"/>
        <v>4035</v>
      </c>
      <c r="R59" s="93">
        <f t="shared" si="57"/>
        <v>10</v>
      </c>
      <c r="S59" s="93">
        <f t="shared" si="67"/>
        <v>25</v>
      </c>
      <c r="T59" s="93">
        <f t="shared" si="68"/>
        <v>6.6377385338007861E-4</v>
      </c>
      <c r="U59" s="109">
        <f t="shared" si="58"/>
        <v>5.9158793798455012E-3</v>
      </c>
      <c r="V59" s="112">
        <f t="shared" si="71"/>
        <v>0.33895492057361803</v>
      </c>
      <c r="W59" s="93">
        <f t="shared" si="59"/>
        <v>-0.19221945429140341</v>
      </c>
      <c r="X59" s="112">
        <f t="shared" si="54"/>
        <v>348.98663652879475</v>
      </c>
      <c r="Y59" s="110"/>
      <c r="Z59" s="86">
        <f t="shared" si="55"/>
        <v>1.0000000367163122</v>
      </c>
      <c r="AA59" s="108">
        <f t="shared" si="60"/>
        <v>5.8232008874156138E-2</v>
      </c>
      <c r="AB59" s="108">
        <f t="shared" si="61"/>
        <v>-1.4616362909104709E-2</v>
      </c>
      <c r="AC59" s="108">
        <f t="shared" si="62"/>
        <v>9.9998195845448503</v>
      </c>
      <c r="AD59" s="110">
        <f t="shared" si="63"/>
        <v>4.178895829580517</v>
      </c>
      <c r="AE59" s="110">
        <f t="shared" si="64"/>
        <v>2.9613382139756403</v>
      </c>
      <c r="AF59" s="110">
        <f t="shared" si="65"/>
        <v>4034.9715201403833</v>
      </c>
    </row>
    <row r="60" spans="1:32" x14ac:dyDescent="0.2">
      <c r="A60" s="3">
        <v>4075</v>
      </c>
      <c r="B60" s="3">
        <v>0.33</v>
      </c>
      <c r="C60" s="3">
        <v>5.52</v>
      </c>
      <c r="E60" s="93">
        <f t="shared" si="69"/>
        <v>5.7595865315812874E-3</v>
      </c>
      <c r="F60" s="93">
        <f t="shared" si="69"/>
        <v>9.6342174710086978E-2</v>
      </c>
      <c r="H60" s="86">
        <f t="shared" si="11"/>
        <v>6.9018072748905368E-4</v>
      </c>
      <c r="I60" s="86">
        <f t="shared" si="12"/>
        <v>1.0000000396957882</v>
      </c>
      <c r="J60" s="108">
        <f t="shared" si="13"/>
        <v>0.14363502828524471</v>
      </c>
      <c r="K60" s="108">
        <f t="shared" si="14"/>
        <v>5.2292036283653458E-3</v>
      </c>
      <c r="L60" s="108">
        <f t="shared" si="15"/>
        <v>24.999586333061849</v>
      </c>
      <c r="M60" s="95">
        <f t="shared" si="72"/>
        <v>4.4092672153971053</v>
      </c>
      <c r="N60" s="95">
        <f t="shared" si="72"/>
        <v>2.9570735824620717</v>
      </c>
      <c r="O60" s="95">
        <f t="shared" si="72"/>
        <v>4074.9708520740796</v>
      </c>
      <c r="Q60" s="18">
        <f t="shared" si="66"/>
        <v>4060</v>
      </c>
      <c r="R60" s="93">
        <f t="shared" si="57"/>
        <v>10</v>
      </c>
      <c r="S60" s="93">
        <f t="shared" si="67"/>
        <v>25</v>
      </c>
      <c r="T60" s="93">
        <f t="shared" si="68"/>
        <v>2.7607229099562146E-4</v>
      </c>
      <c r="U60" s="109">
        <f t="shared" si="58"/>
        <v>5.7496534164647173E-3</v>
      </c>
      <c r="V60" s="112">
        <f t="shared" si="71"/>
        <v>0.32943087442640295</v>
      </c>
      <c r="W60" s="93">
        <f t="shared" si="59"/>
        <v>2.43858938476283E-2</v>
      </c>
      <c r="X60" s="112">
        <f t="shared" si="54"/>
        <v>1.3972087971231417</v>
      </c>
      <c r="Y60" s="110"/>
      <c r="Z60" s="86">
        <f t="shared" si="55"/>
        <v>1.0000000063513259</v>
      </c>
      <c r="AA60" s="108">
        <f t="shared" si="60"/>
        <v>5.7529341678975714E-2</v>
      </c>
      <c r="AB60" s="108">
        <f t="shared" si="61"/>
        <v>2.2510076705929338E-5</v>
      </c>
      <c r="AC60" s="108">
        <f t="shared" si="62"/>
        <v>9.9998344855905845</v>
      </c>
      <c r="AD60" s="110">
        <f t="shared" si="63"/>
        <v>4.3231615287908358</v>
      </c>
      <c r="AE60" s="110">
        <f t="shared" si="64"/>
        <v>2.9518668889104123</v>
      </c>
      <c r="AF60" s="110">
        <f t="shared" si="65"/>
        <v>4059.9711002266085</v>
      </c>
    </row>
    <row r="61" spans="1:32" x14ac:dyDescent="0.2">
      <c r="A61" s="3">
        <v>4100</v>
      </c>
      <c r="B61" s="3">
        <v>0.33</v>
      </c>
      <c r="C61" s="3">
        <v>344.7</v>
      </c>
      <c r="E61" s="93">
        <f t="shared" si="69"/>
        <v>5.7595865315812874E-3</v>
      </c>
      <c r="F61" s="93">
        <f t="shared" si="69"/>
        <v>6.0161499316244536</v>
      </c>
      <c r="H61" s="86">
        <f t="shared" si="11"/>
        <v>2.081397557525122E-3</v>
      </c>
      <c r="I61" s="86">
        <f t="shared" si="12"/>
        <v>1.0000003610181392</v>
      </c>
      <c r="J61" s="108">
        <f t="shared" si="13"/>
        <v>0.14110338842019202</v>
      </c>
      <c r="K61" s="108">
        <f t="shared" si="14"/>
        <v>-1.2072019787034764E-2</v>
      </c>
      <c r="L61" s="108">
        <f t="shared" si="15"/>
        <v>24.999594365987384</v>
      </c>
      <c r="M61" s="95">
        <f t="shared" si="72"/>
        <v>4.5503706038172975</v>
      </c>
      <c r="N61" s="95">
        <f t="shared" si="72"/>
        <v>2.9450015626750368</v>
      </c>
      <c r="O61" s="95">
        <f t="shared" si="72"/>
        <v>4099.9704464400675</v>
      </c>
      <c r="Q61" s="18">
        <f t="shared" si="66"/>
        <v>4085</v>
      </c>
      <c r="R61" s="93">
        <f t="shared" si="57"/>
        <v>10</v>
      </c>
      <c r="S61" s="93">
        <f t="shared" si="67"/>
        <v>25</v>
      </c>
      <c r="T61" s="93">
        <f t="shared" si="68"/>
        <v>8.325590230100488E-4</v>
      </c>
      <c r="U61" s="109">
        <f t="shared" si="58"/>
        <v>5.6686079725418725E-3</v>
      </c>
      <c r="V61" s="112">
        <f t="shared" si="71"/>
        <v>0.32478731254085974</v>
      </c>
      <c r="W61" s="93">
        <f t="shared" si="59"/>
        <v>-4.8620182151162608E-2</v>
      </c>
      <c r="X61" s="112">
        <f t="shared" si="54"/>
        <v>357.21426876358106</v>
      </c>
      <c r="Y61" s="110"/>
      <c r="Z61" s="86">
        <f t="shared" si="55"/>
        <v>1.0000000577628811</v>
      </c>
      <c r="AA61" s="108">
        <f t="shared" si="60"/>
        <v>5.6973626756222383E-2</v>
      </c>
      <c r="AB61" s="108">
        <f t="shared" si="61"/>
        <v>1.3926567022992155E-3</v>
      </c>
      <c r="AC61" s="108">
        <f t="shared" si="62"/>
        <v>9.9998373131803469</v>
      </c>
      <c r="AD61" s="110">
        <f t="shared" si="63"/>
        <v>4.4662408421533275</v>
      </c>
      <c r="AE61" s="110">
        <f t="shared" si="64"/>
        <v>2.958466239164371</v>
      </c>
      <c r="AF61" s="110">
        <f t="shared" si="65"/>
        <v>4084.9706893872599</v>
      </c>
    </row>
    <row r="62" spans="1:32" x14ac:dyDescent="0.2">
      <c r="A62" s="3">
        <v>4125</v>
      </c>
      <c r="B62" s="3">
        <v>0.32</v>
      </c>
      <c r="C62" s="3">
        <v>2.13</v>
      </c>
      <c r="E62" s="93">
        <f t="shared" si="69"/>
        <v>5.5850536063818549E-3</v>
      </c>
      <c r="F62" s="93">
        <f t="shared" si="69"/>
        <v>3.7175513067479217E-2</v>
      </c>
      <c r="H62" s="86">
        <f t="shared" si="11"/>
        <v>1.7275619296908129E-3</v>
      </c>
      <c r="I62" s="86">
        <f t="shared" si="12"/>
        <v>1.0000002487059259</v>
      </c>
      <c r="J62" s="108">
        <f t="shared" si="13"/>
        <v>0.13920737102417138</v>
      </c>
      <c r="K62" s="108">
        <f t="shared" si="14"/>
        <v>-1.6402665687165835E-2</v>
      </c>
      <c r="L62" s="108">
        <f t="shared" si="15"/>
        <v>24.999603933248</v>
      </c>
      <c r="M62" s="95">
        <f t="shared" si="72"/>
        <v>4.6895779748414688</v>
      </c>
      <c r="N62" s="95">
        <f t="shared" si="72"/>
        <v>2.9285988969878711</v>
      </c>
      <c r="O62" s="95">
        <f t="shared" si="72"/>
        <v>4124.9700503733156</v>
      </c>
      <c r="Q62" s="18">
        <f t="shared" si="66"/>
        <v>4110</v>
      </c>
      <c r="R62" s="93">
        <f t="shared" si="57"/>
        <v>10</v>
      </c>
      <c r="S62" s="93">
        <f t="shared" si="67"/>
        <v>25</v>
      </c>
      <c r="T62" s="93">
        <f t="shared" si="68"/>
        <v>6.9102477187632516E-4</v>
      </c>
      <c r="U62" s="109">
        <f t="shared" si="58"/>
        <v>5.6271277129362751E-3</v>
      </c>
      <c r="V62" s="112">
        <f t="shared" si="71"/>
        <v>0.32241066873235202</v>
      </c>
      <c r="W62" s="93">
        <f t="shared" si="59"/>
        <v>-0.14783293215819926</v>
      </c>
      <c r="X62" s="112">
        <f t="shared" si="54"/>
        <v>351.52979691429135</v>
      </c>
      <c r="Y62" s="110"/>
      <c r="Z62" s="86">
        <f t="shared" si="55"/>
        <v>1.0000000397929383</v>
      </c>
      <c r="AA62" s="108">
        <f t="shared" si="60"/>
        <v>5.5605713214556922E-2</v>
      </c>
      <c r="AB62" s="108">
        <f t="shared" si="61"/>
        <v>-1.1743175174301795E-2</v>
      </c>
      <c r="AC62" s="108">
        <f t="shared" si="62"/>
        <v>9.9998383048527941</v>
      </c>
      <c r="AD62" s="110">
        <f t="shared" si="63"/>
        <v>4.6059763170318542</v>
      </c>
      <c r="AE62" s="110">
        <f t="shared" si="64"/>
        <v>2.933258387500735</v>
      </c>
      <c r="AF62" s="110">
        <f t="shared" si="65"/>
        <v>4109.9702847449198</v>
      </c>
    </row>
    <row r="63" spans="1:32" x14ac:dyDescent="0.2">
      <c r="A63" s="3">
        <v>4150</v>
      </c>
      <c r="B63" s="3">
        <v>0.33</v>
      </c>
      <c r="C63" s="3">
        <v>17.62</v>
      </c>
      <c r="E63" s="93">
        <f t="shared" si="69"/>
        <v>5.7595865315812874E-3</v>
      </c>
      <c r="F63" s="93">
        <f t="shared" si="69"/>
        <v>0.30752701420140088</v>
      </c>
      <c r="H63" s="86">
        <f t="shared" si="11"/>
        <v>1.5385965686991465E-3</v>
      </c>
      <c r="I63" s="86">
        <f t="shared" si="12"/>
        <v>1.0000001972733301</v>
      </c>
      <c r="J63" s="108">
        <f t="shared" si="13"/>
        <v>0.13838141794806455</v>
      </c>
      <c r="K63" s="108">
        <f t="shared" si="14"/>
        <v>2.438763611569272E-2</v>
      </c>
      <c r="L63" s="108">
        <f t="shared" si="15"/>
        <v>24.999602647453798</v>
      </c>
      <c r="M63" s="95">
        <f t="shared" si="72"/>
        <v>4.8279593927895332</v>
      </c>
      <c r="N63" s="95">
        <f t="shared" si="72"/>
        <v>2.9529865331035636</v>
      </c>
      <c r="O63" s="95">
        <f t="shared" si="72"/>
        <v>4149.9696530207693</v>
      </c>
      <c r="Q63" s="18">
        <f t="shared" si="66"/>
        <v>4135</v>
      </c>
      <c r="R63" s="93">
        <f t="shared" si="57"/>
        <v>10</v>
      </c>
      <c r="S63" s="93">
        <f t="shared" si="67"/>
        <v>25</v>
      </c>
      <c r="T63" s="93">
        <f t="shared" si="68"/>
        <v>6.1543862747965867E-4</v>
      </c>
      <c r="U63" s="109">
        <f t="shared" si="58"/>
        <v>5.6050591366894054E-3</v>
      </c>
      <c r="V63" s="112">
        <f t="shared" si="71"/>
        <v>0.32114623245354373</v>
      </c>
      <c r="W63" s="93">
        <f t="shared" si="59"/>
        <v>0.14717043263741805</v>
      </c>
      <c r="X63" s="112">
        <f t="shared" si="54"/>
        <v>8.4322446592384388</v>
      </c>
      <c r="Y63" s="110"/>
      <c r="Z63" s="86">
        <f t="shared" si="55"/>
        <v>1.0000000315637265</v>
      </c>
      <c r="AA63" s="108">
        <f t="shared" si="60"/>
        <v>5.562802639146016E-2</v>
      </c>
      <c r="AB63" s="108">
        <f t="shared" si="61"/>
        <v>5.1474924841648419E-3</v>
      </c>
      <c r="AC63" s="108">
        <f t="shared" si="62"/>
        <v>9.9998437922613785</v>
      </c>
      <c r="AD63" s="110">
        <f t="shared" si="63"/>
        <v>4.7452060012329289</v>
      </c>
      <c r="AE63" s="110">
        <f t="shared" si="64"/>
        <v>2.9337463894720361</v>
      </c>
      <c r="AF63" s="110">
        <f t="shared" si="65"/>
        <v>4134.969894165577</v>
      </c>
    </row>
    <row r="64" spans="1:32" x14ac:dyDescent="0.2">
      <c r="A64" s="3">
        <v>4175</v>
      </c>
      <c r="B64" s="3">
        <v>0.28000000000000003</v>
      </c>
      <c r="C64" s="3">
        <v>16.93</v>
      </c>
      <c r="E64" s="93">
        <f t="shared" si="69"/>
        <v>4.8869219055841231E-3</v>
      </c>
      <c r="F64" s="93">
        <f t="shared" si="69"/>
        <v>0.29548424236263998</v>
      </c>
      <c r="H64" s="86">
        <f t="shared" si="11"/>
        <v>8.7500029947951141E-4</v>
      </c>
      <c r="I64" s="86">
        <f t="shared" si="12"/>
        <v>1.000000063802132</v>
      </c>
      <c r="J64" s="108">
        <f t="shared" si="13"/>
        <v>0.12705570448475326</v>
      </c>
      <c r="K64" s="108">
        <f t="shared" si="14"/>
        <v>3.9581421415807207E-2</v>
      </c>
      <c r="L64" s="108">
        <f t="shared" si="15"/>
        <v>24.999645003133711</v>
      </c>
      <c r="M64" s="95">
        <f t="shared" si="72"/>
        <v>4.9550150972742868</v>
      </c>
      <c r="N64" s="95">
        <f t="shared" si="72"/>
        <v>2.9925679545193709</v>
      </c>
      <c r="O64" s="95">
        <f t="shared" si="72"/>
        <v>4174.9692980239033</v>
      </c>
      <c r="Q64" s="18">
        <f t="shared" si="66"/>
        <v>4160</v>
      </c>
      <c r="R64" s="93">
        <f t="shared" si="57"/>
        <v>10</v>
      </c>
      <c r="S64" s="93">
        <f t="shared" si="67"/>
        <v>25</v>
      </c>
      <c r="T64" s="93">
        <f t="shared" si="68"/>
        <v>3.5000011979180456E-4</v>
      </c>
      <c r="U64" s="109">
        <f t="shared" si="58"/>
        <v>5.410430147105183E-3</v>
      </c>
      <c r="V64" s="112">
        <f t="shared" si="71"/>
        <v>0.30999481277947211</v>
      </c>
      <c r="W64" s="93">
        <f t="shared" si="59"/>
        <v>0.30317609153989483</v>
      </c>
      <c r="X64" s="112">
        <f t="shared" si="54"/>
        <v>17.370710494507879</v>
      </c>
      <c r="Y64" s="110"/>
      <c r="Z64" s="86">
        <f t="shared" si="55"/>
        <v>1.0000000102083404</v>
      </c>
      <c r="AA64" s="108">
        <f t="shared" si="60"/>
        <v>5.3264987557664858E-2</v>
      </c>
      <c r="AB64" s="108">
        <f t="shared" si="61"/>
        <v>1.6793620952270008E-2</v>
      </c>
      <c r="AC64" s="108">
        <f t="shared" si="62"/>
        <v>9.9998439885111097</v>
      </c>
      <c r="AD64" s="110">
        <f t="shared" si="63"/>
        <v>4.8812243803471977</v>
      </c>
      <c r="AE64" s="110">
        <f t="shared" si="64"/>
        <v>2.9697801540558335</v>
      </c>
      <c r="AF64" s="110">
        <f t="shared" si="65"/>
        <v>4159.9694970092805</v>
      </c>
    </row>
    <row r="65" spans="1:32" x14ac:dyDescent="0.2">
      <c r="A65" s="3">
        <v>4200</v>
      </c>
      <c r="B65" s="3">
        <v>0.28000000000000003</v>
      </c>
      <c r="C65" s="3">
        <v>33.85</v>
      </c>
      <c r="E65" s="93">
        <f t="shared" si="69"/>
        <v>4.8869219055841231E-3</v>
      </c>
      <c r="F65" s="93">
        <f t="shared" si="69"/>
        <v>0.59079395180008054</v>
      </c>
      <c r="H65" s="86">
        <f t="shared" si="11"/>
        <v>1.4379116665008684E-3</v>
      </c>
      <c r="I65" s="86">
        <f t="shared" si="12"/>
        <v>1.0000001722991991</v>
      </c>
      <c r="J65" s="108">
        <f t="shared" si="13"/>
        <v>0.10917097221170796</v>
      </c>
      <c r="K65" s="108">
        <f t="shared" si="14"/>
        <v>5.1814840826155464E-2</v>
      </c>
      <c r="L65" s="108">
        <f t="shared" si="15"/>
        <v>24.999705782951267</v>
      </c>
      <c r="M65" s="95">
        <f t="shared" si="72"/>
        <v>5.064186069485995</v>
      </c>
      <c r="N65" s="95">
        <f t="shared" si="72"/>
        <v>3.0443827953455265</v>
      </c>
      <c r="O65" s="95">
        <f t="shared" si="72"/>
        <v>4199.9690038068547</v>
      </c>
      <c r="Q65" s="18">
        <f t="shared" si="66"/>
        <v>4185</v>
      </c>
      <c r="R65" s="93">
        <f t="shared" si="57"/>
        <v>10</v>
      </c>
      <c r="S65" s="93">
        <f t="shared" si="67"/>
        <v>25</v>
      </c>
      <c r="T65" s="93">
        <f t="shared" si="68"/>
        <v>5.7516466660034737E-4</v>
      </c>
      <c r="U65" s="109">
        <f t="shared" si="58"/>
        <v>4.8358854396188811E-3</v>
      </c>
      <c r="V65" s="112">
        <f t="shared" si="71"/>
        <v>0.2770758258989286</v>
      </c>
      <c r="W65" s="93">
        <f t="shared" si="59"/>
        <v>0.41340040181234855</v>
      </c>
      <c r="X65" s="112">
        <f t="shared" si="54"/>
        <v>23.686098272859962</v>
      </c>
      <c r="Y65" s="110"/>
      <c r="Z65" s="86">
        <f t="shared" si="55"/>
        <v>1.0000000275678671</v>
      </c>
      <c r="AA65" s="108">
        <f t="shared" si="60"/>
        <v>4.5518020257004105E-2</v>
      </c>
      <c r="AB65" s="108">
        <f t="shared" si="61"/>
        <v>1.6828864126305638E-2</v>
      </c>
      <c r="AC65" s="108">
        <f t="shared" si="62"/>
        <v>9.9998821064239323</v>
      </c>
      <c r="AD65" s="110">
        <f t="shared" si="63"/>
        <v>5.0005331175312913</v>
      </c>
      <c r="AE65" s="110">
        <f t="shared" si="64"/>
        <v>3.0093968186456763</v>
      </c>
      <c r="AF65" s="110">
        <f t="shared" si="65"/>
        <v>4184.969180130327</v>
      </c>
    </row>
    <row r="66" spans="1:32" x14ac:dyDescent="0.2">
      <c r="A66" s="3">
        <v>4225</v>
      </c>
      <c r="B66" s="3">
        <v>0.22</v>
      </c>
      <c r="C66" s="3">
        <v>66.38</v>
      </c>
      <c r="E66" s="93">
        <f t="shared" si="69"/>
        <v>3.8397243543875251E-3</v>
      </c>
      <c r="F66" s="93">
        <f t="shared" si="69"/>
        <v>1.1585495574738358</v>
      </c>
      <c r="H66" s="86">
        <f t="shared" si="11"/>
        <v>2.6428190531559981E-3</v>
      </c>
      <c r="I66" s="86">
        <f t="shared" si="12"/>
        <v>1.0000005820414521</v>
      </c>
      <c r="J66" s="108">
        <f t="shared" si="13"/>
        <v>6.9962795416891391E-2</v>
      </c>
      <c r="K66" s="108">
        <f t="shared" si="14"/>
        <v>7.8001796004050869E-2</v>
      </c>
      <c r="L66" s="108">
        <f t="shared" si="15"/>
        <v>24.999773142000883</v>
      </c>
      <c r="M66" s="95">
        <f t="shared" si="72"/>
        <v>5.1341488649028868</v>
      </c>
      <c r="N66" s="95">
        <f t="shared" si="72"/>
        <v>3.1223845913495771</v>
      </c>
      <c r="O66" s="95">
        <f t="shared" si="72"/>
        <v>4224.9687769488555</v>
      </c>
      <c r="Q66" s="18">
        <f t="shared" si="66"/>
        <v>4210</v>
      </c>
      <c r="R66" s="93">
        <f t="shared" si="57"/>
        <v>10</v>
      </c>
      <c r="S66" s="93">
        <f t="shared" si="67"/>
        <v>25</v>
      </c>
      <c r="T66" s="93">
        <f t="shared" si="68"/>
        <v>1.0571276212623993E-3</v>
      </c>
      <c r="U66" s="109">
        <f t="shared" si="58"/>
        <v>4.3070090094514679E-3</v>
      </c>
      <c r="V66" s="112">
        <f t="shared" si="71"/>
        <v>0.24677343856639039</v>
      </c>
      <c r="W66" s="93">
        <f t="shared" si="59"/>
        <v>0.78374915378639887</v>
      </c>
      <c r="X66" s="112">
        <f t="shared" si="54"/>
        <v>44.905518708910357</v>
      </c>
      <c r="Y66" s="110"/>
      <c r="Z66" s="86">
        <f t="shared" si="55"/>
        <v>1.0000000931265778</v>
      </c>
      <c r="AA66" s="108">
        <f t="shared" si="60"/>
        <v>3.5545452758706728E-2</v>
      </c>
      <c r="AB66" s="108">
        <f t="shared" si="61"/>
        <v>2.8812927013919909E-2</v>
      </c>
      <c r="AC66" s="108">
        <f t="shared" si="62"/>
        <v>9.9998948506156147</v>
      </c>
      <c r="AD66" s="110">
        <f t="shared" si="63"/>
        <v>5.0997315222447019</v>
      </c>
      <c r="AE66" s="110">
        <f t="shared" si="64"/>
        <v>3.0731957223594462</v>
      </c>
      <c r="AF66" s="110">
        <f t="shared" si="65"/>
        <v>4209.9688986574702</v>
      </c>
    </row>
    <row r="67" spans="1:32" x14ac:dyDescent="0.2">
      <c r="A67" s="3">
        <v>4250</v>
      </c>
      <c r="B67" s="3">
        <v>0.13</v>
      </c>
      <c r="C67" s="3">
        <v>90.82</v>
      </c>
      <c r="E67" s="93">
        <f t="shared" si="69"/>
        <v>2.2689280275926286E-3</v>
      </c>
      <c r="F67" s="93">
        <f t="shared" si="69"/>
        <v>1.5851080266612501</v>
      </c>
      <c r="H67" s="86">
        <f t="shared" si="11"/>
        <v>2.007158206342563E-3</v>
      </c>
      <c r="I67" s="86">
        <f t="shared" si="12"/>
        <v>1.0000003357238074</v>
      </c>
      <c r="J67" s="108">
        <f t="shared" si="13"/>
        <v>1.8824796221890608E-2</v>
      </c>
      <c r="K67" s="108">
        <f t="shared" si="14"/>
        <v>7.2334131225841466E-2</v>
      </c>
      <c r="L67" s="108">
        <f t="shared" si="15"/>
        <v>24.999884071196014</v>
      </c>
      <c r="M67" s="95">
        <f t="shared" si="72"/>
        <v>5.1529736611247774</v>
      </c>
      <c r="N67" s="95">
        <f t="shared" si="72"/>
        <v>3.1947187225754186</v>
      </c>
      <c r="O67" s="95">
        <f t="shared" si="72"/>
        <v>4249.9686610200515</v>
      </c>
      <c r="Q67" s="18">
        <f t="shared" si="66"/>
        <v>4235</v>
      </c>
      <c r="R67" s="93">
        <f t="shared" si="57"/>
        <v>10</v>
      </c>
      <c r="S67" s="93">
        <f t="shared" si="67"/>
        <v>25</v>
      </c>
      <c r="T67" s="93">
        <f t="shared" si="68"/>
        <v>8.0286328253702526E-4</v>
      </c>
      <c r="U67" s="109">
        <f t="shared" si="58"/>
        <v>3.1525260494038587E-3</v>
      </c>
      <c r="V67" s="112">
        <f t="shared" si="71"/>
        <v>0.18062643743589196</v>
      </c>
      <c r="W67" s="93">
        <f t="shared" si="59"/>
        <v>1.2779435671570862</v>
      </c>
      <c r="X67" s="112">
        <f t="shared" si="54"/>
        <v>73.220772853994319</v>
      </c>
      <c r="Y67" s="110"/>
      <c r="Z67" s="86">
        <f t="shared" si="55"/>
        <v>1.0000000537157909</v>
      </c>
      <c r="AA67" s="108">
        <f t="shared" si="60"/>
        <v>1.2242694625098031E-2</v>
      </c>
      <c r="AB67" s="108">
        <f t="shared" si="61"/>
        <v>3.2681674980542391E-2</v>
      </c>
      <c r="AC67" s="108">
        <f t="shared" si="62"/>
        <v>9.9999388324614333</v>
      </c>
      <c r="AD67" s="110">
        <f t="shared" si="63"/>
        <v>5.1463915595279852</v>
      </c>
      <c r="AE67" s="110">
        <f t="shared" si="64"/>
        <v>3.1550662663301194</v>
      </c>
      <c r="AF67" s="110">
        <f t="shared" si="65"/>
        <v>4234.9687157813169</v>
      </c>
    </row>
    <row r="68" spans="1:32" x14ac:dyDescent="0.2">
      <c r="A68" s="3">
        <v>4275</v>
      </c>
      <c r="B68" s="3">
        <v>0.22</v>
      </c>
      <c r="C68" s="3">
        <v>147.27000000000001</v>
      </c>
      <c r="E68" s="93">
        <f t="shared" si="69"/>
        <v>3.8397243543875251E-3</v>
      </c>
      <c r="F68" s="93">
        <f t="shared" si="69"/>
        <v>2.5703463894120495</v>
      </c>
      <c r="H68" s="86">
        <f t="shared" si="11"/>
        <v>3.2034059597949582E-3</v>
      </c>
      <c r="I68" s="86">
        <f t="shared" si="12"/>
        <v>1.0000008551516895</v>
      </c>
      <c r="J68" s="108">
        <f t="shared" si="13"/>
        <v>-4.0781859935592295E-2</v>
      </c>
      <c r="K68" s="108">
        <f t="shared" si="14"/>
        <v>5.4309472505152771E-2</v>
      </c>
      <c r="L68" s="108">
        <f t="shared" si="15"/>
        <v>24.999897056828488</v>
      </c>
      <c r="M68" s="95">
        <f t="shared" si="72"/>
        <v>5.1121918011891854</v>
      </c>
      <c r="N68" s="95">
        <f t="shared" si="72"/>
        <v>3.2490281950805713</v>
      </c>
      <c r="O68" s="95">
        <f t="shared" si="72"/>
        <v>4274.9685580768801</v>
      </c>
      <c r="Q68" s="18">
        <f t="shared" si="66"/>
        <v>4260</v>
      </c>
      <c r="R68" s="93">
        <f t="shared" si="57"/>
        <v>10</v>
      </c>
      <c r="S68" s="93">
        <f t="shared" si="67"/>
        <v>25</v>
      </c>
      <c r="T68" s="93">
        <f t="shared" si="68"/>
        <v>1.2813623839179834E-3</v>
      </c>
      <c r="U68" s="109">
        <f t="shared" si="58"/>
        <v>2.5540915728807789E-3</v>
      </c>
      <c r="V68" s="112">
        <f t="shared" si="71"/>
        <v>0.14633866761599873</v>
      </c>
      <c r="W68" s="93">
        <f t="shared" si="59"/>
        <v>2.1100503817199754</v>
      </c>
      <c r="X68" s="112">
        <f t="shared" si="54"/>
        <v>120.89698143252291</v>
      </c>
      <c r="Y68" s="110"/>
      <c r="Z68" s="86">
        <f t="shared" si="55"/>
        <v>1.0000001368241525</v>
      </c>
      <c r="AA68" s="108">
        <f t="shared" si="60"/>
        <v>-6.7199288003005403E-3</v>
      </c>
      <c r="AB68" s="108">
        <f t="shared" si="61"/>
        <v>2.2301686948575684E-2</v>
      </c>
      <c r="AC68" s="108">
        <f t="shared" si="62"/>
        <v>9.9999721897065257</v>
      </c>
      <c r="AD68" s="110">
        <f t="shared" si="63"/>
        <v>5.1462537323244772</v>
      </c>
      <c r="AE68" s="110">
        <f t="shared" si="64"/>
        <v>3.217020409523994</v>
      </c>
      <c r="AF68" s="110">
        <f t="shared" si="65"/>
        <v>4259.9686332097581</v>
      </c>
    </row>
    <row r="69" spans="1:32" x14ac:dyDescent="0.2">
      <c r="A69" s="3">
        <v>4300</v>
      </c>
      <c r="B69" s="3">
        <v>0.28000000000000003</v>
      </c>
      <c r="C69" s="3">
        <v>173.22</v>
      </c>
      <c r="E69" s="93">
        <f t="shared" si="69"/>
        <v>4.8869219055841231E-3</v>
      </c>
      <c r="F69" s="93">
        <f t="shared" si="69"/>
        <v>3.0232593303045778</v>
      </c>
      <c r="H69" s="86">
        <f t="shared" si="11"/>
        <v>2.2091629782823308E-3</v>
      </c>
      <c r="I69" s="86">
        <f t="shared" si="12"/>
        <v>1.0000004067002872</v>
      </c>
      <c r="J69" s="108">
        <f t="shared" si="13"/>
        <v>-0.10103506842203125</v>
      </c>
      <c r="K69" s="108">
        <f t="shared" si="14"/>
        <v>3.3162452529580042E-2</v>
      </c>
      <c r="L69" s="108">
        <f t="shared" si="15"/>
        <v>24.99976875851409</v>
      </c>
      <c r="M69" s="95">
        <f t="shared" si="72"/>
        <v>5.0111567327671542</v>
      </c>
      <c r="N69" s="95">
        <f t="shared" si="72"/>
        <v>3.2821906476101512</v>
      </c>
      <c r="O69" s="95">
        <f t="shared" si="72"/>
        <v>4299.9683268353938</v>
      </c>
      <c r="Q69" s="18">
        <f t="shared" si="66"/>
        <v>4285</v>
      </c>
      <c r="R69" s="93">
        <f t="shared" si="57"/>
        <v>10</v>
      </c>
      <c r="S69" s="93">
        <f t="shared" si="67"/>
        <v>25</v>
      </c>
      <c r="T69" s="93">
        <f t="shared" si="68"/>
        <v>8.8366519131293235E-4</v>
      </c>
      <c r="U69" s="109">
        <f t="shared" si="58"/>
        <v>4.1506145681535767E-3</v>
      </c>
      <c r="V69" s="112">
        <f t="shared" si="71"/>
        <v>0.23781269714071473</v>
      </c>
      <c r="W69" s="93">
        <f t="shared" si="59"/>
        <v>2.7779189943751157</v>
      </c>
      <c r="X69" s="112">
        <f t="shared" si="54"/>
        <v>159.16303420692</v>
      </c>
      <c r="Y69" s="110"/>
      <c r="Z69" s="86">
        <f t="shared" si="55"/>
        <v>1.0000000650720193</v>
      </c>
      <c r="AA69" s="108">
        <f t="shared" si="60"/>
        <v>-3.5546067907648533E-2</v>
      </c>
      <c r="AB69" s="108">
        <f t="shared" si="61"/>
        <v>1.776235763103309E-2</v>
      </c>
      <c r="AC69" s="108">
        <f t="shared" si="62"/>
        <v>9.9999207231110798</v>
      </c>
      <c r="AD69" s="110">
        <f t="shared" si="63"/>
        <v>5.0766457332815369</v>
      </c>
      <c r="AE69" s="110">
        <f t="shared" si="64"/>
        <v>3.2667905527116043</v>
      </c>
      <c r="AF69" s="110">
        <f t="shared" si="65"/>
        <v>4284.9684787999913</v>
      </c>
    </row>
    <row r="70" spans="1:32" x14ac:dyDescent="0.2">
      <c r="A70" s="3">
        <v>4325</v>
      </c>
      <c r="B70" s="3">
        <v>0.5</v>
      </c>
      <c r="C70" s="3">
        <v>191.95</v>
      </c>
      <c r="E70" s="93">
        <f t="shared" si="69"/>
        <v>8.7266462599716477E-3</v>
      </c>
      <c r="F70" s="93">
        <f t="shared" si="69"/>
        <v>3.3501594992031154</v>
      </c>
      <c r="H70" s="86">
        <f t="shared" si="11"/>
        <v>4.3886600838975998E-3</v>
      </c>
      <c r="I70" s="86">
        <f t="shared" si="12"/>
        <v>1.0000016050312022</v>
      </c>
      <c r="J70" s="108">
        <f t="shared" si="13"/>
        <v>-0.16737710727266236</v>
      </c>
      <c r="K70" s="108">
        <f t="shared" si="14"/>
        <v>-1.5374579402023344E-2</v>
      </c>
      <c r="L70" s="108">
        <f t="shared" si="15"/>
        <v>24.999414900840055</v>
      </c>
      <c r="M70" s="95">
        <f t="shared" si="72"/>
        <v>4.8437796254944923</v>
      </c>
      <c r="N70" s="95">
        <f t="shared" si="72"/>
        <v>3.266816068208128</v>
      </c>
      <c r="O70" s="95">
        <f t="shared" si="72"/>
        <v>4324.9677417362336</v>
      </c>
      <c r="Q70" s="18">
        <f t="shared" si="66"/>
        <v>4310</v>
      </c>
      <c r="R70" s="93">
        <f t="shared" si="57"/>
        <v>10</v>
      </c>
      <c r="S70" s="93">
        <f t="shared" si="67"/>
        <v>25</v>
      </c>
      <c r="T70" s="93">
        <f t="shared" si="68"/>
        <v>1.7554640335590401E-3</v>
      </c>
      <c r="U70" s="109">
        <f t="shared" si="58"/>
        <v>6.3378607943087584E-3</v>
      </c>
      <c r="V70" s="112">
        <f t="shared" si="71"/>
        <v>0.3631326746553234</v>
      </c>
      <c r="W70" s="93">
        <f t="shared" si="59"/>
        <v>-3.0821365459190617</v>
      </c>
      <c r="X70" s="112">
        <f t="shared" si="54"/>
        <v>183.40658403580832</v>
      </c>
      <c r="Y70" s="110"/>
      <c r="Z70" s="86">
        <f t="shared" si="55"/>
        <v>1.0000002568045769</v>
      </c>
      <c r="AA70" s="108">
        <f t="shared" si="60"/>
        <v>-5.5896748058519338E-2</v>
      </c>
      <c r="AB70" s="108">
        <f t="shared" si="61"/>
        <v>1.0016738551570001E-3</v>
      </c>
      <c r="AC70" s="108">
        <f t="shared" si="62"/>
        <v>9.9998424422467185</v>
      </c>
      <c r="AD70" s="110">
        <f t="shared" si="63"/>
        <v>4.9552599847086345</v>
      </c>
      <c r="AE70" s="110">
        <f t="shared" si="64"/>
        <v>3.2831923214653083</v>
      </c>
      <c r="AF70" s="110">
        <f t="shared" si="65"/>
        <v>4309.9681692776403</v>
      </c>
    </row>
    <row r="71" spans="1:32" x14ac:dyDescent="0.2">
      <c r="A71" s="3">
        <v>4350</v>
      </c>
      <c r="B71" s="3">
        <v>0.28000000000000003</v>
      </c>
      <c r="C71" s="3">
        <v>44.52</v>
      </c>
      <c r="E71" s="93">
        <f t="shared" si="69"/>
        <v>4.8869219055841231E-3</v>
      </c>
      <c r="F71" s="93">
        <f t="shared" si="69"/>
        <v>0.77702058298787557</v>
      </c>
      <c r="H71" s="86">
        <f t="shared" si="11"/>
        <v>1.3111652273658958E-2</v>
      </c>
      <c r="I71" s="86">
        <f t="shared" si="12"/>
        <v>1.0000143265317407</v>
      </c>
      <c r="J71" s="108">
        <f t="shared" si="13"/>
        <v>-6.3163783863051146E-2</v>
      </c>
      <c r="K71" s="108">
        <f t="shared" si="14"/>
        <v>2.0245197023600052E-2</v>
      </c>
      <c r="L71" s="108">
        <f t="shared" si="15"/>
        <v>24.999732930399734</v>
      </c>
      <c r="M71" s="95">
        <f t="shared" ref="M71:O86" si="73">M70+J71</f>
        <v>4.780615841631441</v>
      </c>
      <c r="N71" s="95">
        <f t="shared" si="73"/>
        <v>3.2870612652317281</v>
      </c>
      <c r="O71" s="95">
        <f t="shared" si="73"/>
        <v>4349.9674746666333</v>
      </c>
      <c r="Q71" s="18">
        <f t="shared" si="66"/>
        <v>4335</v>
      </c>
      <c r="R71" s="93">
        <f t="shared" si="57"/>
        <v>10</v>
      </c>
      <c r="S71" s="93">
        <f t="shared" si="67"/>
        <v>25</v>
      </c>
      <c r="T71" s="93">
        <f t="shared" si="68"/>
        <v>5.2446609094635834E-3</v>
      </c>
      <c r="U71" s="109">
        <f t="shared" si="58"/>
        <v>3.7397533790475279E-3</v>
      </c>
      <c r="V71" s="112">
        <f t="shared" si="71"/>
        <v>0.21427208503921175</v>
      </c>
      <c r="W71" s="93">
        <f t="shared" si="59"/>
        <v>3.0649159735948373</v>
      </c>
      <c r="X71" s="112">
        <f t="shared" si="54"/>
        <v>175.60674984921383</v>
      </c>
      <c r="Y71" s="110"/>
      <c r="Z71" s="86">
        <f t="shared" si="55"/>
        <v>1.0000022922119765</v>
      </c>
      <c r="AA71" s="108">
        <f t="shared" si="60"/>
        <v>-6.1331022132590562E-2</v>
      </c>
      <c r="AB71" s="108">
        <f t="shared" si="61"/>
        <v>-7.6021615817346167E-3</v>
      </c>
      <c r="AC71" s="108">
        <f t="shared" si="62"/>
        <v>9.9997975725764832</v>
      </c>
      <c r="AD71" s="110">
        <f t="shared" si="63"/>
        <v>4.7824486033619014</v>
      </c>
      <c r="AE71" s="110">
        <f t="shared" si="64"/>
        <v>3.2592139066263934</v>
      </c>
      <c r="AF71" s="110">
        <f t="shared" si="65"/>
        <v>4334.96753930881</v>
      </c>
    </row>
    <row r="72" spans="1:32" x14ac:dyDescent="0.2">
      <c r="A72" s="3">
        <v>4375</v>
      </c>
      <c r="B72" s="3">
        <v>0.28000000000000003</v>
      </c>
      <c r="C72" s="3">
        <v>128.77000000000001</v>
      </c>
      <c r="E72" s="93">
        <f t="shared" si="69"/>
        <v>4.8869219055841231E-3</v>
      </c>
      <c r="F72" s="93">
        <f t="shared" si="69"/>
        <v>2.2474604777930982</v>
      </c>
      <c r="H72" s="86">
        <f t="shared" si="11"/>
        <v>6.5557943450353928E-3</v>
      </c>
      <c r="I72" s="86">
        <f t="shared" si="12"/>
        <v>1.0000035815520174</v>
      </c>
      <c r="J72" s="108">
        <f t="shared" si="13"/>
        <v>5.3029237297385788E-3</v>
      </c>
      <c r="K72" s="108">
        <f t="shared" si="14"/>
        <v>9.0458363029576896E-2</v>
      </c>
      <c r="L72" s="108">
        <f t="shared" si="15"/>
        <v>24.999791013253976</v>
      </c>
      <c r="M72" s="95">
        <f t="shared" si="73"/>
        <v>4.7859187653611794</v>
      </c>
      <c r="N72" s="95">
        <f t="shared" si="73"/>
        <v>3.3775196282613051</v>
      </c>
      <c r="O72" s="95">
        <f t="shared" si="73"/>
        <v>4374.9672656798875</v>
      </c>
      <c r="Q72" s="18">
        <f t="shared" si="66"/>
        <v>4360</v>
      </c>
      <c r="R72" s="93">
        <f t="shared" si="57"/>
        <v>10</v>
      </c>
      <c r="S72" s="93">
        <f t="shared" si="67"/>
        <v>25</v>
      </c>
      <c r="T72" s="93">
        <f t="shared" si="68"/>
        <v>2.6223177380141575E-3</v>
      </c>
      <c r="U72" s="109">
        <f t="shared" si="58"/>
        <v>3.6833714723027988E-3</v>
      </c>
      <c r="V72" s="112">
        <f t="shared" si="71"/>
        <v>0.21104163974183857</v>
      </c>
      <c r="W72" s="93">
        <f t="shared" si="59"/>
        <v>1.3333032590689899</v>
      </c>
      <c r="X72" s="112">
        <f t="shared" si="54"/>
        <v>76.392649555690923</v>
      </c>
      <c r="Y72" s="110"/>
      <c r="Z72" s="86">
        <f t="shared" si="55"/>
        <v>1.000000573046254</v>
      </c>
      <c r="AA72" s="108">
        <f t="shared" si="60"/>
        <v>2.1754825388091766E-2</v>
      </c>
      <c r="AB72" s="108">
        <f t="shared" si="61"/>
        <v>3.5032349462898932E-2</v>
      </c>
      <c r="AC72" s="108">
        <f t="shared" si="62"/>
        <v>9.9999121074882744</v>
      </c>
      <c r="AD72" s="110">
        <f t="shared" si="63"/>
        <v>4.8023706670195327</v>
      </c>
      <c r="AE72" s="110">
        <f t="shared" si="64"/>
        <v>3.3220936146946269</v>
      </c>
      <c r="AF72" s="110">
        <f t="shared" si="65"/>
        <v>4359.9673867741212</v>
      </c>
    </row>
    <row r="73" spans="1:32" x14ac:dyDescent="0.2">
      <c r="A73" s="3">
        <v>4400</v>
      </c>
      <c r="B73" s="3">
        <v>0.53</v>
      </c>
      <c r="C73" s="3">
        <v>223.58</v>
      </c>
      <c r="E73" s="93">
        <f t="shared" si="69"/>
        <v>9.250245035569947E-3</v>
      </c>
      <c r="F73" s="93">
        <f t="shared" si="69"/>
        <v>3.9022071416089221</v>
      </c>
      <c r="H73" s="86">
        <f t="shared" si="11"/>
        <v>1.0818014520830088E-2</v>
      </c>
      <c r="I73" s="86">
        <f t="shared" si="12"/>
        <v>1.0000097525673148</v>
      </c>
      <c r="J73" s="108">
        <f t="shared" si="13"/>
        <v>-0.12201437831848275</v>
      </c>
      <c r="K73" s="108">
        <f t="shared" si="14"/>
        <v>-3.208242151956682E-2</v>
      </c>
      <c r="L73" s="108">
        <f t="shared" si="15"/>
        <v>24.999559755128736</v>
      </c>
      <c r="M73" s="95">
        <f t="shared" si="73"/>
        <v>4.6639043870426971</v>
      </c>
      <c r="N73" s="95">
        <f t="shared" si="73"/>
        <v>3.3454372067417384</v>
      </c>
      <c r="O73" s="95">
        <f t="shared" si="73"/>
        <v>4399.9668254350163</v>
      </c>
      <c r="Q73" s="18">
        <f t="shared" si="66"/>
        <v>4385</v>
      </c>
      <c r="R73" s="93">
        <f t="shared" si="57"/>
        <v>10</v>
      </c>
      <c r="S73" s="93">
        <f t="shared" si="67"/>
        <v>25</v>
      </c>
      <c r="T73" s="93">
        <f t="shared" si="68"/>
        <v>4.3272058083320356E-3</v>
      </c>
      <c r="U73" s="109">
        <f t="shared" si="58"/>
        <v>4.5242804827143601E-3</v>
      </c>
      <c r="V73" s="112">
        <f t="shared" si="71"/>
        <v>0.25922217699294364</v>
      </c>
      <c r="W73" s="93">
        <f t="shared" si="59"/>
        <v>-3.0830723119515109</v>
      </c>
      <c r="X73" s="112">
        <f t="shared" si="54"/>
        <v>183.35296859153726</v>
      </c>
      <c r="Y73" s="110"/>
      <c r="Z73" s="86">
        <f t="shared" si="55"/>
        <v>1.0000015603954309</v>
      </c>
      <c r="AA73" s="108">
        <f t="shared" si="60"/>
        <v>-3.7883446229623009E-2</v>
      </c>
      <c r="AB73" s="108">
        <f t="shared" si="61"/>
        <v>1.7727732593886762E-2</v>
      </c>
      <c r="AC73" s="108">
        <f t="shared" si="62"/>
        <v>9.9999047261884133</v>
      </c>
      <c r="AD73" s="110">
        <f t="shared" si="63"/>
        <v>4.7480353191315565</v>
      </c>
      <c r="AE73" s="110">
        <f t="shared" si="64"/>
        <v>3.3952473608551919</v>
      </c>
      <c r="AF73" s="110">
        <f t="shared" si="65"/>
        <v>4384.9671704060756</v>
      </c>
    </row>
    <row r="74" spans="1:32" x14ac:dyDescent="0.2">
      <c r="A74" s="3">
        <v>4452</v>
      </c>
      <c r="B74" s="3">
        <v>0.35</v>
      </c>
      <c r="C74" s="3">
        <v>225.7</v>
      </c>
      <c r="E74" s="93">
        <f t="shared" si="69"/>
        <v>6.1086523819801532E-3</v>
      </c>
      <c r="F74" s="93">
        <f t="shared" si="69"/>
        <v>3.9392081217512014</v>
      </c>
      <c r="H74" s="86">
        <f t="shared" si="11"/>
        <v>3.153879461659459E-3</v>
      </c>
      <c r="I74" s="86">
        <f t="shared" si="12"/>
        <v>1.000000828913796</v>
      </c>
      <c r="J74" s="108">
        <f t="shared" si="13"/>
        <v>-0.28514867398895938</v>
      </c>
      <c r="K74" s="108">
        <f t="shared" si="14"/>
        <v>-0.27946411904033641</v>
      </c>
      <c r="L74" s="108">
        <f t="shared" si="15"/>
        <v>51.998445636960717</v>
      </c>
      <c r="M74" s="95">
        <f t="shared" si="73"/>
        <v>4.3787557130537378</v>
      </c>
      <c r="N74" s="95">
        <f t="shared" si="73"/>
        <v>3.0659730877014022</v>
      </c>
      <c r="O74" s="95">
        <f t="shared" si="73"/>
        <v>4451.9652710719774</v>
      </c>
      <c r="Q74" s="18">
        <f t="shared" si="66"/>
        <v>4410</v>
      </c>
      <c r="R74" s="93">
        <f t="shared" si="57"/>
        <v>10</v>
      </c>
      <c r="S74" s="93">
        <f t="shared" si="67"/>
        <v>52</v>
      </c>
      <c r="T74" s="93">
        <f t="shared" si="68"/>
        <v>6.0651528108835752E-4</v>
      </c>
      <c r="U74" s="109">
        <f t="shared" si="58"/>
        <v>8.6453977868847787E-3</v>
      </c>
      <c r="V74" s="112">
        <f t="shared" si="71"/>
        <v>0.49534480540024017</v>
      </c>
      <c r="W74" s="93">
        <f t="shared" si="59"/>
        <v>-2.3759515410404406</v>
      </c>
      <c r="X74" s="112">
        <f t="shared" si="54"/>
        <v>223.86800437077875</v>
      </c>
      <c r="Y74" s="110"/>
      <c r="Z74" s="86">
        <f t="shared" si="55"/>
        <v>1.0000000306550665</v>
      </c>
      <c r="AA74" s="108">
        <f t="shared" si="60"/>
        <v>-6.4668091702503483E-2</v>
      </c>
      <c r="AB74" s="108">
        <f t="shared" si="61"/>
        <v>-6.1839504284875425E-2</v>
      </c>
      <c r="AC74" s="108">
        <f t="shared" si="62"/>
        <v>9.9995995343873041</v>
      </c>
      <c r="AD74" s="110">
        <f t="shared" si="63"/>
        <v>4.5992362953401935</v>
      </c>
      <c r="AE74" s="110">
        <f t="shared" si="64"/>
        <v>3.2835977024568628</v>
      </c>
      <c r="AF74" s="110">
        <f t="shared" si="65"/>
        <v>4409.9664249694033</v>
      </c>
    </row>
    <row r="75" spans="1:32" x14ac:dyDescent="0.2">
      <c r="A75" s="3">
        <v>4500</v>
      </c>
      <c r="B75" s="3">
        <v>0.27</v>
      </c>
      <c r="C75" s="3">
        <v>220.78</v>
      </c>
      <c r="E75" s="93">
        <f t="shared" si="69"/>
        <v>4.7123889803846897E-3</v>
      </c>
      <c r="F75" s="93">
        <f t="shared" si="69"/>
        <v>3.8533379225530808</v>
      </c>
      <c r="H75" s="86">
        <f t="shared" si="11"/>
        <v>1.4702655142504462E-3</v>
      </c>
      <c r="I75" s="86">
        <f t="shared" si="12"/>
        <v>1.0000001801400957</v>
      </c>
      <c r="J75" s="108">
        <f t="shared" si="13"/>
        <v>-0.18803202342656708</v>
      </c>
      <c r="K75" s="108">
        <f t="shared" si="14"/>
        <v>-0.178795381007611</v>
      </c>
      <c r="L75" s="108">
        <f t="shared" si="15"/>
        <v>47.9992943815556</v>
      </c>
      <c r="M75" s="95">
        <f t="shared" si="73"/>
        <v>4.1907236896271707</v>
      </c>
      <c r="N75" s="95">
        <f t="shared" si="73"/>
        <v>2.8871777066937914</v>
      </c>
      <c r="O75" s="95">
        <f t="shared" si="73"/>
        <v>4499.9645654535334</v>
      </c>
      <c r="Q75" s="18">
        <f t="shared" si="66"/>
        <v>4462</v>
      </c>
      <c r="R75" s="93">
        <f t="shared" si="57"/>
        <v>10</v>
      </c>
      <c r="S75" s="93">
        <f t="shared" si="67"/>
        <v>48</v>
      </c>
      <c r="T75" s="93">
        <f t="shared" si="68"/>
        <v>3.0630531546884299E-4</v>
      </c>
      <c r="U75" s="109">
        <f t="shared" si="58"/>
        <v>5.8147565491224462E-3</v>
      </c>
      <c r="V75" s="112">
        <f t="shared" si="71"/>
        <v>0.33316100916077113</v>
      </c>
      <c r="W75" s="93">
        <f t="shared" si="59"/>
        <v>-2.358458004900513</v>
      </c>
      <c r="X75" s="112">
        <f t="shared" si="54"/>
        <v>224.87031016035618</v>
      </c>
      <c r="Y75" s="110"/>
      <c r="Z75" s="86">
        <f t="shared" si="55"/>
        <v>1.0000000078185789</v>
      </c>
      <c r="AA75" s="108">
        <f t="shared" si="60"/>
        <v>-4.1936382705220404E-2</v>
      </c>
      <c r="AB75" s="108">
        <f t="shared" si="61"/>
        <v>-4.2371021770099729E-2</v>
      </c>
      <c r="AC75" s="108">
        <f t="shared" si="62"/>
        <v>9.999822261143537</v>
      </c>
      <c r="AD75" s="110">
        <f t="shared" si="63"/>
        <v>4.3368193303485176</v>
      </c>
      <c r="AE75" s="110">
        <f t="shared" si="64"/>
        <v>3.0236020659313025</v>
      </c>
      <c r="AF75" s="110">
        <f t="shared" si="65"/>
        <v>4461.9650933331213</v>
      </c>
    </row>
    <row r="76" spans="1:32" x14ac:dyDescent="0.2">
      <c r="A76" s="3">
        <v>4550</v>
      </c>
      <c r="B76" s="3">
        <v>0.08</v>
      </c>
      <c r="C76" s="3">
        <v>306.22000000000003</v>
      </c>
      <c r="E76" s="93">
        <f t="shared" si="69"/>
        <v>1.3962634015954637E-3</v>
      </c>
      <c r="F76" s="93">
        <f t="shared" si="69"/>
        <v>5.3445472354570365</v>
      </c>
      <c r="H76" s="86">
        <f t="shared" si="11"/>
        <v>4.8072787745510048E-3</v>
      </c>
      <c r="I76" s="86">
        <f t="shared" si="12"/>
        <v>1.0000019258318853</v>
      </c>
      <c r="J76" s="108">
        <f t="shared" si="13"/>
        <v>-6.8582194711607203E-2</v>
      </c>
      <c r="K76" s="108">
        <f t="shared" si="14"/>
        <v>-0.10510910565377596</v>
      </c>
      <c r="L76" s="108">
        <f t="shared" si="15"/>
        <v>49.999794339513031</v>
      </c>
      <c r="M76" s="95">
        <f t="shared" si="73"/>
        <v>4.1221414949155637</v>
      </c>
      <c r="N76" s="95">
        <f t="shared" si="73"/>
        <v>2.7820686010400153</v>
      </c>
      <c r="O76" s="95">
        <f t="shared" si="73"/>
        <v>4549.9643597930462</v>
      </c>
      <c r="Q76" s="18">
        <f t="shared" si="66"/>
        <v>4510</v>
      </c>
      <c r="R76" s="93">
        <f t="shared" si="57"/>
        <v>10</v>
      </c>
      <c r="S76" s="93">
        <f t="shared" si="67"/>
        <v>50</v>
      </c>
      <c r="T76" s="93">
        <f t="shared" si="68"/>
        <v>9.6145575491020103E-4</v>
      </c>
      <c r="U76" s="109">
        <f t="shared" si="58"/>
        <v>3.8023166410849907E-3</v>
      </c>
      <c r="V76" s="112">
        <f t="shared" si="71"/>
        <v>0.2178566959065294</v>
      </c>
      <c r="W76" s="93">
        <f t="shared" si="59"/>
        <v>-2.3565711040992809</v>
      </c>
      <c r="X76" s="112">
        <f t="shared" si="54"/>
        <v>224.97842161262662</v>
      </c>
      <c r="Y76" s="110"/>
      <c r="Z76" s="86">
        <f t="shared" si="55"/>
        <v>1.0000000770331046</v>
      </c>
      <c r="AA76" s="108">
        <f t="shared" si="60"/>
        <v>-3.128983420181447E-2</v>
      </c>
      <c r="AB76" s="108">
        <f t="shared" si="61"/>
        <v>-2.8827701726952433E-2</v>
      </c>
      <c r="AC76" s="108">
        <f t="shared" si="62"/>
        <v>9.9999091099159134</v>
      </c>
      <c r="AD76" s="110">
        <f t="shared" si="63"/>
        <v>4.1594338554253563</v>
      </c>
      <c r="AE76" s="110">
        <f t="shared" si="64"/>
        <v>2.8583500049668391</v>
      </c>
      <c r="AF76" s="110">
        <f t="shared" si="65"/>
        <v>4509.9644745634496</v>
      </c>
    </row>
    <row r="77" spans="1:32" x14ac:dyDescent="0.2">
      <c r="A77" s="3">
        <v>4600</v>
      </c>
      <c r="B77" s="3">
        <v>0.08</v>
      </c>
      <c r="C77" s="3">
        <v>207.42</v>
      </c>
      <c r="E77" s="93">
        <f t="shared" si="69"/>
        <v>1.3962634015954637E-3</v>
      </c>
      <c r="F77" s="93">
        <f t="shared" si="69"/>
        <v>3.6201619344866383</v>
      </c>
      <c r="H77" s="86">
        <f t="shared" si="11"/>
        <v>2.1202851848456383E-3</v>
      </c>
      <c r="I77" s="86">
        <f t="shared" si="12"/>
        <v>1.0000003746342738</v>
      </c>
      <c r="J77" s="108">
        <f t="shared" si="13"/>
        <v>-1.0359136200802055E-2</v>
      </c>
      <c r="K77" s="108">
        <f t="shared" si="14"/>
        <v>-4.4235852596909368E-2</v>
      </c>
      <c r="L77" s="108">
        <f t="shared" si="15"/>
        <v>49.999969992916192</v>
      </c>
      <c r="M77" s="95">
        <f t="shared" si="73"/>
        <v>4.1117823587147617</v>
      </c>
      <c r="N77" s="95">
        <f t="shared" si="73"/>
        <v>2.7378327484431058</v>
      </c>
      <c r="O77" s="95">
        <f t="shared" si="73"/>
        <v>4599.964329785962</v>
      </c>
      <c r="Q77" s="18">
        <f t="shared" si="66"/>
        <v>4560</v>
      </c>
      <c r="R77" s="93">
        <f t="shared" si="57"/>
        <v>10</v>
      </c>
      <c r="S77" s="93">
        <f t="shared" si="67"/>
        <v>50</v>
      </c>
      <c r="T77" s="93">
        <f t="shared" si="68"/>
        <v>4.2405703696912767E-4</v>
      </c>
      <c r="U77" s="109">
        <f t="shared" si="58"/>
        <v>1.1091682478654441E-3</v>
      </c>
      <c r="V77" s="112">
        <f t="shared" si="71"/>
        <v>6.3550659372610327E-2</v>
      </c>
      <c r="W77" s="93">
        <f t="shared" si="59"/>
        <v>-1.1900833864991867</v>
      </c>
      <c r="X77" s="112">
        <f t="shared" si="54"/>
        <v>291.8132446849603</v>
      </c>
      <c r="Y77" s="110"/>
      <c r="Z77" s="86">
        <f t="shared" si="55"/>
        <v>1.0000000149853645</v>
      </c>
      <c r="AA77" s="108">
        <f t="shared" si="60"/>
        <v>6.185907301037824E-3</v>
      </c>
      <c r="AB77" s="108">
        <f t="shared" si="61"/>
        <v>-1.0780962173793584E-2</v>
      </c>
      <c r="AC77" s="108">
        <f t="shared" si="62"/>
        <v>9.9999922003404098</v>
      </c>
      <c r="AD77" s="110">
        <f t="shared" si="63"/>
        <v>4.1283274022166019</v>
      </c>
      <c r="AE77" s="110">
        <f t="shared" si="64"/>
        <v>2.7712876388662218</v>
      </c>
      <c r="AF77" s="110">
        <f t="shared" si="65"/>
        <v>4559.964351993387</v>
      </c>
    </row>
    <row r="78" spans="1:32" x14ac:dyDescent="0.2">
      <c r="A78" s="3">
        <v>4650</v>
      </c>
      <c r="B78" s="3">
        <v>0.18</v>
      </c>
      <c r="C78" s="3">
        <v>190.18</v>
      </c>
      <c r="E78" s="93">
        <f t="shared" si="69"/>
        <v>3.1415926535897929E-3</v>
      </c>
      <c r="F78" s="93">
        <f t="shared" si="69"/>
        <v>3.3192671714428159</v>
      </c>
      <c r="H78" s="86">
        <f t="shared" si="11"/>
        <v>1.8548123649273496E-3</v>
      </c>
      <c r="I78" s="86">
        <f t="shared" si="12"/>
        <v>1.0000002866941744</v>
      </c>
      <c r="J78" s="108">
        <f t="shared" si="13"/>
        <v>-0.10828828023867799</v>
      </c>
      <c r="K78" s="108">
        <f t="shared" si="14"/>
        <v>-2.9956020089777973E-2</v>
      </c>
      <c r="L78" s="108">
        <f t="shared" si="15"/>
        <v>49.999866595323198</v>
      </c>
      <c r="M78" s="95">
        <f t="shared" si="73"/>
        <v>4.0034940784760833</v>
      </c>
      <c r="N78" s="95">
        <f t="shared" si="73"/>
        <v>2.7078767283533276</v>
      </c>
      <c r="O78" s="95">
        <f t="shared" si="73"/>
        <v>4649.9641963812855</v>
      </c>
      <c r="Q78" s="18">
        <f t="shared" si="66"/>
        <v>4610</v>
      </c>
      <c r="R78" s="93">
        <f t="shared" si="57"/>
        <v>10</v>
      </c>
      <c r="S78" s="93">
        <f t="shared" si="67"/>
        <v>50</v>
      </c>
      <c r="T78" s="93">
        <f t="shared" si="68"/>
        <v>3.7096247298546993E-4</v>
      </c>
      <c r="U78" s="109">
        <f t="shared" si="58"/>
        <v>1.7271680676789192E-3</v>
      </c>
      <c r="V78" s="112">
        <f t="shared" si="71"/>
        <v>9.8959440787767805E-2</v>
      </c>
      <c r="W78" s="93">
        <f t="shared" si="59"/>
        <v>-2.7710501518838675</v>
      </c>
      <c r="X78" s="112">
        <f t="shared" si="54"/>
        <v>201.23052147796864</v>
      </c>
      <c r="Y78" s="110"/>
      <c r="Z78" s="86">
        <f t="shared" si="55"/>
        <v>1.0000000114677632</v>
      </c>
      <c r="AA78" s="108">
        <f t="shared" si="60"/>
        <v>-1.4246727701153712E-2</v>
      </c>
      <c r="AB78" s="108">
        <f t="shared" si="61"/>
        <v>-6.3421820035146417E-3</v>
      </c>
      <c r="AC78" s="108">
        <f t="shared" si="62"/>
        <v>9.999987783027585</v>
      </c>
      <c r="AD78" s="110">
        <f t="shared" si="63"/>
        <v>4.0975356310136082</v>
      </c>
      <c r="AE78" s="110">
        <f t="shared" si="64"/>
        <v>2.7314905664395912</v>
      </c>
      <c r="AF78" s="110">
        <f t="shared" si="65"/>
        <v>4609.9643175689898</v>
      </c>
    </row>
    <row r="79" spans="1:32" x14ac:dyDescent="0.2">
      <c r="A79" s="3">
        <v>4700</v>
      </c>
      <c r="B79" s="3">
        <v>0.27</v>
      </c>
      <c r="C79" s="3">
        <v>195.47</v>
      </c>
      <c r="E79" s="93">
        <f t="shared" si="69"/>
        <v>4.7123889803846897E-3</v>
      </c>
      <c r="F79" s="93">
        <f t="shared" si="69"/>
        <v>3.411595088873316</v>
      </c>
      <c r="H79" s="86">
        <f t="shared" si="11"/>
        <v>1.6104378896635296E-3</v>
      </c>
      <c r="I79" s="86">
        <f t="shared" si="12"/>
        <v>1.0000002161259056</v>
      </c>
      <c r="J79" s="108">
        <f t="shared" si="13"/>
        <v>-0.19084439358653305</v>
      </c>
      <c r="K79" s="108">
        <f t="shared" si="14"/>
        <v>-4.530492408851626E-2</v>
      </c>
      <c r="L79" s="108">
        <f t="shared" si="15"/>
        <v>49.999609854144978</v>
      </c>
      <c r="M79" s="95">
        <f t="shared" si="73"/>
        <v>3.8126496848895504</v>
      </c>
      <c r="N79" s="95">
        <f t="shared" si="73"/>
        <v>2.6625718042648114</v>
      </c>
      <c r="O79" s="95">
        <f t="shared" si="73"/>
        <v>4699.9638062354306</v>
      </c>
      <c r="Q79" s="18">
        <f t="shared" si="66"/>
        <v>4660</v>
      </c>
      <c r="R79" s="93">
        <f t="shared" si="57"/>
        <v>10</v>
      </c>
      <c r="S79" s="93">
        <f t="shared" si="67"/>
        <v>50</v>
      </c>
      <c r="T79" s="93">
        <f t="shared" si="68"/>
        <v>3.2208757793270596E-4</v>
      </c>
      <c r="U79" s="109">
        <f t="shared" si="58"/>
        <v>3.4528312975330433E-3</v>
      </c>
      <c r="V79" s="112">
        <f t="shared" si="71"/>
        <v>0.19783266071932321</v>
      </c>
      <c r="W79" s="93">
        <f t="shared" si="59"/>
        <v>-2.9387496608526269</v>
      </c>
      <c r="X79" s="112">
        <f t="shared" si="54"/>
        <v>191.62204738764243</v>
      </c>
      <c r="Y79" s="110"/>
      <c r="Z79" s="86">
        <f t="shared" si="55"/>
        <v>1.000000008645034</v>
      </c>
      <c r="AA79" s="108">
        <f t="shared" si="60"/>
        <v>-3.237082307954716E-2</v>
      </c>
      <c r="AB79" s="108">
        <f t="shared" si="61"/>
        <v>-6.2541805393415617E-3</v>
      </c>
      <c r="AC79" s="108">
        <f t="shared" si="62"/>
        <v>9.999945607378848</v>
      </c>
      <c r="AD79" s="110">
        <f t="shared" si="63"/>
        <v>3.9711232553965363</v>
      </c>
      <c r="AE79" s="110">
        <f t="shared" si="64"/>
        <v>2.7016225478139861</v>
      </c>
      <c r="AF79" s="110">
        <f t="shared" si="65"/>
        <v>4659.9641419886648</v>
      </c>
    </row>
    <row r="80" spans="1:32" x14ac:dyDescent="0.2">
      <c r="A80" s="3">
        <v>4750</v>
      </c>
      <c r="B80" s="3">
        <v>0.08</v>
      </c>
      <c r="C80" s="3">
        <v>151.69999999999999</v>
      </c>
      <c r="E80" s="93">
        <f t="shared" si="69"/>
        <v>1.3962634015954637E-3</v>
      </c>
      <c r="F80" s="93">
        <f t="shared" si="69"/>
        <v>2.6476644752753979</v>
      </c>
      <c r="H80" s="86">
        <f t="shared" si="11"/>
        <v>3.8279763353883389E-3</v>
      </c>
      <c r="I80" s="86">
        <f t="shared" si="12"/>
        <v>1.0000012211186913</v>
      </c>
      <c r="J80" s="108">
        <f t="shared" si="13"/>
        <v>-0.14427571084456531</v>
      </c>
      <c r="K80" s="108">
        <f t="shared" si="14"/>
        <v>-1.487494043320485E-2</v>
      </c>
      <c r="L80" s="108">
        <f t="shared" si="15"/>
        <v>49.999759104066122</v>
      </c>
      <c r="M80" s="95">
        <f t="shared" si="73"/>
        <v>3.668373974044985</v>
      </c>
      <c r="N80" s="95">
        <f t="shared" si="73"/>
        <v>2.6476968638316065</v>
      </c>
      <c r="O80" s="95">
        <f t="shared" si="73"/>
        <v>4749.9635653394971</v>
      </c>
      <c r="Q80" s="18">
        <f t="shared" si="66"/>
        <v>4710</v>
      </c>
      <c r="R80" s="93">
        <f t="shared" si="57"/>
        <v>10</v>
      </c>
      <c r="S80" s="93">
        <f t="shared" si="67"/>
        <v>50</v>
      </c>
      <c r="T80" s="93">
        <f t="shared" si="68"/>
        <v>7.6559526707766781E-4</v>
      </c>
      <c r="U80" s="109">
        <f t="shared" si="58"/>
        <v>3.9762614189773338E-3</v>
      </c>
      <c r="V80" s="112">
        <f t="shared" si="71"/>
        <v>0.22782299754810117</v>
      </c>
      <c r="W80" s="93">
        <f t="shared" si="59"/>
        <v>-2.9201922163609595</v>
      </c>
      <c r="X80" s="112">
        <f t="shared" si="54"/>
        <v>192.68531063556327</v>
      </c>
      <c r="Y80" s="110"/>
      <c r="Z80" s="86">
        <f t="shared" si="55"/>
        <v>1.000000048844679</v>
      </c>
      <c r="AA80" s="108">
        <f t="shared" si="60"/>
        <v>-4.2104190149541032E-2</v>
      </c>
      <c r="AB80" s="108">
        <f t="shared" si="61"/>
        <v>-1.0650589808252803E-2</v>
      </c>
      <c r="AC80" s="108">
        <f t="shared" si="62"/>
        <v>9.9999054454350258</v>
      </c>
      <c r="AD80" s="110">
        <f t="shared" si="63"/>
        <v>3.7705454947400092</v>
      </c>
      <c r="AE80" s="110">
        <f t="shared" si="64"/>
        <v>2.6519212144565585</v>
      </c>
      <c r="AF80" s="110">
        <f t="shared" si="65"/>
        <v>4709.9637116808653</v>
      </c>
    </row>
    <row r="81" spans="1:32" x14ac:dyDescent="0.2">
      <c r="A81" s="3">
        <v>4800</v>
      </c>
      <c r="B81" s="3">
        <v>0.08</v>
      </c>
      <c r="C81" s="3">
        <v>231.32</v>
      </c>
      <c r="E81" s="93">
        <f t="shared" si="69"/>
        <v>1.3962634015954637E-3</v>
      </c>
      <c r="F81" s="93">
        <f t="shared" si="69"/>
        <v>4.0372956257132833</v>
      </c>
      <c r="H81" s="86">
        <f t="shared" si="11"/>
        <v>1.7878975748153447E-3</v>
      </c>
      <c r="I81" s="86">
        <f t="shared" si="12"/>
        <v>1.0000002663815633</v>
      </c>
      <c r="J81" s="108">
        <f t="shared" si="13"/>
        <v>-5.2550029856085895E-2</v>
      </c>
      <c r="K81" s="108">
        <f t="shared" si="14"/>
        <v>-1.0700976101829376E-2</v>
      </c>
      <c r="L81" s="108">
        <f t="shared" si="15"/>
        <v>49.999964580285933</v>
      </c>
      <c r="M81" s="95">
        <f t="shared" si="73"/>
        <v>3.6158239441888993</v>
      </c>
      <c r="N81" s="95">
        <f t="shared" si="73"/>
        <v>2.636995887729777</v>
      </c>
      <c r="O81" s="95">
        <f t="shared" si="73"/>
        <v>4799.9635299197835</v>
      </c>
      <c r="Q81" s="18">
        <f t="shared" si="66"/>
        <v>4760</v>
      </c>
      <c r="R81" s="93">
        <f t="shared" si="57"/>
        <v>10</v>
      </c>
      <c r="S81" s="93">
        <f t="shared" si="67"/>
        <v>50</v>
      </c>
      <c r="T81" s="93">
        <f t="shared" si="68"/>
        <v>3.5757951496306895E-4</v>
      </c>
      <c r="U81" s="109">
        <f t="shared" si="58"/>
        <v>1.1992077569764614E-3</v>
      </c>
      <c r="V81" s="112">
        <f t="shared" si="71"/>
        <v>6.8709543234101347E-2</v>
      </c>
      <c r="W81" s="93">
        <f t="shared" si="59"/>
        <v>2.878769637748599</v>
      </c>
      <c r="X81" s="112">
        <f t="shared" si="54"/>
        <v>164.94135043339961</v>
      </c>
      <c r="Y81" s="110"/>
      <c r="Z81" s="86">
        <f t="shared" si="55"/>
        <v>1.0000000106552593</v>
      </c>
      <c r="AA81" s="108">
        <f t="shared" si="60"/>
        <v>-1.1937025391872004E-2</v>
      </c>
      <c r="AB81" s="108">
        <f t="shared" si="61"/>
        <v>4.8675754747076489E-3</v>
      </c>
      <c r="AC81" s="108">
        <f t="shared" si="62"/>
        <v>9.9999916374268984</v>
      </c>
      <c r="AD81" s="110">
        <f t="shared" si="63"/>
        <v>3.6564369486531132</v>
      </c>
      <c r="AE81" s="110">
        <f t="shared" si="64"/>
        <v>2.6525644393063144</v>
      </c>
      <c r="AF81" s="110">
        <f t="shared" si="65"/>
        <v>4759.9635569769243</v>
      </c>
    </row>
    <row r="82" spans="1:32" x14ac:dyDescent="0.2">
      <c r="A82" s="3">
        <v>4850</v>
      </c>
      <c r="B82" s="3">
        <v>0.08</v>
      </c>
      <c r="C82" s="3">
        <v>309.37</v>
      </c>
      <c r="E82" s="93">
        <f t="shared" si="69"/>
        <v>1.3962634015954637E-3</v>
      </c>
      <c r="F82" s="93">
        <f t="shared" si="69"/>
        <v>5.3995251068948571</v>
      </c>
      <c r="H82" s="86">
        <f t="shared" si="11"/>
        <v>1.7583404764554E-3</v>
      </c>
      <c r="I82" s="86">
        <f t="shared" si="12"/>
        <v>1.000000257646849</v>
      </c>
      <c r="J82" s="108">
        <f t="shared" si="13"/>
        <v>3.2657297500568309E-4</v>
      </c>
      <c r="K82" s="108">
        <f t="shared" si="14"/>
        <v>-5.4234860961712095E-2</v>
      </c>
      <c r="L82" s="108">
        <f t="shared" si="15"/>
        <v>49.999964143550642</v>
      </c>
      <c r="M82" s="95">
        <f t="shared" si="73"/>
        <v>3.6161505171639048</v>
      </c>
      <c r="N82" s="95">
        <f t="shared" si="73"/>
        <v>2.5827610267680647</v>
      </c>
      <c r="O82" s="95">
        <f t="shared" si="73"/>
        <v>4849.9634940633341</v>
      </c>
      <c r="Q82" s="18">
        <f t="shared" si="66"/>
        <v>4810</v>
      </c>
      <c r="R82" s="93">
        <f t="shared" si="57"/>
        <v>10</v>
      </c>
      <c r="S82" s="93">
        <f t="shared" si="67"/>
        <v>50</v>
      </c>
      <c r="T82" s="93">
        <f t="shared" si="68"/>
        <v>3.5166809529108001E-4</v>
      </c>
      <c r="U82" s="109">
        <f t="shared" si="58"/>
        <v>1.2061798720590655E-3</v>
      </c>
      <c r="V82" s="112">
        <f t="shared" si="71"/>
        <v>6.9109016002614057E-2</v>
      </c>
      <c r="W82" s="93">
        <f t="shared" si="59"/>
        <v>-2.0174058127990548</v>
      </c>
      <c r="X82" s="112">
        <f t="shared" si="54"/>
        <v>244.41116136145473</v>
      </c>
      <c r="Y82" s="110"/>
      <c r="Z82" s="86">
        <f t="shared" si="55"/>
        <v>1.0000000103058708</v>
      </c>
      <c r="AA82" s="108">
        <f t="shared" si="60"/>
        <v>-6.9679191986459508E-3</v>
      </c>
      <c r="AB82" s="108">
        <f t="shared" si="61"/>
        <v>-1.0889321177783157E-2</v>
      </c>
      <c r="AC82" s="108">
        <f t="shared" si="62"/>
        <v>9.9999915920064275</v>
      </c>
      <c r="AD82" s="110">
        <f t="shared" si="63"/>
        <v>3.6088560249902533</v>
      </c>
      <c r="AE82" s="110">
        <f t="shared" si="64"/>
        <v>2.6261065665519938</v>
      </c>
      <c r="AF82" s="110">
        <f t="shared" si="65"/>
        <v>4809.9635215117896</v>
      </c>
    </row>
    <row r="83" spans="1:32" x14ac:dyDescent="0.2">
      <c r="A83" s="3">
        <v>4900</v>
      </c>
      <c r="B83" s="3">
        <v>0.08</v>
      </c>
      <c r="C83" s="3">
        <v>294.97000000000003</v>
      </c>
      <c r="E83" s="93">
        <f t="shared" si="69"/>
        <v>1.3962634015954637E-3</v>
      </c>
      <c r="F83" s="93">
        <f t="shared" si="69"/>
        <v>5.1481976946076742</v>
      </c>
      <c r="H83" s="86">
        <f t="shared" si="11"/>
        <v>3.4999630207455112E-4</v>
      </c>
      <c r="I83" s="86">
        <f t="shared" si="12"/>
        <v>1.0000000102081177</v>
      </c>
      <c r="J83" s="108">
        <f t="shared" si="13"/>
        <v>3.6877730350566684E-2</v>
      </c>
      <c r="K83" s="108">
        <f t="shared" si="14"/>
        <v>-5.8628898761822201E-2</v>
      </c>
      <c r="L83" s="108">
        <f t="shared" si="15"/>
        <v>49.999951771626137</v>
      </c>
      <c r="M83" s="95">
        <f t="shared" si="73"/>
        <v>3.6530282475144715</v>
      </c>
      <c r="N83" s="95">
        <f t="shared" si="73"/>
        <v>2.5241321280062428</v>
      </c>
      <c r="O83" s="95">
        <f t="shared" si="73"/>
        <v>4899.9634458349601</v>
      </c>
      <c r="Q83" s="18">
        <f t="shared" si="66"/>
        <v>4860</v>
      </c>
      <c r="R83" s="93">
        <f t="shared" si="57"/>
        <v>10</v>
      </c>
      <c r="S83" s="93">
        <f t="shared" si="67"/>
        <v>50</v>
      </c>
      <c r="T83" s="93">
        <f t="shared" si="68"/>
        <v>6.9999260414910222E-5</v>
      </c>
      <c r="U83" s="109">
        <f t="shared" si="58"/>
        <v>1.389227091999512E-3</v>
      </c>
      <c r="V83" s="112">
        <f t="shared" si="71"/>
        <v>7.9596849156804567E-2</v>
      </c>
      <c r="W83" s="93">
        <f t="shared" si="59"/>
        <v>-0.93367094104512238</v>
      </c>
      <c r="X83" s="112">
        <f t="shared" si="54"/>
        <v>306.50459562410657</v>
      </c>
      <c r="Y83" s="110"/>
      <c r="Z83" s="86">
        <f t="shared" si="55"/>
        <v>1.0000000004083247</v>
      </c>
      <c r="AA83" s="108">
        <f t="shared" si="60"/>
        <v>8.5605943979426176E-3</v>
      </c>
      <c r="AB83" s="108">
        <f t="shared" si="61"/>
        <v>-1.0980381180441043E-2</v>
      </c>
      <c r="AC83" s="108">
        <f t="shared" si="62"/>
        <v>9.9999903053263122</v>
      </c>
      <c r="AD83" s="110">
        <f t="shared" si="63"/>
        <v>3.6247111115618473</v>
      </c>
      <c r="AE83" s="110">
        <f t="shared" si="64"/>
        <v>2.5717806455876238</v>
      </c>
      <c r="AF83" s="110">
        <f t="shared" si="65"/>
        <v>4859.9634843686608</v>
      </c>
    </row>
    <row r="84" spans="1:32" x14ac:dyDescent="0.2">
      <c r="A84" s="3">
        <v>4950</v>
      </c>
      <c r="B84" s="3">
        <v>0.08</v>
      </c>
      <c r="C84" s="3">
        <v>177.18</v>
      </c>
      <c r="E84" s="93">
        <f t="shared" si="69"/>
        <v>1.3962634015954637E-3</v>
      </c>
      <c r="F84" s="93">
        <f t="shared" si="69"/>
        <v>3.0923743686835534</v>
      </c>
      <c r="H84" s="86">
        <f t="shared" si="11"/>
        <v>2.3910226919485744E-3</v>
      </c>
      <c r="I84" s="86">
        <f t="shared" si="12"/>
        <v>1.000000476416065</v>
      </c>
      <c r="J84" s="108">
        <f t="shared" si="13"/>
        <v>-2.0128723434023912E-2</v>
      </c>
      <c r="K84" s="108">
        <f t="shared" si="14"/>
        <v>-2.9926485560840155E-2</v>
      </c>
      <c r="L84" s="108">
        <f t="shared" si="15"/>
        <v>49.999975082000788</v>
      </c>
      <c r="M84" s="95">
        <f t="shared" si="73"/>
        <v>3.6328995240804476</v>
      </c>
      <c r="N84" s="95">
        <f t="shared" si="73"/>
        <v>2.4942056424454027</v>
      </c>
      <c r="O84" s="95">
        <f t="shared" si="73"/>
        <v>4949.9634209169608</v>
      </c>
      <c r="Q84" s="18">
        <f t="shared" si="66"/>
        <v>4910</v>
      </c>
      <c r="R84" s="93">
        <f t="shared" si="57"/>
        <v>10</v>
      </c>
      <c r="S84" s="93">
        <f t="shared" si="67"/>
        <v>50</v>
      </c>
      <c r="T84" s="93">
        <f t="shared" si="68"/>
        <v>4.7820453838971489E-4</v>
      </c>
      <c r="U84" s="109">
        <f t="shared" si="58"/>
        <v>1.01726757689935E-3</v>
      </c>
      <c r="V84" s="112">
        <f t="shared" si="71"/>
        <v>5.8285138791832676E-2</v>
      </c>
      <c r="W84" s="93">
        <f t="shared" si="59"/>
        <v>-1.3802914466236313</v>
      </c>
      <c r="X84" s="112">
        <f t="shared" si="54"/>
        <v>280.91512561045897</v>
      </c>
      <c r="Y84" s="110"/>
      <c r="Z84" s="86">
        <f t="shared" si="55"/>
        <v>1.0000000190566321</v>
      </c>
      <c r="AA84" s="108">
        <f t="shared" si="60"/>
        <v>3.9102394874033618E-3</v>
      </c>
      <c r="AB84" s="108">
        <f t="shared" si="61"/>
        <v>-1.1323082960611446E-2</v>
      </c>
      <c r="AC84" s="108">
        <f t="shared" si="62"/>
        <v>9.9999927296051681</v>
      </c>
      <c r="AD84" s="110">
        <f t="shared" si="63"/>
        <v>3.6569384870018751</v>
      </c>
      <c r="AE84" s="110">
        <f t="shared" si="64"/>
        <v>2.5128090450456315</v>
      </c>
      <c r="AF84" s="110">
        <f t="shared" si="65"/>
        <v>4909.963438564565</v>
      </c>
    </row>
    <row r="85" spans="1:32" x14ac:dyDescent="0.2">
      <c r="A85" s="3">
        <v>5000</v>
      </c>
      <c r="B85" s="3">
        <v>0.27</v>
      </c>
      <c r="C85" s="3">
        <v>237.65</v>
      </c>
      <c r="E85" s="93">
        <f t="shared" si="69"/>
        <v>4.7123889803846897E-3</v>
      </c>
      <c r="F85" s="93">
        <f t="shared" si="69"/>
        <v>4.1477749673645246</v>
      </c>
      <c r="H85" s="86">
        <f t="shared" si="11"/>
        <v>4.2035841897198889E-3</v>
      </c>
      <c r="I85" s="86">
        <f t="shared" si="12"/>
        <v>1.0000014725126054</v>
      </c>
      <c r="J85" s="108">
        <f t="shared" si="13"/>
        <v>-9.7902992640370501E-2</v>
      </c>
      <c r="K85" s="108">
        <f t="shared" si="14"/>
        <v>-9.7807517440288511E-2</v>
      </c>
      <c r="L85" s="108">
        <f t="shared" si="15"/>
        <v>49.99977167368592</v>
      </c>
      <c r="M85" s="95">
        <f t="shared" si="73"/>
        <v>3.5349965314400773</v>
      </c>
      <c r="N85" s="95">
        <f t="shared" si="73"/>
        <v>2.3963981250051143</v>
      </c>
      <c r="O85" s="95">
        <f t="shared" si="73"/>
        <v>4999.9631925906469</v>
      </c>
      <c r="Q85" s="18">
        <f t="shared" si="66"/>
        <v>4960</v>
      </c>
      <c r="R85" s="93">
        <f t="shared" si="57"/>
        <v>10</v>
      </c>
      <c r="S85" s="93">
        <f t="shared" si="67"/>
        <v>50</v>
      </c>
      <c r="T85" s="93">
        <f t="shared" si="68"/>
        <v>8.407168379439778E-4</v>
      </c>
      <c r="U85" s="109">
        <f t="shared" si="58"/>
        <v>1.7815009714867713E-3</v>
      </c>
      <c r="V85" s="112">
        <f t="shared" si="71"/>
        <v>0.10207248686464801</v>
      </c>
      <c r="W85" s="93">
        <f t="shared" si="59"/>
        <v>-2.712463536485425</v>
      </c>
      <c r="X85" s="112">
        <f t="shared" si="54"/>
        <v>204.58728727625555</v>
      </c>
      <c r="Y85" s="110"/>
      <c r="Z85" s="86">
        <f t="shared" si="55"/>
        <v>1.0000000589004043</v>
      </c>
      <c r="AA85" s="108">
        <f t="shared" si="60"/>
        <v>-1.507270473378418E-2</v>
      </c>
      <c r="AB85" s="108">
        <f t="shared" si="61"/>
        <v>-3.3627546965603952E-3</v>
      </c>
      <c r="AC85" s="108">
        <f t="shared" si="62"/>
        <v>9.9999877807631847</v>
      </c>
      <c r="AD85" s="110">
        <f t="shared" si="63"/>
        <v>3.6178268193466634</v>
      </c>
      <c r="AE85" s="110">
        <f t="shared" si="64"/>
        <v>2.4908428877488422</v>
      </c>
      <c r="AF85" s="110">
        <f t="shared" si="65"/>
        <v>4959.9634086977239</v>
      </c>
    </row>
    <row r="86" spans="1:32" x14ac:dyDescent="0.2">
      <c r="A86" s="3">
        <v>5050</v>
      </c>
      <c r="B86" s="3">
        <v>0.35</v>
      </c>
      <c r="C86" s="3">
        <v>228.17</v>
      </c>
      <c r="E86" s="93">
        <f t="shared" si="69"/>
        <v>6.1086523819801532E-3</v>
      </c>
      <c r="F86" s="93">
        <f t="shared" si="69"/>
        <v>3.9823177542754613</v>
      </c>
      <c r="H86" s="86">
        <f t="shared" si="11"/>
        <v>1.654027022351956E-3</v>
      </c>
      <c r="I86" s="86">
        <f t="shared" si="12"/>
        <v>1.0000002279838449</v>
      </c>
      <c r="J86" s="108">
        <f t="shared" si="13"/>
        <v>-0.16488792483951761</v>
      </c>
      <c r="K86" s="108">
        <f t="shared" si="14"/>
        <v>-0.2133170930814367</v>
      </c>
      <c r="L86" s="108">
        <f t="shared" si="15"/>
        <v>49.999267372938945</v>
      </c>
      <c r="M86" s="95">
        <f t="shared" si="73"/>
        <v>3.3701086066005597</v>
      </c>
      <c r="N86" s="95">
        <f t="shared" si="73"/>
        <v>2.1830810319236775</v>
      </c>
      <c r="O86" s="95">
        <f t="shared" si="73"/>
        <v>5049.9624599635863</v>
      </c>
      <c r="Q86" s="18">
        <f t="shared" si="66"/>
        <v>5010</v>
      </c>
      <c r="R86" s="93">
        <f t="shared" si="57"/>
        <v>10</v>
      </c>
      <c r="S86" s="93">
        <f t="shared" si="67"/>
        <v>50</v>
      </c>
      <c r="T86" s="93">
        <f t="shared" si="68"/>
        <v>3.308054044703912E-4</v>
      </c>
      <c r="U86" s="109">
        <f t="shared" si="58"/>
        <v>4.9790247080316874E-3</v>
      </c>
      <c r="V86" s="112">
        <f t="shared" si="71"/>
        <v>0.28527710186157262</v>
      </c>
      <c r="W86" s="93">
        <f t="shared" si="59"/>
        <v>-2.1758354347744158</v>
      </c>
      <c r="X86" s="112">
        <f t="shared" si="54"/>
        <v>235.33381267241344</v>
      </c>
      <c r="Y86" s="110"/>
      <c r="Z86" s="86">
        <f t="shared" si="55"/>
        <v>1.0000000091193515</v>
      </c>
      <c r="AA86" s="108">
        <f t="shared" si="60"/>
        <v>-2.6767853821840444E-2</v>
      </c>
      <c r="AB86" s="108">
        <f t="shared" si="61"/>
        <v>-4.0380597648220856E-2</v>
      </c>
      <c r="AC86" s="108">
        <f t="shared" si="62"/>
        <v>9.9998825981808519</v>
      </c>
      <c r="AD86" s="110">
        <f t="shared" si="63"/>
        <v>3.508228677618237</v>
      </c>
      <c r="AE86" s="110">
        <f t="shared" si="64"/>
        <v>2.3560175273568933</v>
      </c>
      <c r="AF86" s="110">
        <f t="shared" si="65"/>
        <v>5009.963075188828</v>
      </c>
    </row>
    <row r="87" spans="1:32" x14ac:dyDescent="0.2">
      <c r="A87" s="3">
        <v>5100</v>
      </c>
      <c r="B87" s="3">
        <v>0</v>
      </c>
      <c r="C87" s="3">
        <v>243.63</v>
      </c>
      <c r="E87" s="93">
        <f t="shared" si="69"/>
        <v>0</v>
      </c>
      <c r="F87" s="93">
        <f t="shared" si="69"/>
        <v>4.2521456566337852</v>
      </c>
      <c r="H87" s="86">
        <f t="shared" ref="H87:H150" si="74">ACOS(MAX(-1,MIN(1, COS(E87-E86)-SIN(E86)*SIN(E87)*(1-COS(F87-F86)))))</f>
        <v>6.10865238197289E-3</v>
      </c>
      <c r="I87" s="86">
        <f t="shared" ref="I87:I150" si="75">IF(H87=0, 1, 2*TAN(H87/2)/H87)</f>
        <v>1.0000031096477642</v>
      </c>
      <c r="J87" s="108">
        <f t="shared" ref="J87:J150" si="76">0.5*(A87-A86)*I87 * (SIN(E86)*COS(F86) + SIN(E87)*COS(F87))</f>
        <v>-0.10184965818558966</v>
      </c>
      <c r="K87" s="108">
        <f t="shared" ref="K87:K150" si="77">0.5*(A87-A86)*I87 * (SIN(E86)*SIN(F86) + SIN(E87)*SIN(F87))</f>
        <v>-0.11379267675359704</v>
      </c>
      <c r="L87" s="108">
        <f t="shared" ref="L87:L150" si="78">0.5*(A87-A86)*I87 * (COS(E86) + COS(E87))</f>
        <v>49.999689036964156</v>
      </c>
      <c r="M87" s="95">
        <f t="shared" ref="M87:O102" si="79">M86+J87</f>
        <v>3.26825894841497</v>
      </c>
      <c r="N87" s="95">
        <f t="shared" si="79"/>
        <v>2.0692883551700807</v>
      </c>
      <c r="O87" s="95">
        <f t="shared" si="79"/>
        <v>5099.9621490005502</v>
      </c>
      <c r="Q87" s="18">
        <f t="shared" si="66"/>
        <v>5060</v>
      </c>
      <c r="R87" s="93">
        <f t="shared" si="57"/>
        <v>10</v>
      </c>
      <c r="S87" s="93">
        <f t="shared" si="67"/>
        <v>50</v>
      </c>
      <c r="T87" s="93">
        <f t="shared" si="68"/>
        <v>1.2217304763945782E-3</v>
      </c>
      <c r="U87" s="109">
        <f t="shared" si="58"/>
        <v>4.886921905585595E-3</v>
      </c>
      <c r="V87" s="112">
        <f t="shared" si="71"/>
        <v>0.28000000000008435</v>
      </c>
      <c r="W87" s="93">
        <f t="shared" si="59"/>
        <v>-2.3008675529041249</v>
      </c>
      <c r="X87" s="112">
        <f t="shared" si="54"/>
        <v>228.17</v>
      </c>
      <c r="Y87" s="110"/>
      <c r="Z87" s="86">
        <f t="shared" si="55"/>
        <v>1.0000001243854648</v>
      </c>
      <c r="AA87" s="108">
        <f t="shared" si="60"/>
        <v>-3.6665803975515561E-2</v>
      </c>
      <c r="AB87" s="108">
        <f t="shared" si="61"/>
        <v>-4.0965282103292526E-2</v>
      </c>
      <c r="AC87" s="108">
        <f t="shared" si="62"/>
        <v>9.9998482501454475</v>
      </c>
      <c r="AD87" s="110">
        <f t="shared" si="63"/>
        <v>3.333442802625044</v>
      </c>
      <c r="AE87" s="110">
        <f t="shared" si="64"/>
        <v>2.1421157498203849</v>
      </c>
      <c r="AF87" s="110">
        <f t="shared" si="65"/>
        <v>5059.9623082137314</v>
      </c>
    </row>
    <row r="88" spans="1:32" x14ac:dyDescent="0.2">
      <c r="A88" s="3">
        <v>5150</v>
      </c>
      <c r="B88" s="3">
        <v>0.27</v>
      </c>
      <c r="C88" s="3">
        <v>160.66999999999999</v>
      </c>
      <c r="E88" s="93">
        <f t="shared" si="69"/>
        <v>4.7123889803846897E-3</v>
      </c>
      <c r="F88" s="93">
        <f t="shared" si="69"/>
        <v>2.8042205091792889</v>
      </c>
      <c r="H88" s="86">
        <f t="shared" si="74"/>
        <v>4.7123889803850627E-3</v>
      </c>
      <c r="I88" s="86">
        <f t="shared" si="75"/>
        <v>1.0000018505549346</v>
      </c>
      <c r="J88" s="108">
        <f t="shared" si="76"/>
        <v>-0.11116832134506537</v>
      </c>
      <c r="K88" s="108">
        <f t="shared" si="77"/>
        <v>3.8995950435428466E-2</v>
      </c>
      <c r="L88" s="108">
        <f t="shared" si="78"/>
        <v>49.999814945122949</v>
      </c>
      <c r="M88" s="95">
        <f t="shared" si="79"/>
        <v>3.1570906270699046</v>
      </c>
      <c r="N88" s="95">
        <f t="shared" si="79"/>
        <v>2.1082843056055092</v>
      </c>
      <c r="O88" s="95">
        <f t="shared" si="79"/>
        <v>5149.9619639456732</v>
      </c>
      <c r="Q88" s="18">
        <f t="shared" si="66"/>
        <v>5110</v>
      </c>
      <c r="R88" s="93">
        <f t="shared" si="57"/>
        <v>10</v>
      </c>
      <c r="S88" s="93">
        <f t="shared" si="67"/>
        <v>50</v>
      </c>
      <c r="T88" s="93">
        <f t="shared" si="68"/>
        <v>9.4247779607701263E-4</v>
      </c>
      <c r="U88" s="109">
        <f t="shared" si="58"/>
        <v>9.4247779617617766E-4</v>
      </c>
      <c r="V88" s="112">
        <f t="shared" si="71"/>
        <v>5.400000000568602E-2</v>
      </c>
      <c r="W88" s="93">
        <f t="shared" si="59"/>
        <v>2.8042205091792889</v>
      </c>
      <c r="X88" s="112">
        <f t="shared" si="54"/>
        <v>160.66999999999999</v>
      </c>
      <c r="Y88" s="110"/>
      <c r="Z88" s="86">
        <f t="shared" si="55"/>
        <v>1.0000000740220396</v>
      </c>
      <c r="AA88" s="108">
        <f t="shared" si="60"/>
        <v>-4.4467407540283261E-3</v>
      </c>
      <c r="AB88" s="108">
        <f t="shared" si="61"/>
        <v>1.5598407886815288E-3</v>
      </c>
      <c r="AC88" s="108">
        <f t="shared" si="62"/>
        <v>9.9999985195594068</v>
      </c>
      <c r="AD88" s="110">
        <f t="shared" si="63"/>
        <v>3.2638122076609415</v>
      </c>
      <c r="AE88" s="110">
        <f t="shared" si="64"/>
        <v>2.0708481959587623</v>
      </c>
      <c r="AF88" s="110">
        <f t="shared" si="65"/>
        <v>5109.9621475201093</v>
      </c>
    </row>
    <row r="89" spans="1:32" x14ac:dyDescent="0.2">
      <c r="A89" s="3">
        <v>5200</v>
      </c>
      <c r="B89" s="3">
        <v>0.35</v>
      </c>
      <c r="C89" s="3">
        <v>96.32</v>
      </c>
      <c r="E89" s="93">
        <f t="shared" si="69"/>
        <v>6.1086523819801532E-3</v>
      </c>
      <c r="F89" s="93">
        <f t="shared" si="69"/>
        <v>1.6811011355209382</v>
      </c>
      <c r="H89" s="86">
        <f t="shared" si="74"/>
        <v>5.8822087184566829E-3</v>
      </c>
      <c r="I89" s="86">
        <f t="shared" si="75"/>
        <v>1.0000028833749273</v>
      </c>
      <c r="J89" s="108">
        <f t="shared" si="76"/>
        <v>-0.12797958419867925</v>
      </c>
      <c r="K89" s="108">
        <f t="shared" si="77"/>
        <v>0.19078367434409998</v>
      </c>
      <c r="L89" s="108">
        <f t="shared" si="78"/>
        <v>49.99940014051738</v>
      </c>
      <c r="M89" s="95">
        <f t="shared" si="79"/>
        <v>3.0291110428712256</v>
      </c>
      <c r="N89" s="95">
        <f t="shared" si="79"/>
        <v>2.299067979949609</v>
      </c>
      <c r="O89" s="95">
        <f t="shared" si="79"/>
        <v>5199.9613640861908</v>
      </c>
      <c r="Q89" s="18">
        <f t="shared" si="66"/>
        <v>5160</v>
      </c>
      <c r="R89" s="93">
        <f t="shared" si="57"/>
        <v>10</v>
      </c>
      <c r="S89" s="93">
        <f t="shared" si="67"/>
        <v>50</v>
      </c>
      <c r="T89" s="93">
        <f t="shared" si="68"/>
        <v>1.1764417436913367E-3</v>
      </c>
      <c r="U89" s="109">
        <f t="shared" si="58"/>
        <v>4.4376108341170895E-3</v>
      </c>
      <c r="V89" s="112">
        <f t="shared" si="71"/>
        <v>0.25425637191643807</v>
      </c>
      <c r="W89" s="93">
        <f t="shared" si="59"/>
        <v>2.5534167433204433</v>
      </c>
      <c r="X89" s="112">
        <f t="shared" si="54"/>
        <v>146.30000273030083</v>
      </c>
      <c r="Y89" s="110"/>
      <c r="Z89" s="86">
        <f t="shared" si="55"/>
        <v>1.0000001153346139</v>
      </c>
      <c r="AA89" s="108">
        <f t="shared" si="60"/>
        <v>-4.0693010948671983E-2</v>
      </c>
      <c r="AB89" s="108">
        <f t="shared" si="61"/>
        <v>2.0110054901297542E-2</v>
      </c>
      <c r="AC89" s="108">
        <f t="shared" si="62"/>
        <v>9.9998964060180384</v>
      </c>
      <c r="AD89" s="110">
        <f t="shared" si="63"/>
        <v>3.1163976161212328</v>
      </c>
      <c r="AE89" s="110">
        <f t="shared" si="64"/>
        <v>2.1283943605068067</v>
      </c>
      <c r="AF89" s="110">
        <f t="shared" si="65"/>
        <v>5159.961860351691</v>
      </c>
    </row>
    <row r="90" spans="1:32" x14ac:dyDescent="0.2">
      <c r="A90" s="3">
        <v>5250</v>
      </c>
      <c r="B90" s="3">
        <v>0.43</v>
      </c>
      <c r="C90" s="3">
        <v>114.6</v>
      </c>
      <c r="E90" s="93">
        <f t="shared" si="69"/>
        <v>7.5049157835756167E-3</v>
      </c>
      <c r="F90" s="93">
        <f t="shared" si="69"/>
        <v>2.0001473227855016</v>
      </c>
      <c r="H90" s="86">
        <f t="shared" si="74"/>
        <v>2.5644898752024137E-3</v>
      </c>
      <c r="I90" s="86">
        <f t="shared" si="75"/>
        <v>1.0000005480510539</v>
      </c>
      <c r="J90" s="108">
        <f t="shared" si="76"/>
        <v>-9.491422560663669E-2</v>
      </c>
      <c r="K90" s="108">
        <f t="shared" si="77"/>
        <v>0.32237933189140949</v>
      </c>
      <c r="L90" s="108">
        <f t="shared" si="78"/>
        <v>49.998856914230693</v>
      </c>
      <c r="M90" s="95">
        <f t="shared" si="79"/>
        <v>2.9341968172645889</v>
      </c>
      <c r="N90" s="95">
        <f t="shared" si="79"/>
        <v>2.6214473118410186</v>
      </c>
      <c r="O90" s="95">
        <f t="shared" si="79"/>
        <v>5249.9602210004214</v>
      </c>
      <c r="Q90" s="18">
        <f t="shared" si="66"/>
        <v>5210</v>
      </c>
      <c r="R90" s="93">
        <f t="shared" si="57"/>
        <v>10</v>
      </c>
      <c r="S90" s="93">
        <f t="shared" si="67"/>
        <v>50</v>
      </c>
      <c r="T90" s="93">
        <f t="shared" si="68"/>
        <v>5.1289797504048271E-4</v>
      </c>
      <c r="U90" s="109">
        <f t="shared" si="58"/>
        <v>6.3296929641039057E-3</v>
      </c>
      <c r="V90" s="112">
        <f t="shared" si="71"/>
        <v>0.36266469245680588</v>
      </c>
      <c r="W90" s="93">
        <f t="shared" si="59"/>
        <v>1.7555493468987917</v>
      </c>
      <c r="X90" s="112">
        <f t="shared" si="54"/>
        <v>100.58556830424884</v>
      </c>
      <c r="Y90" s="110"/>
      <c r="Z90" s="86">
        <f t="shared" si="55"/>
        <v>1.0000000219220284</v>
      </c>
      <c r="AA90" s="108">
        <f t="shared" si="60"/>
        <v>-9.1761233540512549E-3</v>
      </c>
      <c r="AB90" s="108">
        <f t="shared" si="61"/>
        <v>6.1467103030934916E-2</v>
      </c>
      <c r="AC90" s="108">
        <f t="shared" si="62"/>
        <v>9.9998067682231966</v>
      </c>
      <c r="AD90" s="110">
        <f t="shared" si="63"/>
        <v>3.0199349195171745</v>
      </c>
      <c r="AE90" s="110">
        <f t="shared" si="64"/>
        <v>2.3605350829805438</v>
      </c>
      <c r="AF90" s="110">
        <f t="shared" si="65"/>
        <v>5209.9611708544144</v>
      </c>
    </row>
    <row r="91" spans="1:32" x14ac:dyDescent="0.2">
      <c r="A91" s="3">
        <v>5300</v>
      </c>
      <c r="B91" s="3">
        <v>0.53</v>
      </c>
      <c r="C91" s="3">
        <v>144.13</v>
      </c>
      <c r="E91" s="93">
        <f t="shared" si="69"/>
        <v>9.250245035569947E-3</v>
      </c>
      <c r="F91" s="93">
        <f t="shared" si="69"/>
        <v>2.515543050899427</v>
      </c>
      <c r="H91" s="86">
        <f t="shared" si="74"/>
        <v>4.5915153558242494E-3</v>
      </c>
      <c r="I91" s="86">
        <f t="shared" si="75"/>
        <v>1.0000017568381423</v>
      </c>
      <c r="J91" s="108">
        <f t="shared" si="76"/>
        <v>-0.26549893500021221</v>
      </c>
      <c r="K91" s="108">
        <f t="shared" si="77"/>
        <v>0.30609461128442372</v>
      </c>
      <c r="L91" s="108">
        <f t="shared" si="78"/>
        <v>49.998314214795748</v>
      </c>
      <c r="M91" s="95">
        <f t="shared" si="79"/>
        <v>2.6686978822643765</v>
      </c>
      <c r="N91" s="95">
        <f t="shared" si="79"/>
        <v>2.9275419231254425</v>
      </c>
      <c r="O91" s="95">
        <f t="shared" si="79"/>
        <v>5299.9585352152171</v>
      </c>
      <c r="Q91" s="18">
        <f t="shared" si="66"/>
        <v>5260</v>
      </c>
      <c r="R91" s="93">
        <f t="shared" si="57"/>
        <v>10</v>
      </c>
      <c r="S91" s="93">
        <f t="shared" si="67"/>
        <v>50</v>
      </c>
      <c r="T91" s="93">
        <f t="shared" si="68"/>
        <v>9.1830307116484993E-4</v>
      </c>
      <c r="U91" s="109">
        <f t="shared" si="58"/>
        <v>7.6680737931735798E-3</v>
      </c>
      <c r="V91" s="112">
        <f t="shared" si="71"/>
        <v>0.43934826534371824</v>
      </c>
      <c r="W91" s="93">
        <f t="shared" si="59"/>
        <v>2.1193444723777883</v>
      </c>
      <c r="X91" s="112">
        <f t="shared" si="54"/>
        <v>121.42949360162756</v>
      </c>
      <c r="Y91" s="110"/>
      <c r="Z91" s="86">
        <f t="shared" si="55"/>
        <v>1.0000000702733836</v>
      </c>
      <c r="AA91" s="108">
        <f t="shared" si="60"/>
        <v>-3.5612966024445705E-2</v>
      </c>
      <c r="AB91" s="108">
        <f t="shared" si="61"/>
        <v>6.6833231402080528E-2</v>
      </c>
      <c r="AC91" s="108">
        <f t="shared" si="62"/>
        <v>9.9997128963032615</v>
      </c>
      <c r="AD91" s="110">
        <f t="shared" si="63"/>
        <v>2.8985838512401432</v>
      </c>
      <c r="AE91" s="110">
        <f t="shared" si="64"/>
        <v>2.6882805432430992</v>
      </c>
      <c r="AF91" s="110">
        <f t="shared" si="65"/>
        <v>5259.9599338967246</v>
      </c>
    </row>
    <row r="92" spans="1:32" x14ac:dyDescent="0.2">
      <c r="A92" s="3">
        <v>5350</v>
      </c>
      <c r="B92" s="3">
        <v>0.53</v>
      </c>
      <c r="C92" s="3">
        <v>142.03</v>
      </c>
      <c r="E92" s="93">
        <f t="shared" si="69"/>
        <v>9.250245035569947E-3</v>
      </c>
      <c r="F92" s="93">
        <f t="shared" si="69"/>
        <v>2.4788911366075461</v>
      </c>
      <c r="H92" s="86">
        <f t="shared" si="74"/>
        <v>3.3901537810043791E-4</v>
      </c>
      <c r="I92" s="86">
        <f t="shared" si="75"/>
        <v>1.0000000095776189</v>
      </c>
      <c r="J92" s="108">
        <f t="shared" si="76"/>
        <v>-0.36969963486632984</v>
      </c>
      <c r="K92" s="108">
        <f t="shared" si="77"/>
        <v>0.27778018939215648</v>
      </c>
      <c r="L92" s="108">
        <f t="shared" si="78"/>
        <v>49.99786131828354</v>
      </c>
      <c r="M92" s="95">
        <f t="shared" si="79"/>
        <v>2.2989982473980466</v>
      </c>
      <c r="N92" s="95">
        <f t="shared" si="79"/>
        <v>3.205322112517599</v>
      </c>
      <c r="O92" s="95">
        <f t="shared" si="79"/>
        <v>5349.956396533501</v>
      </c>
      <c r="Q92" s="18">
        <f t="shared" si="66"/>
        <v>5310</v>
      </c>
      <c r="R92" s="93">
        <f t="shared" si="57"/>
        <v>10</v>
      </c>
      <c r="S92" s="93">
        <f t="shared" si="67"/>
        <v>50</v>
      </c>
      <c r="T92" s="93">
        <f t="shared" si="68"/>
        <v>6.7803075620087586E-5</v>
      </c>
      <c r="U92" s="109">
        <f t="shared" si="58"/>
        <v>9.2492510353057167E-3</v>
      </c>
      <c r="V92" s="112">
        <f t="shared" si="71"/>
        <v>0.52994304798002478</v>
      </c>
      <c r="W92" s="93">
        <f t="shared" si="59"/>
        <v>2.508213455811438</v>
      </c>
      <c r="X92" s="112">
        <f t="shared" si="54"/>
        <v>143.71004513591839</v>
      </c>
      <c r="Y92" s="110"/>
      <c r="Z92" s="86">
        <f t="shared" si="55"/>
        <v>1.0000000003831047</v>
      </c>
      <c r="AA92" s="108">
        <f t="shared" si="60"/>
        <v>-7.4754511874604704E-2</v>
      </c>
      <c r="AB92" s="108">
        <f t="shared" si="61"/>
        <v>5.4471900316740887E-2</v>
      </c>
      <c r="AC92" s="108">
        <f t="shared" si="62"/>
        <v>9.9995722176861044</v>
      </c>
      <c r="AD92" s="110">
        <f t="shared" si="63"/>
        <v>2.5939433703897716</v>
      </c>
      <c r="AE92" s="110">
        <f t="shared" si="64"/>
        <v>2.9820138234421836</v>
      </c>
      <c r="AF92" s="110">
        <f t="shared" si="65"/>
        <v>5309.9581074329035</v>
      </c>
    </row>
    <row r="93" spans="1:32" x14ac:dyDescent="0.2">
      <c r="A93" s="3">
        <v>5413</v>
      </c>
      <c r="B93" s="3">
        <v>0.53</v>
      </c>
      <c r="C93" s="3">
        <v>137.47</v>
      </c>
      <c r="E93" s="93">
        <f t="shared" si="69"/>
        <v>9.250245035569947E-3</v>
      </c>
      <c r="F93" s="93">
        <f t="shared" si="69"/>
        <v>2.3993041227166048</v>
      </c>
      <c r="H93" s="86">
        <f t="shared" si="74"/>
        <v>7.3599461771789443E-4</v>
      </c>
      <c r="I93" s="86">
        <f t="shared" si="75"/>
        <v>1.0000000451406756</v>
      </c>
      <c r="J93" s="108">
        <f t="shared" si="76"/>
        <v>-0.44442706830511197</v>
      </c>
      <c r="K93" s="108">
        <f t="shared" si="77"/>
        <v>0.37623528532030964</v>
      </c>
      <c r="L93" s="108">
        <f t="shared" si="78"/>
        <v>62.997307501413978</v>
      </c>
      <c r="M93" s="95">
        <f t="shared" si="79"/>
        <v>1.8545711790929347</v>
      </c>
      <c r="N93" s="95">
        <f t="shared" si="79"/>
        <v>3.5815573978379085</v>
      </c>
      <c r="O93" s="95">
        <f t="shared" si="79"/>
        <v>5412.9537040349151</v>
      </c>
      <c r="Q93" s="18">
        <f t="shared" si="66"/>
        <v>5360</v>
      </c>
      <c r="R93" s="93">
        <f t="shared" si="57"/>
        <v>10</v>
      </c>
      <c r="S93" s="93">
        <f t="shared" si="67"/>
        <v>63</v>
      </c>
      <c r="T93" s="93">
        <f t="shared" si="68"/>
        <v>1.1682454249490388E-4</v>
      </c>
      <c r="U93" s="109">
        <f t="shared" si="58"/>
        <v>9.2463344638582523E-3</v>
      </c>
      <c r="V93" s="112">
        <f t="shared" si="71"/>
        <v>0.52977594074543666</v>
      </c>
      <c r="W93" s="93">
        <f t="shared" si="59"/>
        <v>2.4662659357606858</v>
      </c>
      <c r="X93" s="112">
        <f t="shared" si="54"/>
        <v>141.3066292759699</v>
      </c>
      <c r="Y93" s="110"/>
      <c r="Z93" s="86">
        <f t="shared" si="55"/>
        <v>1.0000000011373311</v>
      </c>
      <c r="AA93" s="108">
        <f t="shared" si="60"/>
        <v>-7.254428040003294E-2</v>
      </c>
      <c r="AB93" s="108">
        <f t="shared" si="61"/>
        <v>5.7357031521245959E-2</v>
      </c>
      <c r="AC93" s="108">
        <f t="shared" si="62"/>
        <v>9.9995723600853648</v>
      </c>
      <c r="AD93" s="110">
        <f t="shared" si="63"/>
        <v>2.2264539669980135</v>
      </c>
      <c r="AE93" s="110">
        <f t="shared" si="64"/>
        <v>3.2626791440388452</v>
      </c>
      <c r="AF93" s="110">
        <f t="shared" si="65"/>
        <v>5359.955968893586</v>
      </c>
    </row>
    <row r="94" spans="1:32" x14ac:dyDescent="0.2">
      <c r="A94" s="3">
        <v>5466</v>
      </c>
      <c r="B94" s="3">
        <v>0.35</v>
      </c>
      <c r="C94" s="3">
        <v>122.68</v>
      </c>
      <c r="E94" s="93">
        <f t="shared" si="69"/>
        <v>6.1086523819801532E-3</v>
      </c>
      <c r="F94" s="93">
        <f t="shared" si="69"/>
        <v>2.1411699263466435</v>
      </c>
      <c r="H94" s="86">
        <f t="shared" si="74"/>
        <v>3.6897003445375276E-3</v>
      </c>
      <c r="I94" s="86">
        <f t="shared" si="75"/>
        <v>1.0000011344922639</v>
      </c>
      <c r="J94" s="108">
        <f t="shared" si="76"/>
        <v>-0.26804650414298103</v>
      </c>
      <c r="K94" s="108">
        <f t="shared" si="77"/>
        <v>0.301953860986717</v>
      </c>
      <c r="L94" s="108">
        <f t="shared" si="78"/>
        <v>52.998431940525066</v>
      </c>
      <c r="M94" s="95">
        <f t="shared" si="79"/>
        <v>1.5865246749499535</v>
      </c>
      <c r="N94" s="95">
        <f t="shared" si="79"/>
        <v>3.8835112588246257</v>
      </c>
      <c r="O94" s="95">
        <f t="shared" si="79"/>
        <v>5465.9521359754399</v>
      </c>
      <c r="Q94" s="18">
        <f t="shared" si="66"/>
        <v>5423</v>
      </c>
      <c r="R94" s="93">
        <f t="shared" si="57"/>
        <v>10</v>
      </c>
      <c r="S94" s="93">
        <f t="shared" si="67"/>
        <v>53</v>
      </c>
      <c r="T94" s="93">
        <f t="shared" si="68"/>
        <v>6.9616987632783545E-4</v>
      </c>
      <c r="U94" s="109">
        <f t="shared" si="58"/>
        <v>8.6243260894049989E-3</v>
      </c>
      <c r="V94" s="112">
        <f t="shared" si="71"/>
        <v>0.49413748606747232</v>
      </c>
      <c r="W94" s="93">
        <f t="shared" si="59"/>
        <v>2.365181374938143</v>
      </c>
      <c r="X94" s="112">
        <f t="shared" si="54"/>
        <v>135.51491056690472</v>
      </c>
      <c r="Y94" s="110"/>
      <c r="Z94" s="86">
        <f t="shared" si="55"/>
        <v>1.0000000403877101</v>
      </c>
      <c r="AA94" s="108">
        <f t="shared" si="60"/>
        <v>-6.484713658601754E-2</v>
      </c>
      <c r="AB94" s="108">
        <f t="shared" si="61"/>
        <v>6.1480252499821475E-2</v>
      </c>
      <c r="AC94" s="108">
        <f t="shared" si="62"/>
        <v>9.9996005414545657</v>
      </c>
      <c r="AD94" s="110">
        <f t="shared" si="63"/>
        <v>1.7897240425069172</v>
      </c>
      <c r="AE94" s="110">
        <f t="shared" si="64"/>
        <v>3.64303765033773</v>
      </c>
      <c r="AF94" s="110">
        <f t="shared" si="65"/>
        <v>5422.9533045763692</v>
      </c>
    </row>
    <row r="95" spans="1:32" x14ac:dyDescent="0.2">
      <c r="A95" s="3">
        <v>5512</v>
      </c>
      <c r="B95" s="3">
        <v>0.43</v>
      </c>
      <c r="C95" s="3">
        <v>188.78</v>
      </c>
      <c r="E95" s="93">
        <f t="shared" si="69"/>
        <v>7.5049157835756167E-3</v>
      </c>
      <c r="F95" s="93">
        <f t="shared" si="69"/>
        <v>3.2948325619148955</v>
      </c>
      <c r="H95" s="86">
        <f t="shared" si="74"/>
        <v>7.5160788062103023E-3</v>
      </c>
      <c r="I95" s="86">
        <f t="shared" si="75"/>
        <v>1.0000047076466461</v>
      </c>
      <c r="J95" s="108">
        <f t="shared" si="76"/>
        <v>-0.24645137461299868</v>
      </c>
      <c r="K95" s="108">
        <f t="shared" si="77"/>
        <v>9.1910051789815941E-2</v>
      </c>
      <c r="L95" s="108">
        <f t="shared" si="78"/>
        <v>45.999139698010218</v>
      </c>
      <c r="M95" s="95">
        <f t="shared" si="79"/>
        <v>1.3400733003369549</v>
      </c>
      <c r="N95" s="95">
        <f t="shared" si="79"/>
        <v>3.9754213106144416</v>
      </c>
      <c r="O95" s="95">
        <f t="shared" si="79"/>
        <v>5511.9512756734503</v>
      </c>
      <c r="Q95" s="18">
        <f t="shared" si="66"/>
        <v>5476</v>
      </c>
      <c r="R95" s="93">
        <f t="shared" si="57"/>
        <v>10</v>
      </c>
      <c r="S95" s="93">
        <f t="shared" si="67"/>
        <v>46</v>
      </c>
      <c r="T95" s="93">
        <f t="shared" si="68"/>
        <v>1.6339301752631092E-3</v>
      </c>
      <c r="U95" s="109">
        <f t="shared" si="58"/>
        <v>5.6424210166321487E-3</v>
      </c>
      <c r="V95" s="112">
        <f t="shared" si="71"/>
        <v>0.32328691048893737</v>
      </c>
      <c r="W95" s="93">
        <f t="shared" si="59"/>
        <v>2.408707485326528</v>
      </c>
      <c r="X95" s="112">
        <f t="shared" si="54"/>
        <v>138.00877299077973</v>
      </c>
      <c r="Y95" s="110"/>
      <c r="Z95" s="86">
        <f t="shared" si="55"/>
        <v>1.0000002224773776</v>
      </c>
      <c r="AA95" s="108">
        <f t="shared" si="60"/>
        <v>-3.746009339574749E-2</v>
      </c>
      <c r="AB95" s="108">
        <f t="shared" si="61"/>
        <v>4.4582364906182705E-2</v>
      </c>
      <c r="AC95" s="108">
        <f t="shared" si="62"/>
        <v>9.9998293438644428</v>
      </c>
      <c r="AD95" s="110">
        <f t="shared" si="63"/>
        <v>1.5490645815542061</v>
      </c>
      <c r="AE95" s="110">
        <f t="shared" si="64"/>
        <v>3.9280936237308084</v>
      </c>
      <c r="AF95" s="110">
        <f t="shared" si="65"/>
        <v>5475.9519653193047</v>
      </c>
    </row>
    <row r="96" spans="1:32" x14ac:dyDescent="0.2">
      <c r="A96" s="3">
        <v>5608</v>
      </c>
      <c r="B96" s="3">
        <v>2.98</v>
      </c>
      <c r="C96" s="3">
        <v>271.39999999999998</v>
      </c>
      <c r="E96" s="93">
        <f t="shared" si="69"/>
        <v>5.2010811709431018E-2</v>
      </c>
      <c r="F96" s="93">
        <f t="shared" si="69"/>
        <v>4.7368235899126097</v>
      </c>
      <c r="H96" s="86">
        <f t="shared" si="74"/>
        <v>5.1586056916258949E-2</v>
      </c>
      <c r="I96" s="86">
        <f t="shared" si="75"/>
        <v>1.0002218191346293</v>
      </c>
      <c r="J96" s="108">
        <f t="shared" si="76"/>
        <v>-0.2951088175314468</v>
      </c>
      <c r="K96" s="108">
        <f t="shared" si="77"/>
        <v>-2.5502004196931054</v>
      </c>
      <c r="L96" s="108">
        <f t="shared" si="78"/>
        <v>95.955019820490605</v>
      </c>
      <c r="M96" s="95">
        <f t="shared" si="79"/>
        <v>1.0449644828055082</v>
      </c>
      <c r="N96" s="95">
        <f t="shared" si="79"/>
        <v>1.4252208909213362</v>
      </c>
      <c r="O96" s="95">
        <f t="shared" si="79"/>
        <v>5607.9062954939409</v>
      </c>
      <c r="Q96" s="18">
        <f t="shared" si="66"/>
        <v>5522</v>
      </c>
      <c r="R96" s="93">
        <f t="shared" si="57"/>
        <v>10</v>
      </c>
      <c r="S96" s="93">
        <f t="shared" si="67"/>
        <v>96</v>
      </c>
      <c r="T96" s="93">
        <f t="shared" si="68"/>
        <v>5.3735475954436408E-3</v>
      </c>
      <c r="U96" s="109">
        <f t="shared" si="58"/>
        <v>9.1607888201035159E-3</v>
      </c>
      <c r="V96" s="112">
        <f t="shared" si="71"/>
        <v>0.52487453640256065</v>
      </c>
      <c r="W96" s="93">
        <f t="shared" si="59"/>
        <v>-2.3616058591684701</v>
      </c>
      <c r="X96" s="112">
        <f t="shared" si="54"/>
        <v>224.68995139627998</v>
      </c>
      <c r="Y96" s="110"/>
      <c r="Z96" s="86">
        <f t="shared" si="55"/>
        <v>1.0000024062580948</v>
      </c>
      <c r="AA96" s="108">
        <f t="shared" si="60"/>
        <v>-6.9647288881543784E-2</v>
      </c>
      <c r="AB96" s="108">
        <f t="shared" si="61"/>
        <v>-3.7939912552579107E-2</v>
      </c>
      <c r="AC96" s="108">
        <f t="shared" si="62"/>
        <v>9.9996734543335908</v>
      </c>
      <c r="AD96" s="110">
        <f t="shared" si="63"/>
        <v>1.2704260114554111</v>
      </c>
      <c r="AE96" s="110">
        <f t="shared" si="64"/>
        <v>3.9374813980618626</v>
      </c>
      <c r="AF96" s="110">
        <f t="shared" si="65"/>
        <v>5521.950949127784</v>
      </c>
    </row>
    <row r="97" spans="1:32" x14ac:dyDescent="0.2">
      <c r="A97" s="3">
        <v>5705</v>
      </c>
      <c r="B97" s="3">
        <v>7.12</v>
      </c>
      <c r="C97" s="3">
        <v>272.82</v>
      </c>
      <c r="E97" s="93">
        <f t="shared" si="69"/>
        <v>0.12426744274199626</v>
      </c>
      <c r="F97" s="93">
        <f t="shared" si="69"/>
        <v>4.7616072652909294</v>
      </c>
      <c r="H97" s="86">
        <f t="shared" si="74"/>
        <v>7.2284036303233323E-2</v>
      </c>
      <c r="I97" s="86">
        <f t="shared" si="75"/>
        <v>1.0004356427826722</v>
      </c>
      <c r="J97" s="108">
        <f t="shared" si="76"/>
        <v>0.35751351947823784</v>
      </c>
      <c r="K97" s="108">
        <f t="shared" si="77"/>
        <v>-8.5285397394735796</v>
      </c>
      <c r="L97" s="108">
        <f t="shared" si="78"/>
        <v>96.602484886405207</v>
      </c>
      <c r="M97" s="95">
        <f t="shared" si="79"/>
        <v>1.402478002283746</v>
      </c>
      <c r="N97" s="95">
        <f t="shared" si="79"/>
        <v>-7.1033188485522434</v>
      </c>
      <c r="O97" s="95">
        <f t="shared" si="79"/>
        <v>5704.5087803803463</v>
      </c>
      <c r="Q97" s="18">
        <f t="shared" si="66"/>
        <v>5618</v>
      </c>
      <c r="R97" s="93">
        <f t="shared" si="57"/>
        <v>10</v>
      </c>
      <c r="S97" s="93">
        <f t="shared" si="67"/>
        <v>97</v>
      </c>
      <c r="T97" s="93">
        <f t="shared" si="68"/>
        <v>7.4519625054879713E-3</v>
      </c>
      <c r="U97" s="109">
        <f t="shared" si="58"/>
        <v>5.9456875524803054E-2</v>
      </c>
      <c r="V97" s="112">
        <f t="shared" si="71"/>
        <v>3.4066280306058965</v>
      </c>
      <c r="W97" s="93">
        <f t="shared" si="59"/>
        <v>-1.5410281389769447</v>
      </c>
      <c r="X97" s="112">
        <f t="shared" si="54"/>
        <v>271.70559152572139</v>
      </c>
      <c r="Y97" s="110"/>
      <c r="Z97" s="86">
        <f t="shared" si="55"/>
        <v>1.0000046276711303</v>
      </c>
      <c r="AA97" s="108">
        <f t="shared" si="60"/>
        <v>1.519399105577442E-2</v>
      </c>
      <c r="AB97" s="108">
        <f t="shared" si="61"/>
        <v>-0.55683943239523404</v>
      </c>
      <c r="AC97" s="108">
        <f t="shared" si="62"/>
        <v>9.9844497207146556</v>
      </c>
      <c r="AD97" s="110">
        <f t="shared" si="63"/>
        <v>1.0601584738612826</v>
      </c>
      <c r="AE97" s="110">
        <f t="shared" si="64"/>
        <v>0.86838145852610216</v>
      </c>
      <c r="AF97" s="110">
        <f t="shared" si="65"/>
        <v>5617.8907452146559</v>
      </c>
    </row>
    <row r="98" spans="1:32" x14ac:dyDescent="0.2">
      <c r="A98" s="3">
        <v>5801</v>
      </c>
      <c r="B98" s="3">
        <v>9.23</v>
      </c>
      <c r="C98" s="3">
        <v>265.43</v>
      </c>
      <c r="E98" s="93">
        <f t="shared" si="69"/>
        <v>0.16109388995907661</v>
      </c>
      <c r="F98" s="93">
        <f t="shared" si="69"/>
        <v>4.6326274335685493</v>
      </c>
      <c r="H98" s="86">
        <f t="shared" si="74"/>
        <v>4.1067613451125196E-2</v>
      </c>
      <c r="I98" s="86">
        <f t="shared" si="75"/>
        <v>1.0001405694473193</v>
      </c>
      <c r="J98" s="108">
        <f t="shared" si="76"/>
        <v>-0.320780877302283</v>
      </c>
      <c r="K98" s="108">
        <f t="shared" si="77"/>
        <v>-13.618834523240954</v>
      </c>
      <c r="L98" s="108">
        <f t="shared" si="78"/>
        <v>95.021730404877999</v>
      </c>
      <c r="M98" s="95">
        <f t="shared" si="79"/>
        <v>1.0816971249814631</v>
      </c>
      <c r="N98" s="95">
        <f t="shared" si="79"/>
        <v>-20.722153371793198</v>
      </c>
      <c r="O98" s="95">
        <f t="shared" si="79"/>
        <v>5799.5305107852246</v>
      </c>
      <c r="Q98" s="18">
        <f t="shared" si="66"/>
        <v>5715</v>
      </c>
      <c r="R98" s="93">
        <f t="shared" si="57"/>
        <v>10</v>
      </c>
      <c r="S98" s="93">
        <f t="shared" si="67"/>
        <v>96</v>
      </c>
      <c r="T98" s="93">
        <f t="shared" si="68"/>
        <v>4.2778764011588751E-3</v>
      </c>
      <c r="U98" s="109">
        <f t="shared" si="58"/>
        <v>0.12798395094385784</v>
      </c>
      <c r="V98" s="112">
        <f t="shared" si="71"/>
        <v>7.3329402344924226</v>
      </c>
      <c r="W98" s="93">
        <f t="shared" si="59"/>
        <v>-1.5384209405890845</v>
      </c>
      <c r="X98" s="112">
        <f t="shared" si="54"/>
        <v>271.85497298969909</v>
      </c>
      <c r="Y98" s="110"/>
      <c r="Z98" s="86">
        <f t="shared" si="55"/>
        <v>1.0000015250216661</v>
      </c>
      <c r="AA98" s="108">
        <f t="shared" si="60"/>
        <v>5.1147796955369598E-2</v>
      </c>
      <c r="AB98" s="108">
        <f t="shared" si="61"/>
        <v>-1.2568305083066018</v>
      </c>
      <c r="AC98" s="108">
        <f t="shared" si="62"/>
        <v>9.920564927183424</v>
      </c>
      <c r="AD98" s="110">
        <f t="shared" si="63"/>
        <v>1.4536257992391155</v>
      </c>
      <c r="AE98" s="110">
        <f t="shared" si="64"/>
        <v>-8.3601493568588445</v>
      </c>
      <c r="AF98" s="110">
        <f t="shared" si="65"/>
        <v>5714.4293453075297</v>
      </c>
    </row>
    <row r="99" spans="1:32" x14ac:dyDescent="0.2">
      <c r="A99" s="3">
        <v>5897</v>
      </c>
      <c r="B99" s="3">
        <v>11.07</v>
      </c>
      <c r="C99" s="3">
        <v>259.45</v>
      </c>
      <c r="E99" s="93">
        <f t="shared" si="69"/>
        <v>0.19320794819577228</v>
      </c>
      <c r="F99" s="93">
        <f t="shared" si="69"/>
        <v>4.5282567442992878</v>
      </c>
      <c r="H99" s="86">
        <f t="shared" si="74"/>
        <v>3.6967043977364389E-2</v>
      </c>
      <c r="I99" s="86">
        <f t="shared" si="75"/>
        <v>1.0001138957596263</v>
      </c>
      <c r="J99" s="108">
        <f t="shared" si="76"/>
        <v>-2.3011649680025501</v>
      </c>
      <c r="K99" s="108">
        <f t="shared" si="77"/>
        <v>-16.737126065770173</v>
      </c>
      <c r="L99" s="108">
        <f t="shared" si="78"/>
        <v>94.496157481549233</v>
      </c>
      <c r="M99" s="95">
        <f t="shared" si="79"/>
        <v>-1.219467843021087</v>
      </c>
      <c r="N99" s="95">
        <f t="shared" si="79"/>
        <v>-37.459279437563367</v>
      </c>
      <c r="O99" s="95">
        <f t="shared" si="79"/>
        <v>5894.0266682667734</v>
      </c>
      <c r="Q99" s="18">
        <f t="shared" si="66"/>
        <v>5811</v>
      </c>
      <c r="R99" s="93">
        <f t="shared" si="57"/>
        <v>10</v>
      </c>
      <c r="S99" s="93">
        <f t="shared" si="67"/>
        <v>96</v>
      </c>
      <c r="T99" s="93">
        <f t="shared" si="68"/>
        <v>3.8507337476421238E-3</v>
      </c>
      <c r="U99" s="109">
        <f t="shared" si="58"/>
        <v>0.1643449394591292</v>
      </c>
      <c r="V99" s="112">
        <f t="shared" si="71"/>
        <v>9.4162714153411304</v>
      </c>
      <c r="W99" s="93">
        <f t="shared" si="59"/>
        <v>-1.6632972509590258</v>
      </c>
      <c r="X99" s="112">
        <f t="shared" ref="X99:X162" si="80">MOD(DEGREES(W99), 360)</f>
        <v>264.70008744433574</v>
      </c>
      <c r="Y99" s="110"/>
      <c r="Z99" s="86">
        <f t="shared" ref="Z99:Z162" si="81">IF(T99=0, 1, 2*TAN(T99/2)/T99)</f>
        <v>1.0000012356810319</v>
      </c>
      <c r="AA99" s="108">
        <f t="shared" si="60"/>
        <v>-0.13946107158308857</v>
      </c>
      <c r="AB99" s="108">
        <f t="shared" si="61"/>
        <v>-1.6139758473423782</v>
      </c>
      <c r="AC99" s="108">
        <f t="shared" si="62"/>
        <v>9.8679029690126914</v>
      </c>
      <c r="AD99" s="110">
        <f t="shared" si="63"/>
        <v>0.94223605339837446</v>
      </c>
      <c r="AE99" s="110">
        <f t="shared" si="64"/>
        <v>-22.336129219135575</v>
      </c>
      <c r="AF99" s="110">
        <f t="shared" si="65"/>
        <v>5809.3984137542375</v>
      </c>
    </row>
    <row r="100" spans="1:32" x14ac:dyDescent="0.2">
      <c r="A100" s="3">
        <v>5995</v>
      </c>
      <c r="B100" s="3">
        <v>13.88</v>
      </c>
      <c r="C100" s="3">
        <v>250.32</v>
      </c>
      <c r="E100" s="93">
        <f t="shared" si="69"/>
        <v>0.24225170017681297</v>
      </c>
      <c r="F100" s="93">
        <f t="shared" si="69"/>
        <v>4.3689081835922057</v>
      </c>
      <c r="H100" s="86">
        <f t="shared" si="74"/>
        <v>5.977432162908225E-2</v>
      </c>
      <c r="I100" s="86">
        <f t="shared" si="75"/>
        <v>1.0002978538832554</v>
      </c>
      <c r="J100" s="108">
        <f t="shared" si="76"/>
        <v>-5.6828554832593374</v>
      </c>
      <c r="K100" s="108">
        <f t="shared" si="77"/>
        <v>-20.323369930309436</v>
      </c>
      <c r="L100" s="108">
        <f t="shared" si="78"/>
        <v>95.685978921528061</v>
      </c>
      <c r="M100" s="95">
        <f t="shared" si="79"/>
        <v>-6.902323326280424</v>
      </c>
      <c r="N100" s="95">
        <f t="shared" si="79"/>
        <v>-57.782649367872807</v>
      </c>
      <c r="O100" s="95">
        <f t="shared" si="79"/>
        <v>5989.7126471883012</v>
      </c>
      <c r="Q100" s="18">
        <f t="shared" si="66"/>
        <v>5907</v>
      </c>
      <c r="R100" s="93">
        <f t="shared" ref="R100:R163" si="82">IF(OR(Q100&lt;A99, Q100&gt;A100), "error", Q100-A99)</f>
        <v>10</v>
      </c>
      <c r="S100" s="93">
        <f t="shared" si="67"/>
        <v>98</v>
      </c>
      <c r="T100" s="93">
        <f t="shared" si="68"/>
        <v>6.0994205743961482E-3</v>
      </c>
      <c r="U100" s="109">
        <f t="shared" ref="U100:U163" si="83">IF(T100=0, E99, ACOS( (SIN(H100-T100)/SIN(H100))*COS(E99) + (SIN(T100)/SIN(H100))*COS(E100)  ))</f>
        <v>0.19794653482511082</v>
      </c>
      <c r="V100" s="112">
        <f t="shared" si="71"/>
        <v>11.34150101471822</v>
      </c>
      <c r="W100" s="93">
        <f t="shared" ref="W100:W163" si="84">IF(T100=0, F99, ATAN2( SIN(E99)*COS(F99)*SIN(H100-T100) + SIN(E100)*COS(F100)*SIN(T100), SIN(E99)*SIN(F99)*SIN(H100-T100) + SIN(E100)*SIN(F100)*SIN(T100) ))</f>
        <v>-1.7746923167135966</v>
      </c>
      <c r="X100" s="112">
        <f t="shared" si="80"/>
        <v>258.31762031801651</v>
      </c>
      <c r="Y100" s="110"/>
      <c r="Z100" s="86">
        <f t="shared" si="81"/>
        <v>1.0000031002558125</v>
      </c>
      <c r="AA100" s="108">
        <f t="shared" ref="AA100:AA163" si="85">0.5*R100*Z100 * (SIN(E99)*COS(F99) + SIN(U100)*COS(W100))</f>
        <v>-0.37487933844842164</v>
      </c>
      <c r="AB100" s="108">
        <f t="shared" ref="AB100:AB163" si="86">0.5*R100*Z100 * (SIN(E99)*SIN(F99) + SIN(U100)*SIN(W100))</f>
        <v>-1.9067309338258107</v>
      </c>
      <c r="AC100" s="108">
        <f t="shared" ref="AC100:AC163" si="87">0.5*R100*Z100 * (COS(E99) + COS(U100))</f>
        <v>9.8093594390027743</v>
      </c>
      <c r="AD100" s="110">
        <f t="shared" ref="AD100:AD163" si="88">M99+AA100</f>
        <v>-1.5943471814695087</v>
      </c>
      <c r="AE100" s="110">
        <f t="shared" ref="AE100:AE163" si="89">N99+AB100</f>
        <v>-39.36601037138918</v>
      </c>
      <c r="AF100" s="110">
        <f t="shared" ref="AF100:AF163" si="90">O99+AC100</f>
        <v>5903.8360277057764</v>
      </c>
    </row>
    <row r="101" spans="1:32" x14ac:dyDescent="0.2">
      <c r="A101" s="3">
        <v>6091</v>
      </c>
      <c r="B101" s="3">
        <v>16.27</v>
      </c>
      <c r="C101" s="3">
        <v>240.12</v>
      </c>
      <c r="E101" s="93">
        <f t="shared" si="69"/>
        <v>0.2839650692994774</v>
      </c>
      <c r="F101" s="93">
        <f t="shared" si="69"/>
        <v>4.1908845998887845</v>
      </c>
      <c r="H101" s="86">
        <f t="shared" si="74"/>
        <v>6.217211402324474E-2</v>
      </c>
      <c r="I101" s="86">
        <f t="shared" si="75"/>
        <v>1.0003222388713866</v>
      </c>
      <c r="J101" s="108">
        <f t="shared" si="76"/>
        <v>-10.580700698339029</v>
      </c>
      <c r="K101" s="108">
        <f t="shared" si="77"/>
        <v>-22.50959891424046</v>
      </c>
      <c r="L101" s="108">
        <f t="shared" si="78"/>
        <v>92.705978806140749</v>
      </c>
      <c r="M101" s="95">
        <f t="shared" si="79"/>
        <v>-17.483024024619453</v>
      </c>
      <c r="N101" s="95">
        <f t="shared" si="79"/>
        <v>-80.292248282113263</v>
      </c>
      <c r="O101" s="95">
        <f t="shared" si="79"/>
        <v>6082.4186259944418</v>
      </c>
      <c r="Q101" s="116">
        <v>6060</v>
      </c>
      <c r="R101" s="93">
        <f t="shared" si="82"/>
        <v>65</v>
      </c>
      <c r="S101" s="93">
        <f t="shared" ref="S101:S164" si="91">A101-A100</f>
        <v>96</v>
      </c>
      <c r="T101" s="93">
        <f t="shared" ref="T101:T164" si="92">H101 * (R101/S101)</f>
        <v>4.2095702203238626E-2</v>
      </c>
      <c r="U101" s="109">
        <f t="shared" si="83"/>
        <v>0.26965450536190128</v>
      </c>
      <c r="V101" s="112">
        <f t="shared" si="71"/>
        <v>15.45006508392477</v>
      </c>
      <c r="W101" s="93">
        <f t="shared" si="84"/>
        <v>-2.0407548739293757</v>
      </c>
      <c r="X101" s="112">
        <f t="shared" si="80"/>
        <v>243.07335870309436</v>
      </c>
      <c r="Y101" s="110"/>
      <c r="Z101" s="86">
        <f t="shared" si="81"/>
        <v>1.0001476968513137</v>
      </c>
      <c r="AA101" s="108">
        <f t="shared" si="85"/>
        <v>-6.5472800563981224</v>
      </c>
      <c r="AB101" s="108">
        <f t="shared" si="86"/>
        <v>-15.062536483536665</v>
      </c>
      <c r="AC101" s="108">
        <f t="shared" si="87"/>
        <v>62.885842975823223</v>
      </c>
      <c r="AD101" s="110">
        <f t="shared" si="88"/>
        <v>-13.449603382678546</v>
      </c>
      <c r="AE101" s="110">
        <f t="shared" si="89"/>
        <v>-72.845185851409468</v>
      </c>
      <c r="AF101" s="110">
        <f t="shared" si="90"/>
        <v>6052.5984901641241</v>
      </c>
    </row>
    <row r="102" spans="1:32" x14ac:dyDescent="0.2">
      <c r="A102" s="3">
        <v>6186</v>
      </c>
      <c r="B102" s="3">
        <v>17.829999999999998</v>
      </c>
      <c r="C102" s="3">
        <v>236.25</v>
      </c>
      <c r="E102" s="93">
        <f t="shared" ref="E102:F147" si="93">RADIANS(B102)</f>
        <v>0.31119220563058891</v>
      </c>
      <c r="F102" s="93">
        <f t="shared" si="93"/>
        <v>4.1233403578366037</v>
      </c>
      <c r="H102" s="86">
        <f t="shared" si="74"/>
        <v>3.3654086072109068E-2</v>
      </c>
      <c r="I102" s="86">
        <f t="shared" si="75"/>
        <v>1.0000943938168136</v>
      </c>
      <c r="J102" s="108">
        <f t="shared" si="76"/>
        <v>-14.711461640487089</v>
      </c>
      <c r="K102" s="108">
        <f t="shared" si="77"/>
        <v>-23.634095134138676</v>
      </c>
      <c r="L102" s="108">
        <f t="shared" si="78"/>
        <v>90.824835084015774</v>
      </c>
      <c r="M102" s="95">
        <f t="shared" si="79"/>
        <v>-32.194485665106541</v>
      </c>
      <c r="N102" s="95">
        <f t="shared" si="79"/>
        <v>-103.92634341625194</v>
      </c>
      <c r="O102" s="95">
        <f t="shared" si="79"/>
        <v>6173.2434610784576</v>
      </c>
      <c r="Q102" s="18">
        <f t="shared" ref="Q102:Q164" si="94">A101+10</f>
        <v>6101</v>
      </c>
      <c r="R102" s="93">
        <f t="shared" si="82"/>
        <v>10</v>
      </c>
      <c r="S102" s="93">
        <f t="shared" si="91"/>
        <v>95</v>
      </c>
      <c r="T102" s="93">
        <f t="shared" si="92"/>
        <v>3.5425353760114805E-3</v>
      </c>
      <c r="U102" s="109">
        <f t="shared" si="83"/>
        <v>0.28676873712690387</v>
      </c>
      <c r="V102" s="112">
        <f t="shared" si="71"/>
        <v>16.430638333668149</v>
      </c>
      <c r="W102" s="93">
        <f t="shared" si="84"/>
        <v>-2.0999929549715528</v>
      </c>
      <c r="X102" s="112">
        <f t="shared" si="80"/>
        <v>239.67926667292369</v>
      </c>
      <c r="Y102" s="110"/>
      <c r="Z102" s="86">
        <f t="shared" si="81"/>
        <v>1.00000104579772</v>
      </c>
      <c r="AA102" s="108">
        <f t="shared" si="85"/>
        <v>-1.4118505375861672</v>
      </c>
      <c r="AB102" s="108">
        <f t="shared" si="86"/>
        <v>-2.4354309030193635</v>
      </c>
      <c r="AC102" s="108">
        <f t="shared" si="87"/>
        <v>9.5955849116423835</v>
      </c>
      <c r="AD102" s="110">
        <f t="shared" si="88"/>
        <v>-18.894874562205622</v>
      </c>
      <c r="AE102" s="110">
        <f t="shared" si="89"/>
        <v>-82.727679185132629</v>
      </c>
      <c r="AF102" s="110">
        <f t="shared" si="90"/>
        <v>6092.0142109060844</v>
      </c>
    </row>
    <row r="103" spans="1:32" x14ac:dyDescent="0.2">
      <c r="A103" s="3">
        <v>6281</v>
      </c>
      <c r="B103" s="3">
        <v>17.829999999999998</v>
      </c>
      <c r="C103" s="3">
        <v>230.27</v>
      </c>
      <c r="E103" s="93">
        <f t="shared" si="93"/>
        <v>0.31119220563058891</v>
      </c>
      <c r="F103" s="93">
        <f t="shared" si="93"/>
        <v>4.0189696685673431</v>
      </c>
      <c r="H103" s="86">
        <f t="shared" si="74"/>
        <v>3.1944512722574592E-2</v>
      </c>
      <c r="I103" s="86">
        <f t="shared" si="75"/>
        <v>1.0000850463363369</v>
      </c>
      <c r="J103" s="108">
        <f t="shared" si="76"/>
        <v>-17.378033631778944</v>
      </c>
      <c r="K103" s="108">
        <f t="shared" si="77"/>
        <v>-23.280483698010151</v>
      </c>
      <c r="L103" s="108">
        <f t="shared" si="78"/>
        <v>90.444765393709091</v>
      </c>
      <c r="M103" s="95">
        <f t="shared" ref="M103:O118" si="95">M102+J103</f>
        <v>-49.572519296885488</v>
      </c>
      <c r="N103" s="95">
        <f t="shared" si="95"/>
        <v>-127.2068271142621</v>
      </c>
      <c r="O103" s="95">
        <f t="shared" si="95"/>
        <v>6263.6882264721671</v>
      </c>
      <c r="Q103" s="18">
        <f t="shared" si="94"/>
        <v>6196</v>
      </c>
      <c r="R103" s="93">
        <f t="shared" si="82"/>
        <v>10</v>
      </c>
      <c r="S103" s="93">
        <f t="shared" si="91"/>
        <v>95</v>
      </c>
      <c r="T103" s="93">
        <f t="shared" si="92"/>
        <v>3.362580286586799E-3</v>
      </c>
      <c r="U103" s="109">
        <f t="shared" si="83"/>
        <v>0.31104275350776489</v>
      </c>
      <c r="V103" s="112">
        <f t="shared" si="71"/>
        <v>17.821437024122911</v>
      </c>
      <c r="W103" s="93">
        <f t="shared" si="84"/>
        <v>-2.1708185661767638</v>
      </c>
      <c r="X103" s="112">
        <f t="shared" si="80"/>
        <v>235.62125806943064</v>
      </c>
      <c r="Y103" s="110"/>
      <c r="Z103" s="86">
        <f t="shared" si="81"/>
        <v>1.0000009422465808</v>
      </c>
      <c r="AA103" s="108">
        <f t="shared" si="85"/>
        <v>-1.7146389334688237</v>
      </c>
      <c r="AB103" s="108">
        <f t="shared" si="86"/>
        <v>-2.5359134564450407</v>
      </c>
      <c r="AC103" s="108">
        <f t="shared" si="87"/>
        <v>9.5199297289810847</v>
      </c>
      <c r="AD103" s="110">
        <f t="shared" si="88"/>
        <v>-33.909124598575367</v>
      </c>
      <c r="AE103" s="110">
        <f t="shared" si="89"/>
        <v>-106.46225687269698</v>
      </c>
      <c r="AF103" s="110">
        <f t="shared" si="90"/>
        <v>6182.7633908074386</v>
      </c>
    </row>
    <row r="104" spans="1:32" x14ac:dyDescent="0.2">
      <c r="A104" s="3">
        <v>6341</v>
      </c>
      <c r="B104" s="3">
        <v>17.7</v>
      </c>
      <c r="C104" s="3">
        <v>223.8</v>
      </c>
      <c r="E104" s="93">
        <f t="shared" si="93"/>
        <v>0.30892327760299632</v>
      </c>
      <c r="F104" s="93">
        <f t="shared" si="93"/>
        <v>3.9060468659633099</v>
      </c>
      <c r="H104" s="86">
        <f t="shared" si="74"/>
        <v>3.4512124667785082E-2</v>
      </c>
      <c r="I104" s="86">
        <f t="shared" si="75"/>
        <v>1.0000992690529125</v>
      </c>
      <c r="J104" s="108">
        <f t="shared" si="76"/>
        <v>-12.455707547474869</v>
      </c>
      <c r="K104" s="108">
        <f t="shared" si="77"/>
        <v>-13.378848099177695</v>
      </c>
      <c r="L104" s="108">
        <f t="shared" si="78"/>
        <v>57.14459258051243</v>
      </c>
      <c r="M104" s="95">
        <f t="shared" si="95"/>
        <v>-62.028226844360361</v>
      </c>
      <c r="N104" s="95">
        <f t="shared" si="95"/>
        <v>-140.5856752134398</v>
      </c>
      <c r="O104" s="95">
        <f t="shared" si="95"/>
        <v>6320.83281905268</v>
      </c>
      <c r="Q104" s="18">
        <f t="shared" si="94"/>
        <v>6291</v>
      </c>
      <c r="R104" s="93">
        <f t="shared" si="82"/>
        <v>10</v>
      </c>
      <c r="S104" s="93">
        <f t="shared" si="91"/>
        <v>60</v>
      </c>
      <c r="T104" s="93">
        <f t="shared" si="92"/>
        <v>5.7520207779641801E-3</v>
      </c>
      <c r="U104" s="109">
        <f t="shared" si="83"/>
        <v>0.31055749460203375</v>
      </c>
      <c r="V104" s="112">
        <f t="shared" ref="V104:V167" si="96">DEGREES(U104)</f>
        <v>17.79363373685338</v>
      </c>
      <c r="W104" s="93">
        <f t="shared" si="84"/>
        <v>-2.2829051734473973</v>
      </c>
      <c r="X104" s="112">
        <f t="shared" si="80"/>
        <v>229.19916853288296</v>
      </c>
      <c r="Y104" s="110"/>
      <c r="Z104" s="86">
        <f t="shared" si="81"/>
        <v>1.0000027571543748</v>
      </c>
      <c r="AA104" s="108">
        <f t="shared" si="85"/>
        <v>-1.9769649898597721</v>
      </c>
      <c r="AB104" s="108">
        <f t="shared" si="86"/>
        <v>-2.3340553355380531</v>
      </c>
      <c r="AC104" s="108">
        <f t="shared" si="87"/>
        <v>9.5206890194614555</v>
      </c>
      <c r="AD104" s="110">
        <f t="shared" si="88"/>
        <v>-51.549484286745262</v>
      </c>
      <c r="AE104" s="110">
        <f t="shared" si="89"/>
        <v>-129.54088244980014</v>
      </c>
      <c r="AF104" s="110">
        <f t="shared" si="90"/>
        <v>6273.2089154916284</v>
      </c>
    </row>
    <row r="105" spans="1:32" x14ac:dyDescent="0.2">
      <c r="A105" s="3">
        <v>6436</v>
      </c>
      <c r="B105" s="3">
        <v>19.2</v>
      </c>
      <c r="C105" s="3">
        <v>223</v>
      </c>
      <c r="E105" s="93">
        <f t="shared" si="93"/>
        <v>0.33510321638291124</v>
      </c>
      <c r="F105" s="93">
        <f t="shared" si="93"/>
        <v>3.8920842319473548</v>
      </c>
      <c r="H105" s="86">
        <f t="shared" si="74"/>
        <v>2.654965135006826E-2</v>
      </c>
      <c r="I105" s="86">
        <f t="shared" si="75"/>
        <v>1.0000587444730415</v>
      </c>
      <c r="J105" s="108">
        <f t="shared" si="76"/>
        <v>-21.849231960855203</v>
      </c>
      <c r="K105" s="108">
        <f t="shared" si="77"/>
        <v>-20.650456800453906</v>
      </c>
      <c r="L105" s="108">
        <f t="shared" si="78"/>
        <v>90.114591369049677</v>
      </c>
      <c r="M105" s="95">
        <f t="shared" si="95"/>
        <v>-83.877458805215568</v>
      </c>
      <c r="N105" s="95">
        <f t="shared" si="95"/>
        <v>-161.23613201389369</v>
      </c>
      <c r="O105" s="95">
        <f t="shared" si="95"/>
        <v>6410.9474104217297</v>
      </c>
      <c r="Q105" s="18">
        <f t="shared" si="94"/>
        <v>6351</v>
      </c>
      <c r="R105" s="93">
        <f t="shared" si="82"/>
        <v>10</v>
      </c>
      <c r="S105" s="93">
        <f t="shared" si="91"/>
        <v>95</v>
      </c>
      <c r="T105" s="93">
        <f t="shared" si="92"/>
        <v>2.7947001421124483E-3</v>
      </c>
      <c r="U105" s="109">
        <f t="shared" si="83"/>
        <v>0.31167621742270324</v>
      </c>
      <c r="V105" s="112">
        <f t="shared" si="96"/>
        <v>17.857731832922713</v>
      </c>
      <c r="W105" s="93">
        <f t="shared" si="84"/>
        <v>-2.3787147842324803</v>
      </c>
      <c r="X105" s="112">
        <f t="shared" si="80"/>
        <v>223.70968219810661</v>
      </c>
      <c r="Y105" s="110"/>
      <c r="Z105" s="86">
        <f t="shared" si="81"/>
        <v>1.0000006508629153</v>
      </c>
      <c r="AA105" s="108">
        <f t="shared" si="85"/>
        <v>-2.2055230022091887</v>
      </c>
      <c r="AB105" s="108">
        <f t="shared" si="86"/>
        <v>-2.1116718091274964</v>
      </c>
      <c r="AC105" s="108">
        <f t="shared" si="87"/>
        <v>9.5224180422326885</v>
      </c>
      <c r="AD105" s="110">
        <f t="shared" si="88"/>
        <v>-64.233749846569552</v>
      </c>
      <c r="AE105" s="110">
        <f t="shared" si="89"/>
        <v>-142.6973470225673</v>
      </c>
      <c r="AF105" s="110">
        <f t="shared" si="90"/>
        <v>6330.3552370949128</v>
      </c>
    </row>
    <row r="106" spans="1:32" x14ac:dyDescent="0.2">
      <c r="A106" s="3">
        <v>6534</v>
      </c>
      <c r="B106" s="3">
        <v>22.9</v>
      </c>
      <c r="C106" s="3">
        <v>220.9</v>
      </c>
      <c r="E106" s="93">
        <f t="shared" si="93"/>
        <v>0.39968039870670147</v>
      </c>
      <c r="F106" s="93">
        <f t="shared" si="93"/>
        <v>3.8554323176554739</v>
      </c>
      <c r="H106" s="86">
        <f t="shared" si="74"/>
        <v>6.5895562963515841E-2</v>
      </c>
      <c r="I106" s="86">
        <f t="shared" si="75"/>
        <v>1.0003620092949248</v>
      </c>
      <c r="J106" s="108">
        <f t="shared" si="76"/>
        <v>-26.206771488666018</v>
      </c>
      <c r="K106" s="108">
        <f t="shared" si="77"/>
        <v>-23.482528247031816</v>
      </c>
      <c r="L106" s="108">
        <f t="shared" si="78"/>
        <v>91.445619198808672</v>
      </c>
      <c r="M106" s="95">
        <f t="shared" si="95"/>
        <v>-110.08423029388159</v>
      </c>
      <c r="N106" s="95">
        <f t="shared" si="95"/>
        <v>-184.7186602609255</v>
      </c>
      <c r="O106" s="95">
        <f t="shared" si="95"/>
        <v>6502.3930296205381</v>
      </c>
      <c r="Q106" s="18">
        <f t="shared" si="94"/>
        <v>6446</v>
      </c>
      <c r="R106" s="93">
        <f t="shared" si="82"/>
        <v>10</v>
      </c>
      <c r="S106" s="93">
        <f t="shared" si="91"/>
        <v>98</v>
      </c>
      <c r="T106" s="93">
        <f t="shared" si="92"/>
        <v>6.7240370370934537E-3</v>
      </c>
      <c r="U106" s="109">
        <f t="shared" si="83"/>
        <v>0.34167069713811959</v>
      </c>
      <c r="V106" s="112">
        <f t="shared" si="96"/>
        <v>19.576288929306827</v>
      </c>
      <c r="W106" s="93">
        <f t="shared" si="84"/>
        <v>-2.3954466675714237</v>
      </c>
      <c r="X106" s="112">
        <f t="shared" si="80"/>
        <v>222.75101589947991</v>
      </c>
      <c r="Y106" s="110"/>
      <c r="Z106" s="86">
        <f t="shared" si="81"/>
        <v>1.0000037677398748</v>
      </c>
      <c r="AA106" s="108">
        <f t="shared" si="85"/>
        <v>-2.4327948808567674</v>
      </c>
      <c r="AB106" s="108">
        <f t="shared" si="86"/>
        <v>-2.2586634941671622</v>
      </c>
      <c r="AC106" s="108">
        <f t="shared" si="87"/>
        <v>9.4328983624375802</v>
      </c>
      <c r="AD106" s="110">
        <f t="shared" si="88"/>
        <v>-86.310253686072329</v>
      </c>
      <c r="AE106" s="110">
        <f t="shared" si="89"/>
        <v>-163.49479550806086</v>
      </c>
      <c r="AF106" s="110">
        <f t="shared" si="90"/>
        <v>6420.380308784167</v>
      </c>
    </row>
    <row r="107" spans="1:32" x14ac:dyDescent="0.2">
      <c r="A107" s="3">
        <v>6627</v>
      </c>
      <c r="B107" s="3">
        <v>25.6</v>
      </c>
      <c r="C107" s="3">
        <v>218.9</v>
      </c>
      <c r="E107" s="93">
        <f t="shared" si="93"/>
        <v>0.44680428851054838</v>
      </c>
      <c r="F107" s="93">
        <f t="shared" si="93"/>
        <v>3.8205257326155877</v>
      </c>
      <c r="H107" s="86">
        <f t="shared" si="74"/>
        <v>4.9250246887218463E-2</v>
      </c>
      <c r="I107" s="86">
        <f t="shared" si="75"/>
        <v>1.0002021812758364</v>
      </c>
      <c r="J107" s="108">
        <f t="shared" si="76"/>
        <v>-29.318989999787867</v>
      </c>
      <c r="K107" s="108">
        <f t="shared" si="77"/>
        <v>-24.469024896375998</v>
      </c>
      <c r="L107" s="108">
        <f t="shared" si="78"/>
        <v>84.787472810891998</v>
      </c>
      <c r="M107" s="95">
        <f t="shared" si="95"/>
        <v>-139.40322029366945</v>
      </c>
      <c r="N107" s="95">
        <f t="shared" si="95"/>
        <v>-209.1876851573015</v>
      </c>
      <c r="O107" s="95">
        <f t="shared" si="95"/>
        <v>6587.1805024314299</v>
      </c>
      <c r="Q107" s="18">
        <f t="shared" si="94"/>
        <v>6544</v>
      </c>
      <c r="R107" s="93">
        <f t="shared" si="82"/>
        <v>10</v>
      </c>
      <c r="S107" s="93">
        <f t="shared" si="91"/>
        <v>93</v>
      </c>
      <c r="T107" s="93">
        <f t="shared" si="92"/>
        <v>5.2957254717439211E-3</v>
      </c>
      <c r="U107" s="109">
        <f t="shared" si="83"/>
        <v>0.4047246497905832</v>
      </c>
      <c r="V107" s="112">
        <f t="shared" si="96"/>
        <v>23.189014297910713</v>
      </c>
      <c r="W107" s="93">
        <f t="shared" si="84"/>
        <v>-2.4318724760797235</v>
      </c>
      <c r="X107" s="112">
        <f t="shared" si="80"/>
        <v>220.66397080660261</v>
      </c>
      <c r="Y107" s="110"/>
      <c r="Z107" s="86">
        <f t="shared" si="81"/>
        <v>1.0000023370655771</v>
      </c>
      <c r="AA107" s="108">
        <f t="shared" si="85"/>
        <v>-2.9640537793447943</v>
      </c>
      <c r="AB107" s="108">
        <f t="shared" si="86"/>
        <v>-2.5568135945406398</v>
      </c>
      <c r="AC107" s="108">
        <f t="shared" si="87"/>
        <v>9.2020028108146263</v>
      </c>
      <c r="AD107" s="110">
        <f t="shared" si="88"/>
        <v>-113.04828407322638</v>
      </c>
      <c r="AE107" s="110">
        <f t="shared" si="89"/>
        <v>-187.27547385546615</v>
      </c>
      <c r="AF107" s="110">
        <f t="shared" si="90"/>
        <v>6511.5950324313526</v>
      </c>
    </row>
    <row r="108" spans="1:32" x14ac:dyDescent="0.2">
      <c r="A108" s="3">
        <v>6645</v>
      </c>
      <c r="B108" s="3">
        <v>26.19</v>
      </c>
      <c r="C108" s="3">
        <v>218.74</v>
      </c>
      <c r="E108" s="93">
        <f t="shared" si="93"/>
        <v>0.45710173109731495</v>
      </c>
      <c r="F108" s="93">
        <f t="shared" si="93"/>
        <v>3.8177332058123965</v>
      </c>
      <c r="H108" s="86">
        <f t="shared" si="74"/>
        <v>1.0369400793127426E-2</v>
      </c>
      <c r="I108" s="86">
        <f t="shared" si="75"/>
        <v>1.0000089604690809</v>
      </c>
      <c r="J108" s="108">
        <f t="shared" si="76"/>
        <v>-6.1247115784455453</v>
      </c>
      <c r="K108" s="108">
        <f t="shared" si="77"/>
        <v>-4.9277661049047241</v>
      </c>
      <c r="L108" s="108">
        <f t="shared" si="78"/>
        <v>16.192656549987301</v>
      </c>
      <c r="M108" s="95">
        <f t="shared" si="95"/>
        <v>-145.527931872115</v>
      </c>
      <c r="N108" s="95">
        <f t="shared" si="95"/>
        <v>-214.11545126220622</v>
      </c>
      <c r="O108" s="95">
        <f t="shared" si="95"/>
        <v>6603.373158981417</v>
      </c>
      <c r="Q108" s="18">
        <f t="shared" si="94"/>
        <v>6637</v>
      </c>
      <c r="R108" s="93">
        <f t="shared" si="82"/>
        <v>10</v>
      </c>
      <c r="S108" s="93">
        <f t="shared" si="91"/>
        <v>18</v>
      </c>
      <c r="T108" s="93">
        <f t="shared" si="92"/>
        <v>5.7607782184041258E-3</v>
      </c>
      <c r="U108" s="109">
        <f t="shared" si="83"/>
        <v>0.45252471223370239</v>
      </c>
      <c r="V108" s="112">
        <f t="shared" si="96"/>
        <v>25.927756136363239</v>
      </c>
      <c r="W108" s="93">
        <f t="shared" si="84"/>
        <v>-2.4642255855676165</v>
      </c>
      <c r="X108" s="112">
        <f t="shared" si="80"/>
        <v>218.81027417882166</v>
      </c>
      <c r="Y108" s="110"/>
      <c r="Z108" s="86">
        <f t="shared" si="81"/>
        <v>1.0000027655563182</v>
      </c>
      <c r="AA108" s="108">
        <f t="shared" si="85"/>
        <v>-3.3848815348489425</v>
      </c>
      <c r="AB108" s="108">
        <f t="shared" si="86"/>
        <v>-2.7268559454133996</v>
      </c>
      <c r="AC108" s="108">
        <f t="shared" si="87"/>
        <v>9.005917892896548</v>
      </c>
      <c r="AD108" s="110">
        <f t="shared" si="88"/>
        <v>-142.78810182851839</v>
      </c>
      <c r="AE108" s="110">
        <f t="shared" si="89"/>
        <v>-211.91454110271491</v>
      </c>
      <c r="AF108" s="110">
        <f t="shared" si="90"/>
        <v>6596.1864203243267</v>
      </c>
    </row>
    <row r="109" spans="1:32" x14ac:dyDescent="0.2">
      <c r="A109" s="3">
        <v>6727</v>
      </c>
      <c r="B109" s="3">
        <v>28</v>
      </c>
      <c r="C109" s="3">
        <v>216.4</v>
      </c>
      <c r="E109" s="93">
        <f t="shared" si="93"/>
        <v>0.48869219055841229</v>
      </c>
      <c r="F109" s="93">
        <f t="shared" si="93"/>
        <v>3.7768925013157291</v>
      </c>
      <c r="H109" s="86">
        <f t="shared" si="74"/>
        <v>3.6654877275513975E-2</v>
      </c>
      <c r="I109" s="86">
        <f t="shared" si="75"/>
        <v>1.0001119800477798</v>
      </c>
      <c r="J109" s="108">
        <f t="shared" si="76"/>
        <v>-29.610415242812937</v>
      </c>
      <c r="K109" s="108">
        <f t="shared" si="77"/>
        <v>-22.748693789019161</v>
      </c>
      <c r="L109" s="108">
        <f t="shared" si="78"/>
        <v>72.999776856387356</v>
      </c>
      <c r="M109" s="95">
        <f t="shared" si="95"/>
        <v>-175.13834711492794</v>
      </c>
      <c r="N109" s="95">
        <f t="shared" si="95"/>
        <v>-236.86414505122539</v>
      </c>
      <c r="O109" s="95">
        <f t="shared" si="95"/>
        <v>6676.3729358378041</v>
      </c>
      <c r="Q109" s="18">
        <f t="shared" si="94"/>
        <v>6655</v>
      </c>
      <c r="R109" s="93">
        <f t="shared" si="82"/>
        <v>10</v>
      </c>
      <c r="S109" s="93">
        <f t="shared" si="91"/>
        <v>82</v>
      </c>
      <c r="T109" s="93">
        <f t="shared" si="92"/>
        <v>4.4701069848187775E-3</v>
      </c>
      <c r="U109" s="109">
        <f t="shared" si="83"/>
        <v>0.46091711005557134</v>
      </c>
      <c r="V109" s="112">
        <f t="shared" si="96"/>
        <v>26.408605111551115</v>
      </c>
      <c r="W109" s="93">
        <f t="shared" si="84"/>
        <v>-2.4707090113864218</v>
      </c>
      <c r="X109" s="112">
        <f t="shared" si="80"/>
        <v>218.43880124261798</v>
      </c>
      <c r="Y109" s="110"/>
      <c r="Z109" s="86">
        <f t="shared" si="81"/>
        <v>1.0000016651580319</v>
      </c>
      <c r="AA109" s="108">
        <f t="shared" si="85"/>
        <v>-3.4631336137280817</v>
      </c>
      <c r="AB109" s="108">
        <f t="shared" si="86"/>
        <v>-2.7634769576922973</v>
      </c>
      <c r="AC109" s="108">
        <f t="shared" si="87"/>
        <v>8.964916851951882</v>
      </c>
      <c r="AD109" s="110">
        <f t="shared" si="88"/>
        <v>-148.99106548584308</v>
      </c>
      <c r="AE109" s="110">
        <f t="shared" si="89"/>
        <v>-216.87892821989851</v>
      </c>
      <c r="AF109" s="110">
        <f t="shared" si="90"/>
        <v>6612.3380758333687</v>
      </c>
    </row>
    <row r="110" spans="1:32" x14ac:dyDescent="0.2">
      <c r="A110" s="3">
        <v>6823</v>
      </c>
      <c r="B110" s="3">
        <v>32.1</v>
      </c>
      <c r="C110" s="3">
        <v>213.7</v>
      </c>
      <c r="E110" s="93">
        <f t="shared" si="93"/>
        <v>0.56025068989017979</v>
      </c>
      <c r="F110" s="93">
        <f t="shared" si="93"/>
        <v>3.729768611511882</v>
      </c>
      <c r="H110" s="86">
        <f>ACOS(MAX(-1,MIN(1, COS(E110-E109)-SIN(E109)*SIN(E110)*(1-COS(F110-F109)))))</f>
        <v>7.5332713447374244E-2</v>
      </c>
      <c r="I110" s="86">
        <f t="shared" si="75"/>
        <v>1.0004731866790382</v>
      </c>
      <c r="J110" s="108">
        <f>0.5*(A110-A109)*I110 * (SIN(E109)*COS(F109) + SIN(E110)*COS(F110))</f>
        <v>-39.377375443863123</v>
      </c>
      <c r="K110" s="108">
        <f>0.5*(A110-A109)*I110 * (SIN(E109)*SIN(F109) + SIN(E110)*SIN(F110))</f>
        <v>-27.537992416818607</v>
      </c>
      <c r="L110" s="108">
        <f>0.5*(A110-A109)*I110 * (COS(E109) + COS(E110))</f>
        <v>83.082631684272641</v>
      </c>
      <c r="M110" s="95">
        <f>M109+J110</f>
        <v>-214.51572255879105</v>
      </c>
      <c r="N110" s="95">
        <f>N109+K110</f>
        <v>-264.40213746804397</v>
      </c>
      <c r="O110" s="95">
        <f>O109+L110</f>
        <v>6759.4555675220763</v>
      </c>
      <c r="Q110" s="18">
        <f>A109+10</f>
        <v>6737</v>
      </c>
      <c r="R110" s="93">
        <f>IF(OR(Q110&lt;A109, Q110&gt;A110), "error", Q110-A109)</f>
        <v>10</v>
      </c>
      <c r="S110" s="93">
        <f>A110-A109</f>
        <v>96</v>
      </c>
      <c r="T110" s="93">
        <f t="shared" si="92"/>
        <v>7.8471576507681516E-3</v>
      </c>
      <c r="U110" s="109">
        <f>IF(T110=0, E109, ACOS( (SIN(H110-T110)/SIN(H110))*COS(E109) + (SIN(T110)/SIN(H110))*COS(E110)  ))</f>
        <v>0.49609889125470463</v>
      </c>
      <c r="V110" s="112">
        <f t="shared" si="96"/>
        <v>28.42437269001416</v>
      </c>
      <c r="W110" s="93">
        <f>IF(T110=0, F109, ATAN2( SIN(E109)*COS(F109)*SIN(H110-T110) + SIN(E110)*COS(F110)*SIN(T110), SIN(E109)*SIN(F109)*SIN(H110-T110) + SIN(E110)*SIN(F110)*SIN(T110) ))</f>
        <v>-2.5117759877996839</v>
      </c>
      <c r="X110" s="112">
        <f t="shared" si="80"/>
        <v>216.08583681677476</v>
      </c>
      <c r="Y110" s="110"/>
      <c r="Z110" s="86">
        <f t="shared" si="81"/>
        <v>1.0000051315218652</v>
      </c>
      <c r="AA110" s="108">
        <f>0.5*R110*Z110 * (SIN(E109)*COS(F109) + SIN(U110)*COS(W110))</f>
        <v>-3.8127491616753733</v>
      </c>
      <c r="AB110" s="108">
        <f>0.5*R110*Z110 * (SIN(E109)*SIN(F109) + SIN(U110)*SIN(W110))</f>
        <v>-2.7947878842531688</v>
      </c>
      <c r="AC110" s="108">
        <f>0.5*R110*Z110 * (COS(E109) + COS(U110))</f>
        <v>8.812014035633517</v>
      </c>
      <c r="AD110" s="110">
        <f>M109+AA110</f>
        <v>-178.95109627660332</v>
      </c>
      <c r="AE110" s="110">
        <f>N109+AB110</f>
        <v>-239.65893293547856</v>
      </c>
      <c r="AF110" s="110">
        <f>O109+AC110</f>
        <v>6685.1849498734373</v>
      </c>
    </row>
    <row r="111" spans="1:32" x14ac:dyDescent="0.2">
      <c r="A111" s="3">
        <v>6919</v>
      </c>
      <c r="B111" s="3">
        <v>34.6</v>
      </c>
      <c r="C111" s="3">
        <v>212</v>
      </c>
      <c r="E111" s="93">
        <f t="shared" si="93"/>
        <v>0.60388392119003809</v>
      </c>
      <c r="F111" s="93">
        <f t="shared" si="93"/>
        <v>3.7000980142279785</v>
      </c>
      <c r="H111" s="86">
        <f t="shared" si="74"/>
        <v>4.6578693381649661E-2</v>
      </c>
      <c r="I111" s="86">
        <f t="shared" si="75"/>
        <v>1.0001808371238277</v>
      </c>
      <c r="J111" s="108">
        <f t="shared" si="76"/>
        <v>-44.343603710176417</v>
      </c>
      <c r="K111" s="108">
        <f t="shared" si="77"/>
        <v>-28.601405509266968</v>
      </c>
      <c r="L111" s="108">
        <f t="shared" si="78"/>
        <v>80.186896061845289</v>
      </c>
      <c r="M111" s="95">
        <f t="shared" si="95"/>
        <v>-258.85932626896749</v>
      </c>
      <c r="N111" s="95">
        <f t="shared" si="95"/>
        <v>-293.00354297731093</v>
      </c>
      <c r="O111" s="95">
        <f t="shared" si="95"/>
        <v>6839.6424635839212</v>
      </c>
      <c r="Q111" s="18">
        <f t="shared" si="94"/>
        <v>6833</v>
      </c>
      <c r="R111" s="93">
        <f t="shared" si="82"/>
        <v>10</v>
      </c>
      <c r="S111" s="93">
        <f t="shared" si="91"/>
        <v>96</v>
      </c>
      <c r="T111" s="93">
        <f t="shared" si="92"/>
        <v>4.8519472272551736E-3</v>
      </c>
      <c r="U111" s="109">
        <f t="shared" si="83"/>
        <v>0.56477639338491348</v>
      </c>
      <c r="V111" s="112">
        <f t="shared" si="96"/>
        <v>32.359303709575848</v>
      </c>
      <c r="W111" s="93">
        <f t="shared" si="84"/>
        <v>-2.5566964274863331</v>
      </c>
      <c r="X111" s="112">
        <f t="shared" si="80"/>
        <v>213.5120852088578</v>
      </c>
      <c r="Y111" s="110"/>
      <c r="Z111" s="86">
        <f t="shared" si="81"/>
        <v>1.0000019617872764</v>
      </c>
      <c r="AA111" s="108">
        <f t="shared" si="85"/>
        <v>-4.4417841204881263</v>
      </c>
      <c r="AB111" s="108">
        <f t="shared" si="86"/>
        <v>-2.9517519008932638</v>
      </c>
      <c r="AC111" s="108">
        <f t="shared" si="87"/>
        <v>8.4591677110954997</v>
      </c>
      <c r="AD111" s="110">
        <f t="shared" si="88"/>
        <v>-218.95750667927919</v>
      </c>
      <c r="AE111" s="110">
        <f t="shared" si="89"/>
        <v>-267.35388936893725</v>
      </c>
      <c r="AF111" s="110">
        <f t="shared" si="90"/>
        <v>6767.914735233172</v>
      </c>
    </row>
    <row r="112" spans="1:32" x14ac:dyDescent="0.2">
      <c r="A112" s="3">
        <v>7014</v>
      </c>
      <c r="B112" s="3">
        <v>36.9</v>
      </c>
      <c r="C112" s="3">
        <v>208.8</v>
      </c>
      <c r="E112" s="93">
        <f t="shared" si="93"/>
        <v>0.64402649398590761</v>
      </c>
      <c r="F112" s="93">
        <f t="shared" si="93"/>
        <v>3.6442474781641603</v>
      </c>
      <c r="H112" s="86">
        <f t="shared" si="74"/>
        <v>5.1720720598638303E-2</v>
      </c>
      <c r="I112" s="86">
        <f t="shared" si="75"/>
        <v>1.0002229790594264</v>
      </c>
      <c r="J112" s="108">
        <f t="shared" si="76"/>
        <v>-47.87694858374217</v>
      </c>
      <c r="K112" s="108">
        <f t="shared" si="77"/>
        <v>-28.039135230065561</v>
      </c>
      <c r="L112" s="108">
        <f t="shared" si="78"/>
        <v>77.10118690106836</v>
      </c>
      <c r="M112" s="95">
        <f t="shared" si="95"/>
        <v>-306.73627485270964</v>
      </c>
      <c r="N112" s="95">
        <f t="shared" si="95"/>
        <v>-321.04267820737647</v>
      </c>
      <c r="O112" s="95">
        <f t="shared" si="95"/>
        <v>6916.7436504849893</v>
      </c>
      <c r="Q112" s="18">
        <f t="shared" si="94"/>
        <v>6929</v>
      </c>
      <c r="R112" s="93">
        <f t="shared" si="82"/>
        <v>10</v>
      </c>
      <c r="S112" s="93">
        <f t="shared" si="91"/>
        <v>95</v>
      </c>
      <c r="T112" s="93">
        <f t="shared" si="92"/>
        <v>5.444286378804032E-3</v>
      </c>
      <c r="U112" s="109">
        <f t="shared" si="83"/>
        <v>0.60803801763720267</v>
      </c>
      <c r="V112" s="112">
        <f t="shared" si="96"/>
        <v>34.838012194112828</v>
      </c>
      <c r="W112" s="93">
        <f t="shared" si="84"/>
        <v>-2.5892659635797486</v>
      </c>
      <c r="X112" s="112">
        <f t="shared" si="80"/>
        <v>211.64598825000607</v>
      </c>
      <c r="Y112" s="110"/>
      <c r="Z112" s="86">
        <f t="shared" si="81"/>
        <v>1.0000024700285024</v>
      </c>
      <c r="AA112" s="108">
        <f t="shared" si="85"/>
        <v>-4.8393839955471076</v>
      </c>
      <c r="AB112" s="108">
        <f t="shared" si="86"/>
        <v>-3.0031725847472033</v>
      </c>
      <c r="AC112" s="108">
        <f t="shared" si="87"/>
        <v>8.2195541222131521</v>
      </c>
      <c r="AD112" s="110">
        <f t="shared" si="88"/>
        <v>-263.6987102645146</v>
      </c>
      <c r="AE112" s="110">
        <f t="shared" si="89"/>
        <v>-296.0067155620581</v>
      </c>
      <c r="AF112" s="110">
        <f t="shared" si="90"/>
        <v>6847.8620177061348</v>
      </c>
    </row>
    <row r="113" spans="1:32" x14ac:dyDescent="0.2">
      <c r="A113" s="3">
        <v>7110</v>
      </c>
      <c r="B113" s="3">
        <v>38.9</v>
      </c>
      <c r="C113" s="3">
        <v>207.7</v>
      </c>
      <c r="E113" s="93">
        <f t="shared" si="93"/>
        <v>0.67893307902579414</v>
      </c>
      <c r="F113" s="93">
        <f t="shared" si="93"/>
        <v>3.6250488563922221</v>
      </c>
      <c r="H113" s="86">
        <f t="shared" si="74"/>
        <v>3.6843831943326411E-2</v>
      </c>
      <c r="I113" s="86">
        <f t="shared" si="75"/>
        <v>1.000113137687459</v>
      </c>
      <c r="J113" s="108">
        <f t="shared" si="76"/>
        <v>-51.948920367285851</v>
      </c>
      <c r="K113" s="108">
        <f t="shared" si="77"/>
        <v>-27.898753575215661</v>
      </c>
      <c r="L113" s="108">
        <f t="shared" si="78"/>
        <v>75.749103845576371</v>
      </c>
      <c r="M113" s="95">
        <f t="shared" si="95"/>
        <v>-358.68519521999548</v>
      </c>
      <c r="N113" s="95">
        <f t="shared" si="95"/>
        <v>-348.94143178259213</v>
      </c>
      <c r="O113" s="95">
        <f t="shared" si="95"/>
        <v>6992.4927543305657</v>
      </c>
      <c r="Q113" s="18">
        <f t="shared" si="94"/>
        <v>7024</v>
      </c>
      <c r="R113" s="93">
        <f t="shared" si="82"/>
        <v>10</v>
      </c>
      <c r="S113" s="93">
        <f t="shared" si="91"/>
        <v>96</v>
      </c>
      <c r="T113" s="93">
        <f t="shared" si="92"/>
        <v>3.8378991607631681E-3</v>
      </c>
      <c r="U113" s="109">
        <f t="shared" si="83"/>
        <v>0.6476540832429275</v>
      </c>
      <c r="V113" s="112">
        <f t="shared" si="96"/>
        <v>37.107845554234238</v>
      </c>
      <c r="W113" s="93">
        <f t="shared" si="84"/>
        <v>-2.6410197202687629</v>
      </c>
      <c r="X113" s="112">
        <f t="shared" si="80"/>
        <v>208.6807164177786</v>
      </c>
      <c r="Y113" s="110"/>
      <c r="Z113" s="86">
        <f t="shared" si="81"/>
        <v>1.0000012274576386</v>
      </c>
      <c r="AA113" s="108">
        <f t="shared" si="85"/>
        <v>-5.2772419740199972</v>
      </c>
      <c r="AB113" s="108">
        <f t="shared" si="86"/>
        <v>-2.8940216487266368</v>
      </c>
      <c r="AC113" s="108">
        <f t="shared" si="87"/>
        <v>7.9859397129467657</v>
      </c>
      <c r="AD113" s="110">
        <f t="shared" si="88"/>
        <v>-312.01351682672964</v>
      </c>
      <c r="AE113" s="110">
        <f t="shared" si="89"/>
        <v>-323.93669985610313</v>
      </c>
      <c r="AF113" s="110">
        <f t="shared" si="90"/>
        <v>6924.729590197936</v>
      </c>
    </row>
    <row r="114" spans="1:32" x14ac:dyDescent="0.2">
      <c r="A114" s="3">
        <v>7243</v>
      </c>
      <c r="B114" s="3">
        <v>35.1</v>
      </c>
      <c r="C114" s="3">
        <v>210.8</v>
      </c>
      <c r="E114" s="93">
        <f t="shared" si="93"/>
        <v>0.61261056745000975</v>
      </c>
      <c r="F114" s="93">
        <f t="shared" si="93"/>
        <v>3.6791540632040469</v>
      </c>
      <c r="H114" s="86">
        <f t="shared" si="74"/>
        <v>7.3866826663514074E-2</v>
      </c>
      <c r="I114" s="86">
        <f t="shared" si="75"/>
        <v>1.0004549405713155</v>
      </c>
      <c r="J114" s="108">
        <f t="shared" si="76"/>
        <v>-69.850175770520721</v>
      </c>
      <c r="K114" s="108">
        <f t="shared" si="77"/>
        <v>-39.008748025891173</v>
      </c>
      <c r="L114" s="108">
        <f t="shared" si="78"/>
        <v>106.20842213392935</v>
      </c>
      <c r="M114" s="95">
        <f t="shared" si="95"/>
        <v>-428.53537099051618</v>
      </c>
      <c r="N114" s="95">
        <f t="shared" si="95"/>
        <v>-387.95017980848331</v>
      </c>
      <c r="O114" s="95">
        <f t="shared" si="95"/>
        <v>7098.7011764644949</v>
      </c>
      <c r="Q114" s="18">
        <f t="shared" si="94"/>
        <v>7120</v>
      </c>
      <c r="R114" s="93">
        <f t="shared" si="82"/>
        <v>10</v>
      </c>
      <c r="S114" s="93">
        <f t="shared" si="91"/>
        <v>133</v>
      </c>
      <c r="T114" s="93">
        <f t="shared" si="92"/>
        <v>5.5538967416175989E-3</v>
      </c>
      <c r="U114" s="109">
        <f t="shared" si="83"/>
        <v>0.67389968379018106</v>
      </c>
      <c r="V114" s="112">
        <f t="shared" si="96"/>
        <v>38.611607696378108</v>
      </c>
      <c r="W114" s="93">
        <f t="shared" si="84"/>
        <v>-2.6543864605059397</v>
      </c>
      <c r="X114" s="112">
        <f t="shared" si="80"/>
        <v>207.91485861634067</v>
      </c>
      <c r="Y114" s="110"/>
      <c r="Z114" s="86">
        <f t="shared" si="81"/>
        <v>1.0000025704886801</v>
      </c>
      <c r="AA114" s="108">
        <f t="shared" si="85"/>
        <v>-5.5371242523147854</v>
      </c>
      <c r="AB114" s="108">
        <f t="shared" si="86"/>
        <v>-2.9202704569881126</v>
      </c>
      <c r="AC114" s="108">
        <f t="shared" si="87"/>
        <v>7.7982061029867005</v>
      </c>
      <c r="AD114" s="110">
        <f t="shared" si="88"/>
        <v>-364.22231947231029</v>
      </c>
      <c r="AE114" s="110">
        <f t="shared" si="89"/>
        <v>-351.86170223958027</v>
      </c>
      <c r="AF114" s="110">
        <f t="shared" si="90"/>
        <v>7000.2909604335528</v>
      </c>
    </row>
    <row r="115" spans="1:32" x14ac:dyDescent="0.2">
      <c r="A115" s="3">
        <v>7326</v>
      </c>
      <c r="B115" s="3">
        <v>36.56</v>
      </c>
      <c r="C115" s="3">
        <v>210.65</v>
      </c>
      <c r="E115" s="93">
        <f t="shared" si="93"/>
        <v>0.63809237452912693</v>
      </c>
      <c r="F115" s="93">
        <f t="shared" si="93"/>
        <v>3.6765360693260551</v>
      </c>
      <c r="H115" s="86">
        <f t="shared" si="74"/>
        <v>2.5527833285643897E-2</v>
      </c>
      <c r="I115" s="86">
        <f t="shared" si="75"/>
        <v>1.0000543093952063</v>
      </c>
      <c r="J115" s="108">
        <f t="shared" si="76"/>
        <v>-41.765996916411396</v>
      </c>
      <c r="K115" s="108">
        <f t="shared" si="77"/>
        <v>-24.822183628592729</v>
      </c>
      <c r="L115" s="108">
        <f t="shared" si="78"/>
        <v>67.291058815946144</v>
      </c>
      <c r="M115" s="95">
        <f t="shared" si="95"/>
        <v>-470.30136790692757</v>
      </c>
      <c r="N115" s="95">
        <f t="shared" si="95"/>
        <v>-412.77236343707602</v>
      </c>
      <c r="O115" s="95">
        <f t="shared" si="95"/>
        <v>7165.9922352804406</v>
      </c>
      <c r="Q115" s="18">
        <f t="shared" si="94"/>
        <v>7253</v>
      </c>
      <c r="R115" s="93">
        <f t="shared" si="82"/>
        <v>10</v>
      </c>
      <c r="S115" s="93">
        <f t="shared" si="91"/>
        <v>83</v>
      </c>
      <c r="T115" s="93">
        <f t="shared" si="92"/>
        <v>3.0756425645354093E-3</v>
      </c>
      <c r="U115" s="109">
        <f t="shared" si="83"/>
        <v>0.61568048964383426</v>
      </c>
      <c r="V115" s="112">
        <f t="shared" si="96"/>
        <v>35.275893585139691</v>
      </c>
      <c r="W115" s="93">
        <f t="shared" si="84"/>
        <v>-2.6043566124040591</v>
      </c>
      <c r="X115" s="112">
        <f t="shared" si="80"/>
        <v>210.78135776225903</v>
      </c>
      <c r="Y115" s="110"/>
      <c r="Z115" s="86">
        <f t="shared" si="81"/>
        <v>1.0000007882988444</v>
      </c>
      <c r="AA115" s="108">
        <f t="shared" si="85"/>
        <v>-4.9503247730095765</v>
      </c>
      <c r="AB115" s="108">
        <f t="shared" si="86"/>
        <v>-2.949892029548919</v>
      </c>
      <c r="AC115" s="108">
        <f t="shared" si="87"/>
        <v>8.1726582472257121</v>
      </c>
      <c r="AD115" s="110">
        <f t="shared" si="88"/>
        <v>-433.48569576352577</v>
      </c>
      <c r="AE115" s="110">
        <f t="shared" si="89"/>
        <v>-390.9000718380322</v>
      </c>
      <c r="AF115" s="110">
        <f t="shared" si="90"/>
        <v>7106.8738347117205</v>
      </c>
    </row>
    <row r="116" spans="1:32" x14ac:dyDescent="0.2">
      <c r="A116" s="3">
        <v>7422</v>
      </c>
      <c r="B116" s="3">
        <v>37.619999999999997</v>
      </c>
      <c r="C116" s="3">
        <v>209.96</v>
      </c>
      <c r="E116" s="93">
        <f t="shared" si="93"/>
        <v>0.65659286460026678</v>
      </c>
      <c r="F116" s="93">
        <f t="shared" si="93"/>
        <v>3.6644932974872946</v>
      </c>
      <c r="H116" s="86">
        <f t="shared" si="74"/>
        <v>1.9874706800372621E-2</v>
      </c>
      <c r="I116" s="86">
        <f t="shared" si="75"/>
        <v>1.0000329182978198</v>
      </c>
      <c r="J116" s="108">
        <f t="shared" si="76"/>
        <v>-49.984145900255797</v>
      </c>
      <c r="K116" s="108">
        <f t="shared" si="77"/>
        <v>-29.209287740682097</v>
      </c>
      <c r="L116" s="108">
        <f t="shared" si="78"/>
        <v>76.577407302996363</v>
      </c>
      <c r="M116" s="95">
        <f t="shared" si="95"/>
        <v>-520.28551380718341</v>
      </c>
      <c r="N116" s="95">
        <f t="shared" si="95"/>
        <v>-441.98165117775812</v>
      </c>
      <c r="O116" s="95">
        <f t="shared" si="95"/>
        <v>7242.5696425834367</v>
      </c>
      <c r="Q116" s="18">
        <f t="shared" si="94"/>
        <v>7336</v>
      </c>
      <c r="R116" s="93">
        <f t="shared" si="82"/>
        <v>10</v>
      </c>
      <c r="S116" s="93">
        <f t="shared" si="91"/>
        <v>96</v>
      </c>
      <c r="T116" s="93">
        <f t="shared" si="92"/>
        <v>2.0702819583721483E-3</v>
      </c>
      <c r="U116" s="109">
        <f t="shared" si="83"/>
        <v>0.64001621622825944</v>
      </c>
      <c r="V116" s="112">
        <f t="shared" si="96"/>
        <v>36.670228009811574</v>
      </c>
      <c r="W116" s="93">
        <f t="shared" si="84"/>
        <v>-2.6079315009427262</v>
      </c>
      <c r="X116" s="112">
        <f t="shared" si="80"/>
        <v>210.57653173676371</v>
      </c>
      <c r="Y116" s="110"/>
      <c r="Z116" s="86">
        <f t="shared" si="81"/>
        <v>1.0000003571724354</v>
      </c>
      <c r="AA116" s="108">
        <f t="shared" si="85"/>
        <v>-5.133078555222701</v>
      </c>
      <c r="AB116" s="108">
        <f t="shared" si="86"/>
        <v>-3.0372928129500187</v>
      </c>
      <c r="AC116" s="108">
        <f t="shared" si="87"/>
        <v>8.0266008494936312</v>
      </c>
      <c r="AD116" s="110">
        <f t="shared" si="88"/>
        <v>-475.43444646215028</v>
      </c>
      <c r="AE116" s="110">
        <f t="shared" si="89"/>
        <v>-415.80965625002602</v>
      </c>
      <c r="AF116" s="110">
        <f t="shared" si="90"/>
        <v>7174.0188361299342</v>
      </c>
    </row>
    <row r="117" spans="1:32" x14ac:dyDescent="0.2">
      <c r="A117" s="3">
        <v>7518</v>
      </c>
      <c r="B117" s="3">
        <v>38.61</v>
      </c>
      <c r="C117" s="3">
        <v>208.66</v>
      </c>
      <c r="E117" s="93">
        <f t="shared" si="93"/>
        <v>0.67387162419501068</v>
      </c>
      <c r="F117" s="93">
        <f t="shared" si="93"/>
        <v>3.6418040172113679</v>
      </c>
      <c r="H117" s="86">
        <f t="shared" si="74"/>
        <v>2.224084868502163E-2</v>
      </c>
      <c r="I117" s="86">
        <f t="shared" si="75"/>
        <v>1.0000412233183205</v>
      </c>
      <c r="J117" s="108">
        <f t="shared" si="76"/>
        <v>-51.67009510522962</v>
      </c>
      <c r="K117" s="108">
        <f t="shared" si="77"/>
        <v>-28.999274670251999</v>
      </c>
      <c r="L117" s="108">
        <f t="shared" si="78"/>
        <v>75.530546478697488</v>
      </c>
      <c r="M117" s="95">
        <f t="shared" si="95"/>
        <v>-571.95560891241303</v>
      </c>
      <c r="N117" s="95">
        <f t="shared" si="95"/>
        <v>-470.98092584801014</v>
      </c>
      <c r="O117" s="95">
        <f t="shared" si="95"/>
        <v>7318.1001890621337</v>
      </c>
      <c r="Q117" s="18">
        <f t="shared" si="94"/>
        <v>7432</v>
      </c>
      <c r="R117" s="93">
        <f t="shared" si="82"/>
        <v>10</v>
      </c>
      <c r="S117" s="93">
        <f t="shared" si="91"/>
        <v>96</v>
      </c>
      <c r="T117" s="93">
        <f t="shared" si="92"/>
        <v>2.3167550713564201E-3</v>
      </c>
      <c r="U117" s="109">
        <f t="shared" si="83"/>
        <v>0.65838094834323813</v>
      </c>
      <c r="V117" s="112">
        <f t="shared" si="96"/>
        <v>37.722449651888212</v>
      </c>
      <c r="W117" s="93">
        <f t="shared" si="84"/>
        <v>-2.6211025146733213</v>
      </c>
      <c r="X117" s="112">
        <f t="shared" si="80"/>
        <v>209.82188823809176</v>
      </c>
      <c r="Y117" s="110"/>
      <c r="Z117" s="86">
        <f t="shared" si="81"/>
        <v>1.0000004472797452</v>
      </c>
      <c r="AA117" s="108">
        <f t="shared" si="85"/>
        <v>-5.2983446664887888</v>
      </c>
      <c r="AB117" s="108">
        <f t="shared" si="86"/>
        <v>-3.0455592451117899</v>
      </c>
      <c r="AC117" s="108">
        <f t="shared" si="87"/>
        <v>7.9153059291262675</v>
      </c>
      <c r="AD117" s="110">
        <f t="shared" si="88"/>
        <v>-525.58385847367219</v>
      </c>
      <c r="AE117" s="110">
        <f t="shared" si="89"/>
        <v>-445.02721042286993</v>
      </c>
      <c r="AF117" s="110">
        <f t="shared" si="90"/>
        <v>7250.4849485125633</v>
      </c>
    </row>
    <row r="118" spans="1:32" x14ac:dyDescent="0.2">
      <c r="A118" s="3">
        <v>7614</v>
      </c>
      <c r="B118" s="3">
        <v>40.130000000000003</v>
      </c>
      <c r="C118" s="3">
        <v>206.4</v>
      </c>
      <c r="E118" s="93">
        <f t="shared" si="93"/>
        <v>0.7004006288253245</v>
      </c>
      <c r="F118" s="93">
        <f t="shared" si="93"/>
        <v>3.6023595761162963</v>
      </c>
      <c r="H118" s="86">
        <f t="shared" si="74"/>
        <v>3.6463283737117491E-2</v>
      </c>
      <c r="I118" s="86">
        <f t="shared" si="75"/>
        <v>1.0001108123217166</v>
      </c>
      <c r="J118" s="108">
        <f t="shared" si="76"/>
        <v>-53.99974693125462</v>
      </c>
      <c r="K118" s="108">
        <f t="shared" si="77"/>
        <v>-28.124540711962386</v>
      </c>
      <c r="L118" s="108">
        <f t="shared" si="78"/>
        <v>74.216012260026602</v>
      </c>
      <c r="M118" s="95">
        <f t="shared" si="95"/>
        <v>-625.95535584366769</v>
      </c>
      <c r="N118" s="95">
        <f t="shared" si="95"/>
        <v>-499.10546655997251</v>
      </c>
      <c r="O118" s="95">
        <f t="shared" si="95"/>
        <v>7392.3162013221599</v>
      </c>
      <c r="Q118" s="18">
        <f t="shared" si="94"/>
        <v>7528</v>
      </c>
      <c r="R118" s="93">
        <f t="shared" si="82"/>
        <v>10</v>
      </c>
      <c r="S118" s="93">
        <f t="shared" si="91"/>
        <v>96</v>
      </c>
      <c r="T118" s="93">
        <f t="shared" si="92"/>
        <v>3.7982587226164056E-3</v>
      </c>
      <c r="U118" s="109">
        <f t="shared" si="83"/>
        <v>0.67659890709347514</v>
      </c>
      <c r="V118" s="112">
        <f t="shared" si="96"/>
        <v>38.766261799620224</v>
      </c>
      <c r="W118" s="93">
        <f t="shared" si="84"/>
        <v>-2.6456105345115706</v>
      </c>
      <c r="X118" s="112">
        <f t="shared" si="80"/>
        <v>208.41768213713718</v>
      </c>
      <c r="Y118" s="110"/>
      <c r="Z118" s="86">
        <f t="shared" si="81"/>
        <v>1.0000012022325115</v>
      </c>
      <c r="AA118" s="108">
        <f t="shared" si="85"/>
        <v>-5.4912953308572847</v>
      </c>
      <c r="AB118" s="108">
        <f t="shared" si="86"/>
        <v>-2.9863262446266039</v>
      </c>
      <c r="AC118" s="108">
        <f t="shared" si="87"/>
        <v>7.8056012533910222</v>
      </c>
      <c r="AD118" s="110">
        <f t="shared" si="88"/>
        <v>-577.4469042432703</v>
      </c>
      <c r="AE118" s="110">
        <f t="shared" si="89"/>
        <v>-473.96725209263673</v>
      </c>
      <c r="AF118" s="110">
        <f t="shared" si="90"/>
        <v>7325.9057903155244</v>
      </c>
    </row>
    <row r="119" spans="1:32" x14ac:dyDescent="0.2">
      <c r="A119" s="3">
        <v>7711</v>
      </c>
      <c r="B119" s="3">
        <v>41.62</v>
      </c>
      <c r="C119" s="3">
        <v>203.71</v>
      </c>
      <c r="E119" s="93">
        <f t="shared" si="93"/>
        <v>0.72640603468003995</v>
      </c>
      <c r="F119" s="93">
        <f t="shared" si="93"/>
        <v>3.5554102192376487</v>
      </c>
      <c r="H119" s="86">
        <f t="shared" si="74"/>
        <v>4.0247863674702122E-2</v>
      </c>
      <c r="I119" s="86">
        <f t="shared" si="75"/>
        <v>1.000135012748161</v>
      </c>
      <c r="J119" s="108">
        <f t="shared" si="76"/>
        <v>-57.501240882987723</v>
      </c>
      <c r="K119" s="108">
        <f t="shared" si="77"/>
        <v>-26.855785181638971</v>
      </c>
      <c r="L119" s="108">
        <f t="shared" si="78"/>
        <v>73.349192487770082</v>
      </c>
      <c r="M119" s="95">
        <f t="shared" ref="M119:O134" si="97">M118+J119</f>
        <v>-683.45659672665545</v>
      </c>
      <c r="N119" s="95">
        <f t="shared" si="97"/>
        <v>-525.96125174161148</v>
      </c>
      <c r="O119" s="95">
        <f t="shared" si="97"/>
        <v>7465.6653938099298</v>
      </c>
      <c r="Q119" s="18">
        <f t="shared" si="94"/>
        <v>7624</v>
      </c>
      <c r="R119" s="93">
        <f t="shared" si="82"/>
        <v>10</v>
      </c>
      <c r="S119" s="93">
        <f t="shared" si="91"/>
        <v>97</v>
      </c>
      <c r="T119" s="93">
        <f t="shared" si="92"/>
        <v>4.1492642963610431E-3</v>
      </c>
      <c r="U119" s="109">
        <f t="shared" si="83"/>
        <v>0.70303042071863231</v>
      </c>
      <c r="V119" s="112">
        <f t="shared" si="96"/>
        <v>40.280675976484261</v>
      </c>
      <c r="W119" s="93">
        <f t="shared" si="84"/>
        <v>-2.6857975612179446</v>
      </c>
      <c r="X119" s="112">
        <f t="shared" si="80"/>
        <v>206.11513511568242</v>
      </c>
      <c r="Y119" s="110"/>
      <c r="Z119" s="86">
        <f t="shared" si="81"/>
        <v>1.0000014347019868</v>
      </c>
      <c r="AA119" s="108">
        <f t="shared" si="85"/>
        <v>-5.7891915523922854</v>
      </c>
      <c r="AB119" s="108">
        <f t="shared" si="86"/>
        <v>-2.8558361412280941</v>
      </c>
      <c r="AC119" s="108">
        <f t="shared" si="87"/>
        <v>7.6373632645236853</v>
      </c>
      <c r="AD119" s="110">
        <f t="shared" si="88"/>
        <v>-631.74454739605994</v>
      </c>
      <c r="AE119" s="110">
        <f t="shared" si="89"/>
        <v>-501.96130270120062</v>
      </c>
      <c r="AF119" s="110">
        <f t="shared" si="90"/>
        <v>7399.9535645866836</v>
      </c>
    </row>
    <row r="120" spans="1:32" x14ac:dyDescent="0.2">
      <c r="A120" s="3">
        <v>7800</v>
      </c>
      <c r="B120" s="3">
        <v>42.57</v>
      </c>
      <c r="C120" s="3">
        <v>202.23</v>
      </c>
      <c r="E120" s="93">
        <f t="shared" si="93"/>
        <v>0.74298666257398605</v>
      </c>
      <c r="F120" s="93">
        <f t="shared" si="93"/>
        <v>3.5295793463081324</v>
      </c>
      <c r="H120" s="86">
        <f t="shared" si="74"/>
        <v>2.3973337110989146E-2</v>
      </c>
      <c r="I120" s="86">
        <f t="shared" si="75"/>
        <v>1.0000478961603807</v>
      </c>
      <c r="J120" s="108">
        <f t="shared" si="76"/>
        <v>-54.930470131415795</v>
      </c>
      <c r="K120" s="108">
        <f t="shared" si="77"/>
        <v>-23.274984757537624</v>
      </c>
      <c r="L120" s="108">
        <f t="shared" si="78"/>
        <v>66.041950147336479</v>
      </c>
      <c r="M120" s="95">
        <f t="shared" si="97"/>
        <v>-738.38706685807119</v>
      </c>
      <c r="N120" s="95">
        <f t="shared" si="97"/>
        <v>-549.23623649914907</v>
      </c>
      <c r="O120" s="95">
        <f t="shared" si="97"/>
        <v>7531.7073439572659</v>
      </c>
      <c r="Q120" s="18">
        <f t="shared" si="94"/>
        <v>7721</v>
      </c>
      <c r="R120" s="93">
        <f t="shared" si="82"/>
        <v>10</v>
      </c>
      <c r="S120" s="93">
        <f t="shared" si="91"/>
        <v>89</v>
      </c>
      <c r="T120" s="93">
        <f t="shared" si="92"/>
        <v>2.6936333832572072E-3</v>
      </c>
      <c r="U120" s="109">
        <f t="shared" si="83"/>
        <v>0.72825232562439102</v>
      </c>
      <c r="V120" s="112">
        <f t="shared" si="96"/>
        <v>41.725784678864542</v>
      </c>
      <c r="W120" s="93">
        <f t="shared" si="84"/>
        <v>-2.73072502560355</v>
      </c>
      <c r="X120" s="112">
        <f t="shared" si="80"/>
        <v>203.54098102216292</v>
      </c>
      <c r="Y120" s="110"/>
      <c r="Z120" s="86">
        <f t="shared" si="81"/>
        <v>1.000000604638839</v>
      </c>
      <c r="AA120" s="108">
        <f t="shared" si="85"/>
        <v>-6.0914990259991173</v>
      </c>
      <c r="AB120" s="108">
        <f t="shared" si="86"/>
        <v>-2.6645273573569925</v>
      </c>
      <c r="AC120" s="108">
        <f t="shared" si="87"/>
        <v>7.469529644785041</v>
      </c>
      <c r="AD120" s="110">
        <f t="shared" si="88"/>
        <v>-689.5480957526546</v>
      </c>
      <c r="AE120" s="110">
        <f t="shared" si="89"/>
        <v>-528.62577909896845</v>
      </c>
      <c r="AF120" s="110">
        <f t="shared" si="90"/>
        <v>7473.1349234547151</v>
      </c>
    </row>
    <row r="121" spans="1:32" x14ac:dyDescent="0.2">
      <c r="A121" s="3">
        <v>7852</v>
      </c>
      <c r="B121" s="3">
        <v>43.35</v>
      </c>
      <c r="C121" s="3">
        <v>201.41</v>
      </c>
      <c r="E121" s="93">
        <f t="shared" si="93"/>
        <v>0.75660023073954186</v>
      </c>
      <c r="F121" s="93">
        <f t="shared" si="93"/>
        <v>3.5152676464417789</v>
      </c>
      <c r="H121" s="86">
        <f t="shared" si="74"/>
        <v>1.674657062659568E-2</v>
      </c>
      <c r="I121" s="86">
        <f t="shared" si="75"/>
        <v>1.0000233712910886</v>
      </c>
      <c r="J121" s="108">
        <f t="shared" si="76"/>
        <v>-32.898340252881411</v>
      </c>
      <c r="K121" s="108">
        <f t="shared" si="77"/>
        <v>-13.169723327944046</v>
      </c>
      <c r="L121" s="108">
        <f t="shared" si="78"/>
        <v>38.055149486804225</v>
      </c>
      <c r="M121" s="95">
        <f t="shared" si="97"/>
        <v>-771.28540711095263</v>
      </c>
      <c r="N121" s="95">
        <f t="shared" si="97"/>
        <v>-562.40595982709317</v>
      </c>
      <c r="O121" s="95">
        <f t="shared" si="97"/>
        <v>7569.7624934440701</v>
      </c>
      <c r="Q121" s="18">
        <f t="shared" si="94"/>
        <v>7810</v>
      </c>
      <c r="R121" s="93">
        <f t="shared" si="82"/>
        <v>10</v>
      </c>
      <c r="S121" s="93">
        <f t="shared" si="91"/>
        <v>52</v>
      </c>
      <c r="T121" s="93">
        <f t="shared" si="92"/>
        <v>3.2204943512684002E-3</v>
      </c>
      <c r="U121" s="109">
        <f t="shared" si="83"/>
        <v>0.7455966771206165</v>
      </c>
      <c r="V121" s="112">
        <f t="shared" si="96"/>
        <v>42.719542817989677</v>
      </c>
      <c r="W121" s="93">
        <f t="shared" si="84"/>
        <v>-2.7563908740323093</v>
      </c>
      <c r="X121" s="112">
        <f t="shared" si="80"/>
        <v>202.07043622957252</v>
      </c>
      <c r="Y121" s="110"/>
      <c r="Z121" s="86">
        <f t="shared" si="81"/>
        <v>1.0000008642995519</v>
      </c>
      <c r="AA121" s="108">
        <f t="shared" si="85"/>
        <v>-6.2745397956503393</v>
      </c>
      <c r="AB121" s="108">
        <f t="shared" si="86"/>
        <v>-2.5542204779946815</v>
      </c>
      <c r="AC121" s="108">
        <f t="shared" si="87"/>
        <v>7.3556795520711162</v>
      </c>
      <c r="AD121" s="110">
        <f t="shared" si="88"/>
        <v>-744.66160665372149</v>
      </c>
      <c r="AE121" s="110">
        <f t="shared" si="89"/>
        <v>-551.79045697714378</v>
      </c>
      <c r="AF121" s="110">
        <f t="shared" si="90"/>
        <v>7539.0630235093367</v>
      </c>
    </row>
    <row r="122" spans="1:32" x14ac:dyDescent="0.2">
      <c r="A122" s="3">
        <v>7948</v>
      </c>
      <c r="B122" s="3">
        <v>44.89</v>
      </c>
      <c r="C122" s="3">
        <v>199.46</v>
      </c>
      <c r="E122" s="93">
        <f t="shared" si="93"/>
        <v>0.78347830122025452</v>
      </c>
      <c r="F122" s="93">
        <f t="shared" si="93"/>
        <v>3.4812337260278898</v>
      </c>
      <c r="H122" s="86">
        <f t="shared" si="74"/>
        <v>3.5827747217777928E-2</v>
      </c>
      <c r="I122" s="86">
        <f t="shared" si="75"/>
        <v>1.0001069826885045</v>
      </c>
      <c r="J122" s="108">
        <f t="shared" si="76"/>
        <v>-62.623375759193145</v>
      </c>
      <c r="K122" s="108">
        <f t="shared" si="77"/>
        <v>-23.316160269780951</v>
      </c>
      <c r="L122" s="108">
        <f t="shared" si="78"/>
        <v>68.917949005171579</v>
      </c>
      <c r="M122" s="95">
        <f t="shared" si="97"/>
        <v>-833.90878287014573</v>
      </c>
      <c r="N122" s="95">
        <f t="shared" si="97"/>
        <v>-585.72212009687416</v>
      </c>
      <c r="O122" s="95">
        <f t="shared" si="97"/>
        <v>7638.680442449242</v>
      </c>
      <c r="Q122" s="18">
        <f t="shared" si="94"/>
        <v>7862</v>
      </c>
      <c r="R122" s="93">
        <f t="shared" si="82"/>
        <v>10</v>
      </c>
      <c r="S122" s="93">
        <f t="shared" si="91"/>
        <v>96</v>
      </c>
      <c r="T122" s="93">
        <f t="shared" si="92"/>
        <v>3.7320570018518676E-3</v>
      </c>
      <c r="U122" s="109">
        <f t="shared" si="83"/>
        <v>0.75937263060426496</v>
      </c>
      <c r="V122" s="112">
        <f t="shared" si="96"/>
        <v>43.508846811371278</v>
      </c>
      <c r="W122" s="93">
        <f t="shared" si="84"/>
        <v>-2.7715519251595535</v>
      </c>
      <c r="X122" s="112">
        <f t="shared" si="80"/>
        <v>201.20177198699938</v>
      </c>
      <c r="Y122" s="110"/>
      <c r="Z122" s="86">
        <f t="shared" si="81"/>
        <v>1.0000011606890722</v>
      </c>
      <c r="AA122" s="108">
        <f t="shared" si="85"/>
        <v>-6.4047503432453592</v>
      </c>
      <c r="AB122" s="108">
        <f t="shared" si="86"/>
        <v>-2.4978461836307311</v>
      </c>
      <c r="AC122" s="108">
        <f t="shared" si="87"/>
        <v>7.2622187666668516</v>
      </c>
      <c r="AD122" s="110">
        <f t="shared" si="88"/>
        <v>-777.69015745419802</v>
      </c>
      <c r="AE122" s="110">
        <f t="shared" si="89"/>
        <v>-564.90380601072388</v>
      </c>
      <c r="AF122" s="110">
        <f t="shared" si="90"/>
        <v>7577.0247122107367</v>
      </c>
    </row>
    <row r="123" spans="1:32" x14ac:dyDescent="0.2">
      <c r="A123" s="3">
        <v>8044</v>
      </c>
      <c r="B123" s="3">
        <v>46.52</v>
      </c>
      <c r="C123" s="3">
        <v>197.46</v>
      </c>
      <c r="E123" s="93">
        <f t="shared" si="93"/>
        <v>0.81192716802776221</v>
      </c>
      <c r="F123" s="93">
        <f t="shared" si="93"/>
        <v>3.4463271409880032</v>
      </c>
      <c r="H123" s="86">
        <f t="shared" si="74"/>
        <v>3.7859884291847168E-2</v>
      </c>
      <c r="I123" s="86">
        <f t="shared" si="75"/>
        <v>1.0001194646936327</v>
      </c>
      <c r="J123" s="108">
        <f t="shared" si="76"/>
        <v>-65.173290624325887</v>
      </c>
      <c r="K123" s="108">
        <f t="shared" si="77"/>
        <v>-21.738548889737022</v>
      </c>
      <c r="L123" s="108">
        <f t="shared" si="78"/>
        <v>67.043097371443196</v>
      </c>
      <c r="M123" s="95">
        <f t="shared" si="97"/>
        <v>-899.08207349447162</v>
      </c>
      <c r="N123" s="95">
        <f t="shared" si="97"/>
        <v>-607.46066898661115</v>
      </c>
      <c r="O123" s="95">
        <f t="shared" si="97"/>
        <v>7705.7235398206849</v>
      </c>
      <c r="Q123" s="18">
        <f t="shared" si="94"/>
        <v>7958</v>
      </c>
      <c r="R123" s="93">
        <f t="shared" si="82"/>
        <v>10</v>
      </c>
      <c r="S123" s="93">
        <f t="shared" si="91"/>
        <v>96</v>
      </c>
      <c r="T123" s="93">
        <f t="shared" si="92"/>
        <v>3.9437379470674133E-3</v>
      </c>
      <c r="U123" s="109">
        <f t="shared" si="83"/>
        <v>0.78641288525529673</v>
      </c>
      <c r="V123" s="112">
        <f t="shared" si="96"/>
        <v>45.058139279834393</v>
      </c>
      <c r="W123" s="93">
        <f t="shared" si="84"/>
        <v>-2.8056792072225036</v>
      </c>
      <c r="X123" s="112">
        <f t="shared" si="80"/>
        <v>199.24642275853984</v>
      </c>
      <c r="Y123" s="110"/>
      <c r="Z123" s="86">
        <f t="shared" si="81"/>
        <v>1.0000012960910989</v>
      </c>
      <c r="AA123" s="108">
        <f t="shared" si="85"/>
        <v>-6.6684834494964305</v>
      </c>
      <c r="AB123" s="108">
        <f t="shared" si="86"/>
        <v>-2.3422040653167389</v>
      </c>
      <c r="AC123" s="108">
        <f t="shared" si="87"/>
        <v>7.0742687955268462</v>
      </c>
      <c r="AD123" s="110">
        <f t="shared" si="88"/>
        <v>-840.57726631964215</v>
      </c>
      <c r="AE123" s="110">
        <f t="shared" si="89"/>
        <v>-588.06432416219093</v>
      </c>
      <c r="AF123" s="110">
        <f t="shared" si="90"/>
        <v>7645.7547112447692</v>
      </c>
    </row>
    <row r="124" spans="1:32" x14ac:dyDescent="0.2">
      <c r="A124" s="3">
        <v>8140</v>
      </c>
      <c r="B124" s="3">
        <v>47.78</v>
      </c>
      <c r="C124" s="3">
        <v>195.61</v>
      </c>
      <c r="E124" s="93">
        <f t="shared" si="93"/>
        <v>0.83391831660289073</v>
      </c>
      <c r="F124" s="93">
        <f t="shared" si="93"/>
        <v>3.4140385498261083</v>
      </c>
      <c r="H124" s="86">
        <f t="shared" si="74"/>
        <v>3.2308952734124707E-2</v>
      </c>
      <c r="I124" s="86">
        <f t="shared" si="75"/>
        <v>1.0000869981170346</v>
      </c>
      <c r="J124" s="108">
        <f t="shared" si="76"/>
        <v>-67.466879465830942</v>
      </c>
      <c r="K124" s="108">
        <f t="shared" si="77"/>
        <v>-20.01734774289201</v>
      </c>
      <c r="L124" s="108">
        <f t="shared" si="78"/>
        <v>65.289542052508054</v>
      </c>
      <c r="M124" s="95">
        <f t="shared" si="97"/>
        <v>-966.54895296030259</v>
      </c>
      <c r="N124" s="95">
        <f t="shared" si="97"/>
        <v>-627.47801672950311</v>
      </c>
      <c r="O124" s="95">
        <f t="shared" si="97"/>
        <v>7771.0130818731932</v>
      </c>
      <c r="Q124" s="18">
        <f t="shared" si="94"/>
        <v>8054</v>
      </c>
      <c r="R124" s="93">
        <f t="shared" si="82"/>
        <v>10</v>
      </c>
      <c r="S124" s="93">
        <f t="shared" si="91"/>
        <v>96</v>
      </c>
      <c r="T124" s="93">
        <f t="shared" si="92"/>
        <v>3.3655159098046573E-3</v>
      </c>
      <c r="U124" s="109">
        <f t="shared" si="83"/>
        <v>0.81419338688363063</v>
      </c>
      <c r="V124" s="112">
        <f t="shared" si="96"/>
        <v>46.649844775894231</v>
      </c>
      <c r="W124" s="93">
        <f t="shared" si="84"/>
        <v>-2.8402835317062474</v>
      </c>
      <c r="X124" s="112">
        <f t="shared" si="80"/>
        <v>197.26374101272009</v>
      </c>
      <c r="Y124" s="110"/>
      <c r="Z124" s="86">
        <f t="shared" si="81"/>
        <v>1.0000009438925141</v>
      </c>
      <c r="AA124" s="108">
        <f t="shared" si="85"/>
        <v>-6.9329828733209071</v>
      </c>
      <c r="AB124" s="108">
        <f t="shared" si="86"/>
        <v>-2.1675853074664881</v>
      </c>
      <c r="AC124" s="108">
        <f t="shared" si="87"/>
        <v>6.872788955292136</v>
      </c>
      <c r="AD124" s="110">
        <f t="shared" si="88"/>
        <v>-906.01505636779257</v>
      </c>
      <c r="AE124" s="110">
        <f t="shared" si="89"/>
        <v>-609.62825429407769</v>
      </c>
      <c r="AF124" s="110">
        <f t="shared" si="90"/>
        <v>7712.5963287759769</v>
      </c>
    </row>
    <row r="125" spans="1:32" x14ac:dyDescent="0.2">
      <c r="A125" s="3">
        <v>8237</v>
      </c>
      <c r="B125" s="3">
        <v>48.82</v>
      </c>
      <c r="C125" s="3">
        <v>194.19</v>
      </c>
      <c r="E125" s="93">
        <f t="shared" si="93"/>
        <v>0.85206974082363174</v>
      </c>
      <c r="F125" s="93">
        <f t="shared" si="93"/>
        <v>3.3892548744477886</v>
      </c>
      <c r="H125" s="86">
        <f t="shared" si="74"/>
        <v>2.5920048067876733E-2</v>
      </c>
      <c r="I125" s="86">
        <f t="shared" si="75"/>
        <v>1.0000559911694169</v>
      </c>
      <c r="J125" s="108">
        <f t="shared" si="76"/>
        <v>-69.986256657437607</v>
      </c>
      <c r="K125" s="108">
        <f t="shared" si="77"/>
        <v>-18.614393370220128</v>
      </c>
      <c r="L125" s="108">
        <f t="shared" si="78"/>
        <v>64.528299720483602</v>
      </c>
      <c r="M125" s="95">
        <f t="shared" si="97"/>
        <v>-1036.5352096177403</v>
      </c>
      <c r="N125" s="95">
        <f t="shared" si="97"/>
        <v>-646.09241009972322</v>
      </c>
      <c r="O125" s="95">
        <f t="shared" si="97"/>
        <v>7835.5413815936772</v>
      </c>
      <c r="Q125" s="18">
        <f t="shared" si="94"/>
        <v>8150</v>
      </c>
      <c r="R125" s="93">
        <f t="shared" si="82"/>
        <v>10</v>
      </c>
      <c r="S125" s="93">
        <f t="shared" si="91"/>
        <v>97</v>
      </c>
      <c r="T125" s="93">
        <f t="shared" si="92"/>
        <v>2.6721699039048176E-3</v>
      </c>
      <c r="U125" s="109">
        <f t="shared" si="83"/>
        <v>0.8357753639813299</v>
      </c>
      <c r="V125" s="112">
        <f t="shared" si="96"/>
        <v>47.886400977140404</v>
      </c>
      <c r="W125" s="93">
        <f t="shared" si="84"/>
        <v>-2.8717390950399153</v>
      </c>
      <c r="X125" s="112">
        <f t="shared" si="80"/>
        <v>195.46146999149445</v>
      </c>
      <c r="Y125" s="110"/>
      <c r="Z125" s="86">
        <f t="shared" si="81"/>
        <v>1.0000005950414244</v>
      </c>
      <c r="AA125" s="108">
        <f t="shared" si="85"/>
        <v>-7.1411288288479966</v>
      </c>
      <c r="AB125" s="108">
        <f t="shared" si="86"/>
        <v>-1.98519915843163</v>
      </c>
      <c r="AC125" s="108">
        <f t="shared" si="87"/>
        <v>6.712913216113594</v>
      </c>
      <c r="AD125" s="110">
        <f t="shared" si="88"/>
        <v>-973.69008178915055</v>
      </c>
      <c r="AE125" s="110">
        <f t="shared" si="89"/>
        <v>-629.46321588793478</v>
      </c>
      <c r="AF125" s="110">
        <f t="shared" si="90"/>
        <v>7777.7259950893067</v>
      </c>
    </row>
    <row r="126" spans="1:32" x14ac:dyDescent="0.2">
      <c r="A126" s="3">
        <v>8332</v>
      </c>
      <c r="B126" s="3">
        <v>50.34</v>
      </c>
      <c r="C126" s="3">
        <v>192.84</v>
      </c>
      <c r="E126" s="93">
        <f t="shared" si="93"/>
        <v>0.87859874545394556</v>
      </c>
      <c r="F126" s="93">
        <f t="shared" si="93"/>
        <v>3.3656929295458653</v>
      </c>
      <c r="H126" s="86">
        <f t="shared" si="74"/>
        <v>3.202332657983975E-2</v>
      </c>
      <c r="I126" s="86">
        <f t="shared" si="75"/>
        <v>1.0000854665516528</v>
      </c>
      <c r="J126" s="108">
        <f t="shared" si="76"/>
        <v>-70.319077008108763</v>
      </c>
      <c r="K126" s="108">
        <f t="shared" si="77"/>
        <v>-16.891688453544084</v>
      </c>
      <c r="L126" s="108">
        <f t="shared" si="78"/>
        <v>61.59648561201309</v>
      </c>
      <c r="M126" s="95">
        <f t="shared" si="97"/>
        <v>-1106.854286625849</v>
      </c>
      <c r="N126" s="95">
        <f t="shared" si="97"/>
        <v>-662.98409855326736</v>
      </c>
      <c r="O126" s="95">
        <f t="shared" si="97"/>
        <v>7897.1378672056899</v>
      </c>
      <c r="Q126" s="18">
        <f t="shared" si="94"/>
        <v>8247</v>
      </c>
      <c r="R126" s="93">
        <f t="shared" si="82"/>
        <v>10</v>
      </c>
      <c r="S126" s="93">
        <f t="shared" si="91"/>
        <v>95</v>
      </c>
      <c r="T126" s="93">
        <f t="shared" si="92"/>
        <v>3.3708764820883945E-3</v>
      </c>
      <c r="U126" s="109">
        <f t="shared" si="83"/>
        <v>0.85484919405067816</v>
      </c>
      <c r="V126" s="112">
        <f t="shared" si="96"/>
        <v>48.979250939263778</v>
      </c>
      <c r="W126" s="93">
        <f t="shared" si="84"/>
        <v>-2.8964613712233147</v>
      </c>
      <c r="X126" s="112">
        <f t="shared" si="80"/>
        <v>194.04498790622887</v>
      </c>
      <c r="Y126" s="110"/>
      <c r="Z126" s="86">
        <f t="shared" si="81"/>
        <v>1.0000009469017641</v>
      </c>
      <c r="AA126" s="108">
        <f t="shared" si="85"/>
        <v>-7.3079947588180119</v>
      </c>
      <c r="AB126" s="108">
        <f t="shared" si="86"/>
        <v>-1.8380017757135434</v>
      </c>
      <c r="AC126" s="108">
        <f t="shared" si="87"/>
        <v>6.5738015932586054</v>
      </c>
      <c r="AD126" s="110">
        <f t="shared" si="88"/>
        <v>-1043.8432043765583</v>
      </c>
      <c r="AE126" s="110">
        <f t="shared" si="89"/>
        <v>-647.93041187543679</v>
      </c>
      <c r="AF126" s="110">
        <f t="shared" si="90"/>
        <v>7842.1151831869356</v>
      </c>
    </row>
    <row r="127" spans="1:32" x14ac:dyDescent="0.2">
      <c r="A127" s="3">
        <v>8427</v>
      </c>
      <c r="B127" s="3">
        <v>52.36</v>
      </c>
      <c r="C127" s="3">
        <v>191.08</v>
      </c>
      <c r="E127" s="93">
        <f t="shared" si="93"/>
        <v>0.91385439634423093</v>
      </c>
      <c r="F127" s="93">
        <f t="shared" si="93"/>
        <v>3.3349751347107652</v>
      </c>
      <c r="H127" s="86">
        <f t="shared" si="74"/>
        <v>4.264132137154597E-2</v>
      </c>
      <c r="I127" s="86">
        <f t="shared" si="75"/>
        <v>1.00015155108035</v>
      </c>
      <c r="J127" s="108">
        <f t="shared" si="76"/>
        <v>-72.576647841842174</v>
      </c>
      <c r="K127" s="108">
        <f t="shared" si="77"/>
        <v>-15.357271732293377</v>
      </c>
      <c r="L127" s="108">
        <f t="shared" si="78"/>
        <v>59.333101857715619</v>
      </c>
      <c r="M127" s="95">
        <f t="shared" si="97"/>
        <v>-1179.4309344676913</v>
      </c>
      <c r="N127" s="95">
        <f t="shared" si="97"/>
        <v>-678.34137028556074</v>
      </c>
      <c r="O127" s="95">
        <f t="shared" si="97"/>
        <v>7956.4709690634054</v>
      </c>
      <c r="Q127" s="18">
        <f t="shared" si="94"/>
        <v>8342</v>
      </c>
      <c r="R127" s="93">
        <f t="shared" si="82"/>
        <v>10</v>
      </c>
      <c r="S127" s="93">
        <f t="shared" si="91"/>
        <v>95</v>
      </c>
      <c r="T127" s="93">
        <f t="shared" si="92"/>
        <v>4.4885601443732598E-3</v>
      </c>
      <c r="U127" s="109">
        <f t="shared" si="83"/>
        <v>0.88228782403853734</v>
      </c>
      <c r="V127" s="112">
        <f t="shared" si="96"/>
        <v>50.551368633189206</v>
      </c>
      <c r="W127" s="93">
        <f t="shared" si="84"/>
        <v>-2.9208086689458628</v>
      </c>
      <c r="X127" s="112">
        <f t="shared" si="80"/>
        <v>192.64999050417839</v>
      </c>
      <c r="Y127" s="110"/>
      <c r="Z127" s="86">
        <f t="shared" si="81"/>
        <v>1.0000016789343968</v>
      </c>
      <c r="AA127" s="108">
        <f t="shared" si="85"/>
        <v>-7.5202388771235897</v>
      </c>
      <c r="AB127" s="108">
        <f t="shared" si="86"/>
        <v>-1.700945850683153</v>
      </c>
      <c r="AC127" s="108">
        <f t="shared" si="87"/>
        <v>6.3680941066424301</v>
      </c>
      <c r="AD127" s="110">
        <f t="shared" si="88"/>
        <v>-1114.3745255029726</v>
      </c>
      <c r="AE127" s="110">
        <f t="shared" si="89"/>
        <v>-664.68504440395054</v>
      </c>
      <c r="AF127" s="110">
        <f t="shared" si="90"/>
        <v>7903.5059613123321</v>
      </c>
    </row>
    <row r="128" spans="1:32" x14ac:dyDescent="0.2">
      <c r="A128" s="3">
        <v>8524</v>
      </c>
      <c r="B128" s="3">
        <v>54.19</v>
      </c>
      <c r="C128" s="3">
        <v>189.4</v>
      </c>
      <c r="E128" s="93">
        <f t="shared" si="93"/>
        <v>0.94579392165572718</v>
      </c>
      <c r="F128" s="93">
        <f t="shared" si="93"/>
        <v>3.3056536032772601</v>
      </c>
      <c r="H128" s="86">
        <f t="shared" si="74"/>
        <v>3.9652502012768043E-2</v>
      </c>
      <c r="I128" s="86">
        <f t="shared" si="75"/>
        <v>1.0001310473478766</v>
      </c>
      <c r="J128" s="108">
        <f t="shared" si="76"/>
        <v>-76.503023823067196</v>
      </c>
      <c r="K128" s="108">
        <f t="shared" si="77"/>
        <v>-13.806410965918571</v>
      </c>
      <c r="L128" s="108">
        <f t="shared" si="78"/>
        <v>58.003772257968585</v>
      </c>
      <c r="M128" s="95">
        <f t="shared" si="97"/>
        <v>-1255.9339582907585</v>
      </c>
      <c r="N128" s="95">
        <f t="shared" si="97"/>
        <v>-692.14778125147927</v>
      </c>
      <c r="O128" s="95">
        <f t="shared" si="97"/>
        <v>8014.4747413213736</v>
      </c>
      <c r="Q128" s="18">
        <f t="shared" si="94"/>
        <v>8437</v>
      </c>
      <c r="R128" s="93">
        <f t="shared" si="82"/>
        <v>10</v>
      </c>
      <c r="S128" s="93">
        <f t="shared" si="91"/>
        <v>97</v>
      </c>
      <c r="T128" s="93">
        <f t="shared" si="92"/>
        <v>4.0878868054400044E-3</v>
      </c>
      <c r="U128" s="109">
        <f t="shared" si="83"/>
        <v>0.91712779035247838</v>
      </c>
      <c r="V128" s="112">
        <f t="shared" si="96"/>
        <v>52.547551661355989</v>
      </c>
      <c r="W128" s="93">
        <f t="shared" si="84"/>
        <v>-2.9512984999009597</v>
      </c>
      <c r="X128" s="112">
        <f t="shared" si="80"/>
        <v>190.903051872384</v>
      </c>
      <c r="Y128" s="110"/>
      <c r="Z128" s="86">
        <f t="shared" si="81"/>
        <v>1.0000013925705382</v>
      </c>
      <c r="AA128" s="108">
        <f t="shared" si="85"/>
        <v>-7.7831662186138315</v>
      </c>
      <c r="AB128" s="108">
        <f t="shared" si="86"/>
        <v>-1.5116839737943688</v>
      </c>
      <c r="AC128" s="108">
        <f t="shared" si="87"/>
        <v>6.0940131210933721</v>
      </c>
      <c r="AD128" s="110">
        <f t="shared" si="88"/>
        <v>-1187.2141006863051</v>
      </c>
      <c r="AE128" s="110">
        <f t="shared" si="89"/>
        <v>-679.85305425935508</v>
      </c>
      <c r="AF128" s="110">
        <f t="shared" si="90"/>
        <v>7962.5649821844991</v>
      </c>
    </row>
    <row r="129" spans="1:32" x14ac:dyDescent="0.2">
      <c r="A129" s="3">
        <v>8620</v>
      </c>
      <c r="B129" s="3">
        <v>55.66</v>
      </c>
      <c r="C129" s="3">
        <v>187.76</v>
      </c>
      <c r="E129" s="93">
        <f t="shared" si="93"/>
        <v>0.97145026166004378</v>
      </c>
      <c r="F129" s="93">
        <f t="shared" si="93"/>
        <v>3.2770302035445531</v>
      </c>
      <c r="H129" s="86">
        <f t="shared" si="74"/>
        <v>3.4740616150362946E-2</v>
      </c>
      <c r="I129" s="86">
        <f t="shared" si="75"/>
        <v>1.000100588007631</v>
      </c>
      <c r="J129" s="108">
        <f t="shared" si="76"/>
        <v>-77.682152778388499</v>
      </c>
      <c r="K129" s="108">
        <f t="shared" si="77"/>
        <v>-11.710342947862953</v>
      </c>
      <c r="L129" s="108">
        <f t="shared" si="78"/>
        <v>55.167237903055025</v>
      </c>
      <c r="M129" s="95">
        <f t="shared" si="97"/>
        <v>-1333.6161110691469</v>
      </c>
      <c r="N129" s="95">
        <f t="shared" si="97"/>
        <v>-703.85812419934223</v>
      </c>
      <c r="O129" s="95">
        <f t="shared" si="97"/>
        <v>8069.6419792244287</v>
      </c>
      <c r="Q129" s="18">
        <f t="shared" si="94"/>
        <v>8534</v>
      </c>
      <c r="R129" s="93">
        <f t="shared" si="82"/>
        <v>10</v>
      </c>
      <c r="S129" s="93">
        <f t="shared" si="91"/>
        <v>96</v>
      </c>
      <c r="T129" s="93">
        <f t="shared" si="92"/>
        <v>3.6188141823294737E-3</v>
      </c>
      <c r="U129" s="109">
        <f t="shared" si="83"/>
        <v>0.94844826310021269</v>
      </c>
      <c r="V129" s="112">
        <f t="shared" si="96"/>
        <v>54.342082562155682</v>
      </c>
      <c r="W129" s="93">
        <f t="shared" si="84"/>
        <v>-2.9805619141913624</v>
      </c>
      <c r="X129" s="112">
        <f t="shared" si="80"/>
        <v>189.22638173940109</v>
      </c>
      <c r="Y129" s="110"/>
      <c r="Z129" s="86">
        <f t="shared" si="81"/>
        <v>1.0000010913194364</v>
      </c>
      <c r="AA129" s="108">
        <f t="shared" si="85"/>
        <v>-8.0103703352088385</v>
      </c>
      <c r="AB129" s="108">
        <f t="shared" si="86"/>
        <v>-1.3136302533662274</v>
      </c>
      <c r="AC129" s="108">
        <f t="shared" si="87"/>
        <v>5.840225468121429</v>
      </c>
      <c r="AD129" s="110">
        <f t="shared" si="88"/>
        <v>-1263.9443286259673</v>
      </c>
      <c r="AE129" s="110">
        <f t="shared" si="89"/>
        <v>-693.4614115048455</v>
      </c>
      <c r="AF129" s="110">
        <f t="shared" si="90"/>
        <v>8020.314966789495</v>
      </c>
    </row>
    <row r="130" spans="1:32" x14ac:dyDescent="0.2">
      <c r="A130" s="3">
        <v>8716</v>
      </c>
      <c r="B130" s="3">
        <v>56.87</v>
      </c>
      <c r="C130" s="3">
        <v>186.21</v>
      </c>
      <c r="E130" s="93">
        <f t="shared" si="93"/>
        <v>0.99256874560917518</v>
      </c>
      <c r="F130" s="93">
        <f t="shared" si="93"/>
        <v>3.2499776001386413</v>
      </c>
      <c r="H130" s="86">
        <f t="shared" si="74"/>
        <v>3.0855594242655604E-2</v>
      </c>
      <c r="I130" s="86">
        <f t="shared" si="75"/>
        <v>1.0000793465290077</v>
      </c>
      <c r="J130" s="108">
        <f t="shared" si="76"/>
        <v>-79.23805567218065</v>
      </c>
      <c r="K130" s="108">
        <f t="shared" si="77"/>
        <v>-9.7004814763437412</v>
      </c>
      <c r="L130" s="108">
        <f t="shared" si="78"/>
        <v>53.315101309415354</v>
      </c>
      <c r="M130" s="95">
        <f t="shared" si="97"/>
        <v>-1412.8541667413276</v>
      </c>
      <c r="N130" s="95">
        <f t="shared" si="97"/>
        <v>-713.55860567568595</v>
      </c>
      <c r="O130" s="95">
        <f t="shared" si="97"/>
        <v>8122.9570805338444</v>
      </c>
      <c r="Q130" s="18">
        <f t="shared" si="94"/>
        <v>8630</v>
      </c>
      <c r="R130" s="93">
        <f t="shared" si="82"/>
        <v>10</v>
      </c>
      <c r="S130" s="93">
        <f t="shared" si="91"/>
        <v>96</v>
      </c>
      <c r="T130" s="93">
        <f t="shared" si="92"/>
        <v>3.2141244002766257E-3</v>
      </c>
      <c r="U130" s="109">
        <f t="shared" si="83"/>
        <v>0.9736341788108408</v>
      </c>
      <c r="V130" s="112">
        <f t="shared" si="96"/>
        <v>55.785129235546904</v>
      </c>
      <c r="W130" s="93">
        <f t="shared" si="84"/>
        <v>-3.0090089613464883</v>
      </c>
      <c r="X130" s="112">
        <f t="shared" si="80"/>
        <v>187.59648599780274</v>
      </c>
      <c r="Y130" s="110"/>
      <c r="Z130" s="86">
        <f t="shared" si="81"/>
        <v>1.0000008608838611</v>
      </c>
      <c r="AA130" s="108">
        <f t="shared" si="85"/>
        <v>-8.1891088166063</v>
      </c>
      <c r="AB130" s="108">
        <f t="shared" si="86"/>
        <v>-1.1040357528136451</v>
      </c>
      <c r="AC130" s="108">
        <f t="shared" si="87"/>
        <v>5.6320081461253828</v>
      </c>
      <c r="AD130" s="110">
        <f t="shared" si="88"/>
        <v>-1341.8052198857531</v>
      </c>
      <c r="AE130" s="110">
        <f t="shared" si="89"/>
        <v>-704.96215995215584</v>
      </c>
      <c r="AF130" s="110">
        <f t="shared" si="90"/>
        <v>8075.2739873705541</v>
      </c>
    </row>
    <row r="131" spans="1:32" x14ac:dyDescent="0.2">
      <c r="A131" s="3">
        <v>8812</v>
      </c>
      <c r="B131" s="3">
        <v>58.11</v>
      </c>
      <c r="C131" s="3">
        <v>184.78</v>
      </c>
      <c r="E131" s="93">
        <f t="shared" si="93"/>
        <v>1.0142108283339049</v>
      </c>
      <c r="F131" s="93">
        <f t="shared" si="93"/>
        <v>3.2250193918351222</v>
      </c>
      <c r="H131" s="86">
        <f t="shared" si="74"/>
        <v>3.0188065684265686E-2</v>
      </c>
      <c r="I131" s="86">
        <f t="shared" si="75"/>
        <v>1.0000759501973087</v>
      </c>
      <c r="J131" s="108">
        <f t="shared" si="76"/>
        <v>-80.580338442380082</v>
      </c>
      <c r="K131" s="108">
        <f t="shared" si="77"/>
        <v>-7.7449074001349141</v>
      </c>
      <c r="L131" s="108">
        <f t="shared" si="78"/>
        <v>51.595790466911637</v>
      </c>
      <c r="M131" s="95">
        <f t="shared" si="97"/>
        <v>-1493.4345051837076</v>
      </c>
      <c r="N131" s="95">
        <f t="shared" si="97"/>
        <v>-721.30351307582089</v>
      </c>
      <c r="O131" s="95">
        <f t="shared" si="97"/>
        <v>8174.5528710007557</v>
      </c>
      <c r="Q131" s="18">
        <f t="shared" si="94"/>
        <v>8726</v>
      </c>
      <c r="R131" s="93">
        <f t="shared" si="82"/>
        <v>10</v>
      </c>
      <c r="S131" s="93">
        <f t="shared" si="91"/>
        <v>96</v>
      </c>
      <c r="T131" s="93">
        <f t="shared" si="92"/>
        <v>3.1445901754443423E-3</v>
      </c>
      <c r="U131" s="109">
        <f t="shared" si="83"/>
        <v>0.99480982495391135</v>
      </c>
      <c r="V131" s="112">
        <f t="shared" si="96"/>
        <v>56.998404388007323</v>
      </c>
      <c r="W131" s="93">
        <f t="shared" si="84"/>
        <v>-3.0358399117710242</v>
      </c>
      <c r="X131" s="112">
        <f t="shared" si="80"/>
        <v>186.05918577815211</v>
      </c>
      <c r="Y131" s="110"/>
      <c r="Z131" s="86">
        <f t="shared" si="81"/>
        <v>1.0000008240380958</v>
      </c>
      <c r="AA131" s="108">
        <f t="shared" si="85"/>
        <v>-8.3324511156801844</v>
      </c>
      <c r="AB131" s="108">
        <f t="shared" si="86"/>
        <v>-0.89556263173171413</v>
      </c>
      <c r="AC131" s="108">
        <f t="shared" si="87"/>
        <v>5.4560190224874452</v>
      </c>
      <c r="AD131" s="110">
        <f t="shared" si="88"/>
        <v>-1421.1866178570078</v>
      </c>
      <c r="AE131" s="110">
        <f t="shared" si="89"/>
        <v>-714.45416830741772</v>
      </c>
      <c r="AF131" s="110">
        <f t="shared" si="90"/>
        <v>8128.4130995563319</v>
      </c>
    </row>
    <row r="132" spans="1:32" x14ac:dyDescent="0.2">
      <c r="A132" s="3">
        <v>8909</v>
      </c>
      <c r="B132" s="3">
        <v>59.39</v>
      </c>
      <c r="C132" s="3">
        <v>183.78</v>
      </c>
      <c r="E132" s="93">
        <f t="shared" si="93"/>
        <v>1.0365510427594322</v>
      </c>
      <c r="F132" s="93">
        <f t="shared" si="93"/>
        <v>3.2075660993151787</v>
      </c>
      <c r="H132" s="86">
        <f t="shared" si="74"/>
        <v>2.6864497316497538E-2</v>
      </c>
      <c r="I132" s="86">
        <f t="shared" si="75"/>
        <v>1.0000601461087613</v>
      </c>
      <c r="J132" s="108">
        <f t="shared" si="76"/>
        <v>-82.692221780419899</v>
      </c>
      <c r="K132" s="108">
        <f t="shared" si="77"/>
        <v>-6.1837129090394027</v>
      </c>
      <c r="L132" s="108">
        <f t="shared" si="78"/>
        <v>50.320893189550482</v>
      </c>
      <c r="M132" s="95">
        <f t="shared" si="97"/>
        <v>-1576.1267269641276</v>
      </c>
      <c r="N132" s="95">
        <f t="shared" si="97"/>
        <v>-727.48722598486029</v>
      </c>
      <c r="O132" s="95">
        <f t="shared" si="97"/>
        <v>8224.8737641903062</v>
      </c>
      <c r="Q132" s="18">
        <f t="shared" si="94"/>
        <v>8822</v>
      </c>
      <c r="R132" s="93">
        <f t="shared" si="82"/>
        <v>10</v>
      </c>
      <c r="S132" s="93">
        <f t="shared" si="91"/>
        <v>97</v>
      </c>
      <c r="T132" s="93">
        <f t="shared" si="92"/>
        <v>2.7695358058244884E-3</v>
      </c>
      <c r="U132" s="109">
        <f t="shared" si="83"/>
        <v>1.0165076329110923</v>
      </c>
      <c r="V132" s="112">
        <f t="shared" si="96"/>
        <v>58.241597208639163</v>
      </c>
      <c r="W132" s="93">
        <f t="shared" si="84"/>
        <v>-3.0599873108019477</v>
      </c>
      <c r="X132" s="112">
        <f t="shared" si="80"/>
        <v>184.67564172746188</v>
      </c>
      <c r="Y132" s="110"/>
      <c r="Z132" s="86">
        <f t="shared" si="81"/>
        <v>1.0000006391945386</v>
      </c>
      <c r="AA132" s="108">
        <f t="shared" si="85"/>
        <v>-8.4677869447242688</v>
      </c>
      <c r="AB132" s="108">
        <f t="shared" si="86"/>
        <v>-0.70031290420480674</v>
      </c>
      <c r="AC132" s="108">
        <f t="shared" si="87"/>
        <v>5.2731472742161305</v>
      </c>
      <c r="AD132" s="110">
        <f t="shared" si="88"/>
        <v>-1501.902292128432</v>
      </c>
      <c r="AE132" s="110">
        <f t="shared" si="89"/>
        <v>-722.00382598002568</v>
      </c>
      <c r="AF132" s="110">
        <f t="shared" si="90"/>
        <v>8179.8260182749718</v>
      </c>
    </row>
    <row r="133" spans="1:32" x14ac:dyDescent="0.2">
      <c r="A133" s="3">
        <v>9005</v>
      </c>
      <c r="B133" s="3">
        <v>61.09</v>
      </c>
      <c r="C133" s="3">
        <v>183.01</v>
      </c>
      <c r="E133" s="93">
        <f t="shared" si="93"/>
        <v>1.066221640043336</v>
      </c>
      <c r="F133" s="93">
        <f t="shared" si="93"/>
        <v>3.1941270640748223</v>
      </c>
      <c r="H133" s="86">
        <f t="shared" si="74"/>
        <v>3.188155250265523E-2</v>
      </c>
      <c r="I133" s="86">
        <f t="shared" si="75"/>
        <v>1.0000847113928575</v>
      </c>
      <c r="J133" s="108">
        <f t="shared" si="76"/>
        <v>-83.188806362527274</v>
      </c>
      <c r="K133" s="108">
        <f t="shared" si="77"/>
        <v>-4.9302818754024154</v>
      </c>
      <c r="L133" s="108">
        <f t="shared" si="78"/>
        <v>47.650123003108163</v>
      </c>
      <c r="M133" s="95">
        <f t="shared" si="97"/>
        <v>-1659.3155333266548</v>
      </c>
      <c r="N133" s="95">
        <f t="shared" si="97"/>
        <v>-732.41750786026273</v>
      </c>
      <c r="O133" s="95">
        <f t="shared" si="97"/>
        <v>8272.5238871934143</v>
      </c>
      <c r="Q133" s="18">
        <f t="shared" si="94"/>
        <v>8919</v>
      </c>
      <c r="R133" s="93">
        <f t="shared" si="82"/>
        <v>10</v>
      </c>
      <c r="S133" s="93">
        <f t="shared" si="91"/>
        <v>96</v>
      </c>
      <c r="T133" s="93">
        <f t="shared" si="92"/>
        <v>3.32099505235992E-3</v>
      </c>
      <c r="U133" s="109">
        <f t="shared" si="83"/>
        <v>1.0396380493273827</v>
      </c>
      <c r="V133" s="112">
        <f t="shared" si="96"/>
        <v>59.566872447672722</v>
      </c>
      <c r="W133" s="93">
        <f t="shared" si="84"/>
        <v>-3.0770406685186327</v>
      </c>
      <c r="X133" s="112">
        <f t="shared" si="80"/>
        <v>183.69855630376898</v>
      </c>
      <c r="Y133" s="110"/>
      <c r="Z133" s="86">
        <f t="shared" si="81"/>
        <v>1.0000009190850252</v>
      </c>
      <c r="AA133" s="108">
        <f t="shared" si="85"/>
        <v>-8.5960379117836094</v>
      </c>
      <c r="AB133" s="108">
        <f t="shared" si="86"/>
        <v>-0.56179302748362259</v>
      </c>
      <c r="AC133" s="108">
        <f t="shared" si="87"/>
        <v>5.0786247060678082</v>
      </c>
      <c r="AD133" s="110">
        <f t="shared" si="88"/>
        <v>-1584.7227648759113</v>
      </c>
      <c r="AE133" s="110">
        <f t="shared" si="89"/>
        <v>-728.04901901234393</v>
      </c>
      <c r="AF133" s="110">
        <f t="shared" si="90"/>
        <v>8229.952388896374</v>
      </c>
    </row>
    <row r="134" spans="1:32" x14ac:dyDescent="0.2">
      <c r="A134" s="3">
        <v>9100</v>
      </c>
      <c r="B134" s="3">
        <v>62.94</v>
      </c>
      <c r="C134" s="3">
        <v>182.17</v>
      </c>
      <c r="E134" s="93">
        <f t="shared" si="93"/>
        <v>1.0985102312052311</v>
      </c>
      <c r="F134" s="93">
        <f t="shared" si="93"/>
        <v>3.1794662983580699</v>
      </c>
      <c r="H134" s="86">
        <f t="shared" si="74"/>
        <v>3.4787025513992154E-2</v>
      </c>
      <c r="I134" s="86">
        <f t="shared" si="75"/>
        <v>1.000100856967103</v>
      </c>
      <c r="J134" s="108">
        <f t="shared" si="76"/>
        <v>-83.801513797321917</v>
      </c>
      <c r="K134" s="108">
        <f t="shared" si="77"/>
        <v>-3.785467142728506</v>
      </c>
      <c r="L134" s="108">
        <f t="shared" si="78"/>
        <v>44.57652337860317</v>
      </c>
      <c r="M134" s="95">
        <f t="shared" si="97"/>
        <v>-1743.1170471239766</v>
      </c>
      <c r="N134" s="95">
        <f t="shared" si="97"/>
        <v>-736.20297500299125</v>
      </c>
      <c r="O134" s="95">
        <f t="shared" si="97"/>
        <v>8317.1004105720167</v>
      </c>
      <c r="Q134" s="18">
        <f t="shared" si="94"/>
        <v>9015</v>
      </c>
      <c r="R134" s="93">
        <f t="shared" si="82"/>
        <v>10</v>
      </c>
      <c r="S134" s="93">
        <f t="shared" si="91"/>
        <v>95</v>
      </c>
      <c r="T134" s="93">
        <f t="shared" si="92"/>
        <v>3.6617921593675947E-3</v>
      </c>
      <c r="U134" s="109">
        <f t="shared" si="83"/>
        <v>1.0696161826143022</v>
      </c>
      <c r="V134" s="112">
        <f t="shared" si="96"/>
        <v>61.284492962693861</v>
      </c>
      <c r="W134" s="93">
        <f t="shared" si="84"/>
        <v>-3.0906255193608514</v>
      </c>
      <c r="X134" s="112">
        <f t="shared" si="80"/>
        <v>182.92020168519511</v>
      </c>
      <c r="Y134" s="110"/>
      <c r="Z134" s="86">
        <f t="shared" si="81"/>
        <v>1.0000011173949832</v>
      </c>
      <c r="AA134" s="108">
        <f t="shared" si="85"/>
        <v>-8.750258746324544</v>
      </c>
      <c r="AB134" s="108">
        <f t="shared" si="86"/>
        <v>-0.45323091334402421</v>
      </c>
      <c r="AC134" s="108">
        <f t="shared" si="87"/>
        <v>4.8194856439522296</v>
      </c>
      <c r="AD134" s="110">
        <f t="shared" si="88"/>
        <v>-1668.0657920729793</v>
      </c>
      <c r="AE134" s="110">
        <f t="shared" si="89"/>
        <v>-732.87073877360672</v>
      </c>
      <c r="AF134" s="110">
        <f t="shared" si="90"/>
        <v>8277.3433728373657</v>
      </c>
    </row>
    <row r="135" spans="1:32" x14ac:dyDescent="0.2">
      <c r="A135" s="3">
        <v>9197</v>
      </c>
      <c r="B135" s="3">
        <v>64.91</v>
      </c>
      <c r="C135" s="3">
        <v>181.9</v>
      </c>
      <c r="E135" s="93">
        <f t="shared" si="93"/>
        <v>1.1328932174695192</v>
      </c>
      <c r="F135" s="93">
        <f t="shared" si="93"/>
        <v>3.1747539093776855</v>
      </c>
      <c r="H135" s="86">
        <f t="shared" si="74"/>
        <v>3.4642502180186607E-2</v>
      </c>
      <c r="I135" s="86">
        <f t="shared" si="75"/>
        <v>1.0001000205832924</v>
      </c>
      <c r="J135" s="108">
        <f t="shared" si="76"/>
        <v>-87.06799804970268</v>
      </c>
      <c r="K135" s="108">
        <f t="shared" si="77"/>
        <v>-3.0920060904429643</v>
      </c>
      <c r="L135" s="108">
        <f t="shared" si="78"/>
        <v>42.63405060357487</v>
      </c>
      <c r="M135" s="95">
        <f t="shared" ref="M135:O150" si="98">M134+J135</f>
        <v>-1830.1850451736793</v>
      </c>
      <c r="N135" s="95">
        <f t="shared" si="98"/>
        <v>-739.29498109343422</v>
      </c>
      <c r="O135" s="95">
        <f t="shared" si="98"/>
        <v>8359.7344611755907</v>
      </c>
      <c r="Q135" s="18">
        <f t="shared" si="94"/>
        <v>9110</v>
      </c>
      <c r="R135" s="93">
        <f t="shared" si="82"/>
        <v>10</v>
      </c>
      <c r="S135" s="93">
        <f t="shared" si="91"/>
        <v>97</v>
      </c>
      <c r="T135" s="93">
        <f t="shared" si="92"/>
        <v>3.5713919773388255E-3</v>
      </c>
      <c r="U135" s="109">
        <f t="shared" si="83"/>
        <v>1.102054457112295</v>
      </c>
      <c r="V135" s="112">
        <f t="shared" si="96"/>
        <v>63.143069186115696</v>
      </c>
      <c r="W135" s="93">
        <f t="shared" si="84"/>
        <v>-3.1042122723109951</v>
      </c>
      <c r="X135" s="112">
        <f t="shared" si="80"/>
        <v>182.14173808386496</v>
      </c>
      <c r="Y135" s="110"/>
      <c r="Z135" s="86">
        <f t="shared" si="81"/>
        <v>1.0000010629047438</v>
      </c>
      <c r="AA135" s="108">
        <f t="shared" si="85"/>
        <v>-8.9070402490322973</v>
      </c>
      <c r="AB135" s="108">
        <f t="shared" si="86"/>
        <v>-0.33530159165207563</v>
      </c>
      <c r="AC135" s="108">
        <f t="shared" si="87"/>
        <v>4.5334424618010383</v>
      </c>
      <c r="AD135" s="110">
        <f t="shared" si="88"/>
        <v>-1752.0240873730088</v>
      </c>
      <c r="AE135" s="110">
        <f t="shared" si="89"/>
        <v>-736.53827659464332</v>
      </c>
      <c r="AF135" s="110">
        <f t="shared" si="90"/>
        <v>8321.633853033818</v>
      </c>
    </row>
    <row r="136" spans="1:32" x14ac:dyDescent="0.2">
      <c r="A136" s="3">
        <v>9293</v>
      </c>
      <c r="B136" s="3">
        <v>65.17</v>
      </c>
      <c r="C136" s="3">
        <v>181.76</v>
      </c>
      <c r="E136" s="93">
        <f t="shared" si="93"/>
        <v>1.1374310735247046</v>
      </c>
      <c r="F136" s="93">
        <f t="shared" si="93"/>
        <v>3.1723104484248932</v>
      </c>
      <c r="H136" s="86">
        <f t="shared" si="74"/>
        <v>5.0496977419696165E-3</v>
      </c>
      <c r="I136" s="86">
        <f t="shared" si="75"/>
        <v>1.0000021249593591</v>
      </c>
      <c r="J136" s="108">
        <f t="shared" si="76"/>
        <v>-86.989360809566335</v>
      </c>
      <c r="K136" s="108">
        <f t="shared" si="77"/>
        <v>-2.7792317025868707</v>
      </c>
      <c r="L136" s="108">
        <f t="shared" si="78"/>
        <v>40.510583722374996</v>
      </c>
      <c r="M136" s="95">
        <f t="shared" si="98"/>
        <v>-1917.1744059832456</v>
      </c>
      <c r="N136" s="95">
        <f t="shared" si="98"/>
        <v>-742.07421279602113</v>
      </c>
      <c r="O136" s="95">
        <f t="shared" si="98"/>
        <v>8400.2450448979653</v>
      </c>
      <c r="Q136" s="18">
        <f t="shared" si="94"/>
        <v>9207</v>
      </c>
      <c r="R136" s="93">
        <f t="shared" si="82"/>
        <v>10</v>
      </c>
      <c r="S136" s="93">
        <f t="shared" si="91"/>
        <v>96</v>
      </c>
      <c r="T136" s="93">
        <f t="shared" si="92"/>
        <v>5.2601018145516842E-4</v>
      </c>
      <c r="U136" s="109">
        <f t="shared" si="83"/>
        <v>1.1333658040081898</v>
      </c>
      <c r="V136" s="112">
        <f t="shared" si="96"/>
        <v>64.937077214120521</v>
      </c>
      <c r="W136" s="93">
        <f t="shared" si="84"/>
        <v>-3.1086864075837028</v>
      </c>
      <c r="X136" s="112">
        <f t="shared" si="80"/>
        <v>181.8853890157682</v>
      </c>
      <c r="Y136" s="110"/>
      <c r="Z136" s="86">
        <f t="shared" si="81"/>
        <v>1.0000000230572266</v>
      </c>
      <c r="AA136" s="108">
        <f t="shared" si="85"/>
        <v>-9.0524884204728977</v>
      </c>
      <c r="AB136" s="108">
        <f t="shared" si="86"/>
        <v>-0.29914634003739576</v>
      </c>
      <c r="AC136" s="108">
        <f t="shared" si="87"/>
        <v>4.238273535146563</v>
      </c>
      <c r="AD136" s="110">
        <f t="shared" si="88"/>
        <v>-1839.2375335941522</v>
      </c>
      <c r="AE136" s="110">
        <f t="shared" si="89"/>
        <v>-739.59412743347161</v>
      </c>
      <c r="AF136" s="110">
        <f t="shared" si="90"/>
        <v>8363.9727347107364</v>
      </c>
    </row>
    <row r="137" spans="1:32" x14ac:dyDescent="0.2">
      <c r="A137" s="3">
        <v>9390</v>
      </c>
      <c r="B137" s="3">
        <v>65.08</v>
      </c>
      <c r="C137" s="3">
        <v>181.47</v>
      </c>
      <c r="E137" s="93">
        <f t="shared" si="93"/>
        <v>1.1358602771979096</v>
      </c>
      <c r="F137" s="93">
        <f t="shared" si="93"/>
        <v>3.1672489935941099</v>
      </c>
      <c r="H137" s="86">
        <f t="shared" si="74"/>
        <v>4.8531284299715427E-3</v>
      </c>
      <c r="I137" s="86">
        <f t="shared" si="75"/>
        <v>1.000001962742586</v>
      </c>
      <c r="J137" s="108">
        <f t="shared" si="76"/>
        <v>-87.965985984766576</v>
      </c>
      <c r="K137" s="108">
        <f t="shared" si="77"/>
        <v>-2.480241182020261</v>
      </c>
      <c r="L137" s="108">
        <f t="shared" si="78"/>
        <v>40.802147566272353</v>
      </c>
      <c r="M137" s="95">
        <f t="shared" si="98"/>
        <v>-2005.1403919680122</v>
      </c>
      <c r="N137" s="95">
        <f t="shared" si="98"/>
        <v>-744.55445397804135</v>
      </c>
      <c r="O137" s="95">
        <f t="shared" si="98"/>
        <v>8441.047192464237</v>
      </c>
      <c r="Q137" s="18">
        <f t="shared" si="94"/>
        <v>9303</v>
      </c>
      <c r="R137" s="93">
        <f t="shared" si="82"/>
        <v>10</v>
      </c>
      <c r="S137" s="93">
        <f t="shared" si="91"/>
        <v>97</v>
      </c>
      <c r="T137" s="93">
        <f t="shared" si="92"/>
        <v>5.0032251855376729E-4</v>
      </c>
      <c r="U137" s="109">
        <f t="shared" si="83"/>
        <v>1.1372686841071484</v>
      </c>
      <c r="V137" s="112">
        <f t="shared" si="96"/>
        <v>65.160695771736442</v>
      </c>
      <c r="W137" s="93">
        <f t="shared" si="84"/>
        <v>-3.111396317340541</v>
      </c>
      <c r="X137" s="112">
        <f t="shared" si="80"/>
        <v>181.73012262384003</v>
      </c>
      <c r="Y137" s="110"/>
      <c r="Z137" s="86">
        <f t="shared" si="81"/>
        <v>1.0000000208602191</v>
      </c>
      <c r="AA137" s="108">
        <f t="shared" si="85"/>
        <v>-9.0710272364540749</v>
      </c>
      <c r="AB137" s="108">
        <f t="shared" si="86"/>
        <v>-0.27636241957349461</v>
      </c>
      <c r="AC137" s="108">
        <f t="shared" si="87"/>
        <v>4.2000103098128223</v>
      </c>
      <c r="AD137" s="110">
        <f t="shared" si="88"/>
        <v>-1926.2454332196996</v>
      </c>
      <c r="AE137" s="110">
        <f t="shared" si="89"/>
        <v>-742.35057521559463</v>
      </c>
      <c r="AF137" s="110">
        <f t="shared" si="90"/>
        <v>8404.4450552077778</v>
      </c>
    </row>
    <row r="138" spans="1:32" x14ac:dyDescent="0.2">
      <c r="A138" s="3">
        <v>9484</v>
      </c>
      <c r="B138" s="3">
        <v>65.16</v>
      </c>
      <c r="C138" s="3">
        <v>181.43</v>
      </c>
      <c r="E138" s="93">
        <f t="shared" si="93"/>
        <v>1.137256540599505</v>
      </c>
      <c r="F138" s="93">
        <f t="shared" si="93"/>
        <v>3.1665508618933123</v>
      </c>
      <c r="H138" s="86">
        <f t="shared" si="74"/>
        <v>1.5331892718604134E-3</v>
      </c>
      <c r="I138" s="86">
        <f t="shared" si="75"/>
        <v>1.000000195889158</v>
      </c>
      <c r="J138" s="108">
        <f t="shared" si="76"/>
        <v>-85.248631851444642</v>
      </c>
      <c r="K138" s="108">
        <f t="shared" si="77"/>
        <v>-2.1578615519623598</v>
      </c>
      <c r="L138" s="108">
        <f t="shared" si="78"/>
        <v>39.547600054913119</v>
      </c>
      <c r="M138" s="95">
        <f t="shared" si="98"/>
        <v>-2090.3890238194567</v>
      </c>
      <c r="N138" s="95">
        <f t="shared" si="98"/>
        <v>-746.71231553000371</v>
      </c>
      <c r="O138" s="95">
        <f t="shared" si="98"/>
        <v>8480.5947925191504</v>
      </c>
      <c r="Q138" s="18">
        <f t="shared" si="94"/>
        <v>9400</v>
      </c>
      <c r="R138" s="93">
        <f t="shared" si="82"/>
        <v>10</v>
      </c>
      <c r="S138" s="93">
        <f t="shared" si="91"/>
        <v>94</v>
      </c>
      <c r="T138" s="93">
        <f t="shared" si="92"/>
        <v>1.6310524168727802E-4</v>
      </c>
      <c r="U138" s="109">
        <f t="shared" si="83"/>
        <v>1.1360088070097265</v>
      </c>
      <c r="V138" s="112">
        <f t="shared" si="96"/>
        <v>65.088510131348983</v>
      </c>
      <c r="W138" s="93">
        <f t="shared" si="84"/>
        <v>-3.1160106259181406</v>
      </c>
      <c r="X138" s="112">
        <f t="shared" si="80"/>
        <v>181.46574221697259</v>
      </c>
      <c r="Y138" s="110"/>
      <c r="Z138" s="86">
        <f t="shared" si="81"/>
        <v>1.0000000022169433</v>
      </c>
      <c r="AA138" s="108">
        <f t="shared" si="85"/>
        <v>-9.0663066637447063</v>
      </c>
      <c r="AB138" s="108">
        <f t="shared" si="86"/>
        <v>-0.23232219539772217</v>
      </c>
      <c r="AC138" s="108">
        <f t="shared" si="87"/>
        <v>4.2128505379101169</v>
      </c>
      <c r="AD138" s="110">
        <f t="shared" si="88"/>
        <v>-2014.2066986317568</v>
      </c>
      <c r="AE138" s="110">
        <f t="shared" si="89"/>
        <v>-744.78677617343908</v>
      </c>
      <c r="AF138" s="110">
        <f t="shared" si="90"/>
        <v>8445.2600430021466</v>
      </c>
    </row>
    <row r="139" spans="1:32" x14ac:dyDescent="0.2">
      <c r="A139" s="3">
        <v>9580</v>
      </c>
      <c r="B139" s="3">
        <v>65.16</v>
      </c>
      <c r="C139" s="3">
        <v>181.15</v>
      </c>
      <c r="E139" s="93">
        <f t="shared" si="93"/>
        <v>1.137256540599505</v>
      </c>
      <c r="F139" s="93">
        <f t="shared" si="93"/>
        <v>3.161663939987728</v>
      </c>
      <c r="H139" s="86">
        <f t="shared" si="74"/>
        <v>4.4348047344853203E-3</v>
      </c>
      <c r="I139" s="86">
        <f t="shared" si="75"/>
        <v>1.000001638960976</v>
      </c>
      <c r="J139" s="108">
        <f t="shared" si="76"/>
        <v>-87.096307643115864</v>
      </c>
      <c r="K139" s="108">
        <f t="shared" si="77"/>
        <v>-1.9612827734319831</v>
      </c>
      <c r="L139" s="108">
        <f t="shared" si="78"/>
        <v>40.328296023928502</v>
      </c>
      <c r="M139" s="95">
        <f t="shared" si="98"/>
        <v>-2177.4853314625725</v>
      </c>
      <c r="N139" s="95">
        <f t="shared" si="98"/>
        <v>-748.67359830343571</v>
      </c>
      <c r="O139" s="95">
        <f t="shared" si="98"/>
        <v>8520.9230885430788</v>
      </c>
      <c r="Q139" s="18">
        <f t="shared" si="94"/>
        <v>9494</v>
      </c>
      <c r="R139" s="93">
        <f t="shared" si="82"/>
        <v>10</v>
      </c>
      <c r="S139" s="93">
        <f t="shared" si="91"/>
        <v>96</v>
      </c>
      <c r="T139" s="93">
        <f t="shared" si="92"/>
        <v>4.6195882650888753E-4</v>
      </c>
      <c r="U139" s="109">
        <f t="shared" si="83"/>
        <v>1.1372561158092322</v>
      </c>
      <c r="V139" s="112">
        <f t="shared" si="96"/>
        <v>65.159975661310185</v>
      </c>
      <c r="W139" s="93">
        <f t="shared" si="84"/>
        <v>-3.1171434993978502</v>
      </c>
      <c r="X139" s="112">
        <f t="shared" si="80"/>
        <v>181.40083334786291</v>
      </c>
      <c r="Y139" s="110"/>
      <c r="Z139" s="86">
        <f t="shared" si="81"/>
        <v>1.0000000177838302</v>
      </c>
      <c r="AA139" s="108">
        <f t="shared" si="85"/>
        <v>-9.0720743006586524</v>
      </c>
      <c r="AB139" s="108">
        <f t="shared" si="86"/>
        <v>-0.22415923321956974</v>
      </c>
      <c r="AC139" s="108">
        <f t="shared" si="87"/>
        <v>4.200859286278023</v>
      </c>
      <c r="AD139" s="110">
        <f t="shared" si="88"/>
        <v>-2099.4610981201154</v>
      </c>
      <c r="AE139" s="110">
        <f t="shared" si="89"/>
        <v>-746.93647476322326</v>
      </c>
      <c r="AF139" s="110">
        <f t="shared" si="90"/>
        <v>8484.7956518054289</v>
      </c>
    </row>
    <row r="140" spans="1:32" x14ac:dyDescent="0.2">
      <c r="A140" s="3">
        <v>9678</v>
      </c>
      <c r="B140" s="3">
        <v>65.09</v>
      </c>
      <c r="C140" s="3">
        <v>180.63</v>
      </c>
      <c r="E140" s="93">
        <f t="shared" si="93"/>
        <v>1.1360348101231093</v>
      </c>
      <c r="F140" s="93">
        <f t="shared" si="93"/>
        <v>3.1525882278773576</v>
      </c>
      <c r="H140" s="86">
        <f t="shared" si="74"/>
        <v>8.3238784268775401E-3</v>
      </c>
      <c r="I140" s="86">
        <f t="shared" si="75"/>
        <v>1.0000057739526782</v>
      </c>
      <c r="J140" s="108">
        <f t="shared" si="76"/>
        <v>-88.897162283881144</v>
      </c>
      <c r="K140" s="108">
        <f t="shared" si="77"/>
        <v>-1.3811032357541797</v>
      </c>
      <c r="L140" s="108">
        <f t="shared" si="78"/>
        <v>41.222950394122194</v>
      </c>
      <c r="M140" s="95">
        <f t="shared" si="98"/>
        <v>-2266.3824937464537</v>
      </c>
      <c r="N140" s="95">
        <f t="shared" si="98"/>
        <v>-750.05470153918986</v>
      </c>
      <c r="O140" s="95">
        <f t="shared" si="98"/>
        <v>8562.1460389372005</v>
      </c>
      <c r="P140" s="86"/>
      <c r="Q140" s="18">
        <v>9670</v>
      </c>
      <c r="R140" s="93">
        <f t="shared" si="82"/>
        <v>90</v>
      </c>
      <c r="S140" s="93">
        <f t="shared" si="91"/>
        <v>98</v>
      </c>
      <c r="T140" s="93">
        <f t="shared" si="92"/>
        <v>7.644378147132435E-3</v>
      </c>
      <c r="U140" s="109">
        <f t="shared" si="83"/>
        <v>1.1361333642516338</v>
      </c>
      <c r="V140" s="112">
        <f t="shared" si="96"/>
        <v>65.095646735618061</v>
      </c>
      <c r="W140" s="93">
        <f t="shared" si="84"/>
        <v>-3.1298558205769735</v>
      </c>
      <c r="X140" s="112">
        <f t="shared" si="80"/>
        <v>180.67247099648438</v>
      </c>
      <c r="Y140" s="110"/>
      <c r="Z140" s="86">
        <f t="shared" si="81"/>
        <v>1.0000048697382284</v>
      </c>
      <c r="AA140" s="108">
        <f t="shared" si="85"/>
        <v>-81.641701046653111</v>
      </c>
      <c r="AB140" s="108">
        <f t="shared" si="86"/>
        <v>-1.2986325727127266</v>
      </c>
      <c r="AC140" s="108">
        <f t="shared" si="87"/>
        <v>37.853754887430867</v>
      </c>
      <c r="AD140" s="110">
        <f t="shared" si="88"/>
        <v>-2259.1270325092255</v>
      </c>
      <c r="AE140" s="110">
        <f t="shared" si="89"/>
        <v>-749.97223087614839</v>
      </c>
      <c r="AF140" s="110">
        <f t="shared" si="90"/>
        <v>8558.776843430509</v>
      </c>
    </row>
    <row r="141" spans="1:32" x14ac:dyDescent="0.2">
      <c r="A141" s="3">
        <v>9774</v>
      </c>
      <c r="B141" s="3">
        <v>65.13</v>
      </c>
      <c r="C141" s="3">
        <v>180.28</v>
      </c>
      <c r="E141" s="93">
        <f t="shared" si="93"/>
        <v>1.1367329418239067</v>
      </c>
      <c r="F141" s="93">
        <f t="shared" si="93"/>
        <v>3.1464795754953774</v>
      </c>
      <c r="H141" s="86">
        <f t="shared" si="74"/>
        <v>5.5850685746587914E-3</v>
      </c>
      <c r="I141" s="86">
        <f t="shared" si="75"/>
        <v>1.0000025994240236</v>
      </c>
      <c r="J141" s="108">
        <f t="shared" si="76"/>
        <v>-87.080347910323837</v>
      </c>
      <c r="K141" s="108">
        <f t="shared" si="77"/>
        <v>-0.69149810531142175</v>
      </c>
      <c r="L141" s="108">
        <f t="shared" si="78"/>
        <v>40.404342365581712</v>
      </c>
      <c r="M141" s="95">
        <f t="shared" si="98"/>
        <v>-2353.4628416567775</v>
      </c>
      <c r="N141" s="95">
        <f t="shared" si="98"/>
        <v>-750.7461996445013</v>
      </c>
      <c r="O141" s="95">
        <f t="shared" si="98"/>
        <v>8602.5503813027826</v>
      </c>
      <c r="P141" s="86"/>
      <c r="Q141" s="18">
        <f t="shared" si="94"/>
        <v>9688</v>
      </c>
      <c r="R141" s="93">
        <f t="shared" si="82"/>
        <v>10</v>
      </c>
      <c r="S141" s="93">
        <f t="shared" si="91"/>
        <v>96</v>
      </c>
      <c r="T141" s="93">
        <f t="shared" si="92"/>
        <v>5.8177797652695751E-4</v>
      </c>
      <c r="U141" s="109">
        <f t="shared" si="83"/>
        <v>1.136106867240569</v>
      </c>
      <c r="V141" s="112">
        <f t="shared" si="96"/>
        <v>65.094128568714325</v>
      </c>
      <c r="W141" s="93">
        <f t="shared" si="84"/>
        <v>-3.1312335814641452</v>
      </c>
      <c r="X141" s="112">
        <f t="shared" si="80"/>
        <v>180.59353111247125</v>
      </c>
      <c r="Y141" s="110"/>
      <c r="Z141" s="86">
        <f t="shared" si="81"/>
        <v>1.0000000282054686</v>
      </c>
      <c r="AA141" s="108">
        <f t="shared" si="85"/>
        <v>-9.0693396934220534</v>
      </c>
      <c r="AB141" s="108">
        <f t="shared" si="86"/>
        <v>-9.6839902998479319E-2</v>
      </c>
      <c r="AC141" s="108">
        <f t="shared" si="87"/>
        <v>4.2116145049089688</v>
      </c>
      <c r="AD141" s="110">
        <f t="shared" si="88"/>
        <v>-2275.4518334398758</v>
      </c>
      <c r="AE141" s="110">
        <f t="shared" si="89"/>
        <v>-750.15154144218832</v>
      </c>
      <c r="AF141" s="110">
        <f t="shared" si="90"/>
        <v>8566.3576534421099</v>
      </c>
    </row>
    <row r="142" spans="1:32" x14ac:dyDescent="0.2">
      <c r="A142" s="3">
        <v>9870</v>
      </c>
      <c r="B142" s="3">
        <v>65.19</v>
      </c>
      <c r="C142" s="3">
        <v>180.25</v>
      </c>
      <c r="E142" s="93">
        <f t="shared" si="93"/>
        <v>1.1377801393751035</v>
      </c>
      <c r="F142" s="93">
        <f t="shared" si="93"/>
        <v>3.1459559767197791</v>
      </c>
      <c r="H142" s="86">
        <f t="shared" si="74"/>
        <v>1.149955454778917E-3</v>
      </c>
      <c r="I142" s="86">
        <f t="shared" si="75"/>
        <v>1.0000001101998104</v>
      </c>
      <c r="J142" s="108">
        <f t="shared" si="76"/>
        <v>-87.117567647155894</v>
      </c>
      <c r="K142" s="108">
        <f t="shared" si="77"/>
        <v>-0.40292676880102618</v>
      </c>
      <c r="L142" s="108">
        <f t="shared" si="78"/>
        <v>40.328228843589613</v>
      </c>
      <c r="M142" s="95">
        <f t="shared" si="98"/>
        <v>-2440.5804093039333</v>
      </c>
      <c r="N142" s="95">
        <f t="shared" si="98"/>
        <v>-751.14912641330238</v>
      </c>
      <c r="O142" s="95">
        <f t="shared" si="98"/>
        <v>8642.878610146372</v>
      </c>
      <c r="P142" s="86"/>
      <c r="Q142" s="18">
        <f t="shared" si="94"/>
        <v>9784</v>
      </c>
      <c r="R142" s="93">
        <f t="shared" si="82"/>
        <v>10</v>
      </c>
      <c r="S142" s="93">
        <f t="shared" si="91"/>
        <v>96</v>
      </c>
      <c r="T142" s="93">
        <f t="shared" si="92"/>
        <v>1.1978702653947053E-4</v>
      </c>
      <c r="U142" s="109">
        <f t="shared" si="83"/>
        <v>1.1368420200233533</v>
      </c>
      <c r="V142" s="112">
        <f t="shared" si="96"/>
        <v>65.136249720465173</v>
      </c>
      <c r="W142" s="93">
        <f t="shared" si="84"/>
        <v>-3.1367602969201105</v>
      </c>
      <c r="X142" s="112">
        <f t="shared" si="80"/>
        <v>180.27687364227472</v>
      </c>
      <c r="Y142" s="110"/>
      <c r="Z142" s="86">
        <f t="shared" si="81"/>
        <v>1.0000000011957444</v>
      </c>
      <c r="AA142" s="108">
        <f t="shared" si="85"/>
        <v>-9.0727656557288423</v>
      </c>
      <c r="AB142" s="108">
        <f t="shared" si="86"/>
        <v>-4.4090709254957713E-2</v>
      </c>
      <c r="AC142" s="108">
        <f t="shared" si="87"/>
        <v>4.2051134641065442</v>
      </c>
      <c r="AD142" s="110">
        <f t="shared" si="88"/>
        <v>-2362.5356073125063</v>
      </c>
      <c r="AE142" s="110">
        <f t="shared" si="89"/>
        <v>-750.79029035375629</v>
      </c>
      <c r="AF142" s="110">
        <f t="shared" si="90"/>
        <v>8606.7554947668887</v>
      </c>
    </row>
    <row r="143" spans="1:32" x14ac:dyDescent="0.2">
      <c r="A143" s="3">
        <v>9964</v>
      </c>
      <c r="B143" s="3">
        <v>65.12</v>
      </c>
      <c r="C143" s="3">
        <v>180.36</v>
      </c>
      <c r="E143" s="93">
        <f t="shared" si="93"/>
        <v>1.1365584088987075</v>
      </c>
      <c r="F143" s="93">
        <f t="shared" si="93"/>
        <v>3.1478758388969732</v>
      </c>
      <c r="H143" s="86">
        <f t="shared" si="74"/>
        <v>2.1278620802149817E-3</v>
      </c>
      <c r="I143" s="86">
        <f t="shared" si="75"/>
        <v>1.0000003773165902</v>
      </c>
      <c r="J143" s="108">
        <f t="shared" si="76"/>
        <v>-85.298858118868012</v>
      </c>
      <c r="K143" s="108">
        <f t="shared" si="77"/>
        <v>-0.4540486353042294</v>
      </c>
      <c r="L143" s="108">
        <f t="shared" si="78"/>
        <v>39.495509991473995</v>
      </c>
      <c r="M143" s="95">
        <f t="shared" si="98"/>
        <v>-2525.8792674228011</v>
      </c>
      <c r="N143" s="95">
        <f t="shared" si="98"/>
        <v>-751.60317504860666</v>
      </c>
      <c r="O143" s="95">
        <f t="shared" si="98"/>
        <v>8682.3741201378452</v>
      </c>
      <c r="P143" s="86"/>
      <c r="Q143" s="18">
        <f t="shared" si="94"/>
        <v>9880</v>
      </c>
      <c r="R143" s="93">
        <f t="shared" si="82"/>
        <v>10</v>
      </c>
      <c r="S143" s="93">
        <f t="shared" si="91"/>
        <v>94</v>
      </c>
      <c r="T143" s="93">
        <f t="shared" si="92"/>
        <v>2.2636830640584911E-4</v>
      </c>
      <c r="U143" s="109">
        <f t="shared" si="83"/>
        <v>1.137650101286011</v>
      </c>
      <c r="V143" s="112">
        <f t="shared" si="96"/>
        <v>65.182549366319051</v>
      </c>
      <c r="W143" s="93">
        <f t="shared" si="84"/>
        <v>-3.1370251930041118</v>
      </c>
      <c r="X143" s="112">
        <f t="shared" si="80"/>
        <v>180.26169621465189</v>
      </c>
      <c r="Y143" s="110"/>
      <c r="Z143" s="86">
        <f t="shared" si="81"/>
        <v>1.0000000042702175</v>
      </c>
      <c r="AA143" s="108">
        <f t="shared" si="85"/>
        <v>-9.076679197572691</v>
      </c>
      <c r="AB143" s="108">
        <f t="shared" si="86"/>
        <v>-4.0531170927739259E-2</v>
      </c>
      <c r="AC143" s="108">
        <f t="shared" si="87"/>
        <v>4.1966953119701982</v>
      </c>
      <c r="AD143" s="110">
        <f t="shared" si="88"/>
        <v>-2449.6570885015058</v>
      </c>
      <c r="AE143" s="110">
        <f t="shared" si="89"/>
        <v>-751.18965758423008</v>
      </c>
      <c r="AF143" s="110">
        <f t="shared" si="90"/>
        <v>8647.075305458342</v>
      </c>
    </row>
    <row r="144" spans="1:32" x14ac:dyDescent="0.2">
      <c r="A144" s="3">
        <v>10062</v>
      </c>
      <c r="B144" s="3">
        <v>65.33</v>
      </c>
      <c r="C144" s="3">
        <v>180.52</v>
      </c>
      <c r="E144" s="93">
        <f t="shared" si="93"/>
        <v>1.1402236003278954</v>
      </c>
      <c r="F144" s="93">
        <f t="shared" si="93"/>
        <v>3.150668365700164</v>
      </c>
      <c r="H144" s="86">
        <f t="shared" si="74"/>
        <v>4.4567247103939334E-3</v>
      </c>
      <c r="I144" s="86">
        <f t="shared" si="75"/>
        <v>1.000001655202883</v>
      </c>
      <c r="J144" s="108">
        <f t="shared" si="76"/>
        <v>-88.977407019124939</v>
      </c>
      <c r="K144" s="108">
        <f t="shared" si="77"/>
        <v>-0.68341595209943529</v>
      </c>
      <c r="L144" s="108">
        <f t="shared" si="78"/>
        <v>41.067482102790329</v>
      </c>
      <c r="M144" s="95">
        <f t="shared" si="98"/>
        <v>-2614.8566744419259</v>
      </c>
      <c r="N144" s="95">
        <f t="shared" si="98"/>
        <v>-752.28659100070604</v>
      </c>
      <c r="O144" s="95">
        <f t="shared" si="98"/>
        <v>8723.4416022406349</v>
      </c>
      <c r="P144" s="86"/>
      <c r="Q144" s="18">
        <f t="shared" si="94"/>
        <v>9974</v>
      </c>
      <c r="R144" s="93">
        <f t="shared" si="82"/>
        <v>10</v>
      </c>
      <c r="S144" s="93">
        <f t="shared" si="91"/>
        <v>98</v>
      </c>
      <c r="T144" s="93">
        <f t="shared" si="92"/>
        <v>4.5476782759121769E-4</v>
      </c>
      <c r="U144" s="109">
        <f t="shared" si="83"/>
        <v>1.1369322718533033</v>
      </c>
      <c r="V144" s="112">
        <f t="shared" si="96"/>
        <v>65.141420769414637</v>
      </c>
      <c r="W144" s="93">
        <f t="shared" si="84"/>
        <v>-3.135024083023553</v>
      </c>
      <c r="X144" s="112">
        <f t="shared" si="80"/>
        <v>180.37635137087943</v>
      </c>
      <c r="Y144" s="110"/>
      <c r="Z144" s="86">
        <f t="shared" si="81"/>
        <v>1.0000000172344818</v>
      </c>
      <c r="AA144" s="108">
        <f t="shared" si="85"/>
        <v>-9.0725081715332241</v>
      </c>
      <c r="AB144" s="108">
        <f t="shared" si="86"/>
        <v>-5.829974470526178E-2</v>
      </c>
      <c r="AC144" s="108">
        <f t="shared" si="87"/>
        <v>4.2054957964290116</v>
      </c>
      <c r="AD144" s="110">
        <f t="shared" si="88"/>
        <v>-2534.9517755943343</v>
      </c>
      <c r="AE144" s="110">
        <f t="shared" si="89"/>
        <v>-751.66147479331187</v>
      </c>
      <c r="AF144" s="110">
        <f t="shared" si="90"/>
        <v>8686.5796159342735</v>
      </c>
    </row>
    <row r="145" spans="1:32" x14ac:dyDescent="0.2">
      <c r="A145" s="3">
        <v>10157</v>
      </c>
      <c r="B145" s="3">
        <v>65.319999999999993</v>
      </c>
      <c r="C145" s="3">
        <v>180.77</v>
      </c>
      <c r="E145" s="93">
        <f t="shared" si="93"/>
        <v>1.140049067402696</v>
      </c>
      <c r="F145" s="93">
        <f t="shared" si="93"/>
        <v>3.1550316888301495</v>
      </c>
      <c r="H145" s="86">
        <f t="shared" si="74"/>
        <v>3.9687489290285427E-3</v>
      </c>
      <c r="I145" s="86">
        <f t="shared" si="75"/>
        <v>1.0000013125827394</v>
      </c>
      <c r="J145" s="108">
        <f t="shared" si="76"/>
        <v>-86.320027629613648</v>
      </c>
      <c r="K145" s="108">
        <f t="shared" si="77"/>
        <v>-0.97177030654758045</v>
      </c>
      <c r="L145" s="108">
        <f t="shared" si="78"/>
        <v>39.659761048948667</v>
      </c>
      <c r="M145" s="95">
        <f t="shared" si="98"/>
        <v>-2701.1767020715397</v>
      </c>
      <c r="N145" s="95">
        <f t="shared" si="98"/>
        <v>-753.25836130725361</v>
      </c>
      <c r="O145" s="95">
        <f t="shared" si="98"/>
        <v>8763.1013632895829</v>
      </c>
      <c r="P145" s="86"/>
      <c r="Q145" s="18">
        <f t="shared" si="94"/>
        <v>10072</v>
      </c>
      <c r="R145" s="93">
        <f t="shared" si="82"/>
        <v>10</v>
      </c>
      <c r="S145" s="93">
        <f t="shared" si="91"/>
        <v>95</v>
      </c>
      <c r="T145" s="93">
        <f t="shared" si="92"/>
        <v>4.1776304516089919E-4</v>
      </c>
      <c r="U145" s="109">
        <f t="shared" si="83"/>
        <v>1.1402048883592077</v>
      </c>
      <c r="V145" s="112">
        <f t="shared" si="96"/>
        <v>65.328927883167808</v>
      </c>
      <c r="W145" s="93">
        <f t="shared" si="84"/>
        <v>-3.1320576774361744</v>
      </c>
      <c r="X145" s="112">
        <f t="shared" si="80"/>
        <v>180.54631389136023</v>
      </c>
      <c r="Y145" s="110"/>
      <c r="Z145" s="86">
        <f t="shared" si="81"/>
        <v>1.0000000145438304</v>
      </c>
      <c r="AA145" s="108">
        <f t="shared" si="85"/>
        <v>-9.0868358913196339</v>
      </c>
      <c r="AB145" s="108">
        <f t="shared" si="86"/>
        <v>-8.455856671210682E-2</v>
      </c>
      <c r="AC145" s="108">
        <f t="shared" si="87"/>
        <v>4.1739983084133963</v>
      </c>
      <c r="AD145" s="110">
        <f t="shared" si="88"/>
        <v>-2623.9435103332453</v>
      </c>
      <c r="AE145" s="110">
        <f t="shared" si="89"/>
        <v>-752.37114956741812</v>
      </c>
      <c r="AF145" s="110">
        <f t="shared" si="90"/>
        <v>8727.6156005490484</v>
      </c>
    </row>
    <row r="146" spans="1:32" x14ac:dyDescent="0.2">
      <c r="A146" s="3">
        <v>10254</v>
      </c>
      <c r="B146" s="3">
        <v>65.27</v>
      </c>
      <c r="C146" s="3">
        <v>181.07</v>
      </c>
      <c r="E146" s="93">
        <f t="shared" si="93"/>
        <v>1.1391764027766988</v>
      </c>
      <c r="F146" s="93">
        <f t="shared" si="93"/>
        <v>3.1602676765861326</v>
      </c>
      <c r="H146" s="86">
        <f t="shared" si="74"/>
        <v>4.8361318977572232E-3</v>
      </c>
      <c r="I146" s="86">
        <f t="shared" si="75"/>
        <v>1.0000019490188694</v>
      </c>
      <c r="J146" s="108">
        <f t="shared" si="76"/>
        <v>-88.110257946641184</v>
      </c>
      <c r="K146" s="108">
        <f t="shared" si="77"/>
        <v>-1.4148642644602363</v>
      </c>
      <c r="L146" s="108">
        <f t="shared" si="78"/>
        <v>40.540871542532877</v>
      </c>
      <c r="M146" s="95">
        <f t="shared" si="98"/>
        <v>-2789.2869600181807</v>
      </c>
      <c r="N146" s="95">
        <f t="shared" si="98"/>
        <v>-754.67322557171383</v>
      </c>
      <c r="O146" s="95">
        <f t="shared" si="98"/>
        <v>8803.6422348321157</v>
      </c>
      <c r="P146" s="86"/>
      <c r="Q146" s="18">
        <f t="shared" si="94"/>
        <v>10167</v>
      </c>
      <c r="R146" s="93">
        <f t="shared" si="82"/>
        <v>10</v>
      </c>
      <c r="S146" s="93">
        <f t="shared" si="91"/>
        <v>97</v>
      </c>
      <c r="T146" s="93">
        <f t="shared" si="92"/>
        <v>4.9857029873785806E-4</v>
      </c>
      <c r="U146" s="109">
        <f t="shared" si="83"/>
        <v>1.1399586209192172</v>
      </c>
      <c r="V146" s="112">
        <f t="shared" si="96"/>
        <v>65.314817798224865</v>
      </c>
      <c r="W146" s="93">
        <f t="shared" si="84"/>
        <v>-3.1276140203951202</v>
      </c>
      <c r="X146" s="112">
        <f t="shared" si="80"/>
        <v>180.80091668541624</v>
      </c>
      <c r="Y146" s="110"/>
      <c r="Z146" s="86">
        <f t="shared" si="81"/>
        <v>1.0000000207143624</v>
      </c>
      <c r="AA146" s="108">
        <f t="shared" si="85"/>
        <v>-9.0854970677272782</v>
      </c>
      <c r="AB146" s="108">
        <f t="shared" si="86"/>
        <v>-0.12455932513029994</v>
      </c>
      <c r="AC146" s="108">
        <f t="shared" si="87"/>
        <v>4.1759101924497815</v>
      </c>
      <c r="AD146" s="110">
        <f t="shared" si="88"/>
        <v>-2710.2621991392671</v>
      </c>
      <c r="AE146" s="110">
        <f t="shared" si="89"/>
        <v>-753.38292063238396</v>
      </c>
      <c r="AF146" s="110">
        <f t="shared" si="90"/>
        <v>8767.2772734820319</v>
      </c>
    </row>
    <row r="147" spans="1:32" x14ac:dyDescent="0.2">
      <c r="A147" s="3">
        <v>10350</v>
      </c>
      <c r="B147" s="3">
        <v>65.36</v>
      </c>
      <c r="C147" s="3">
        <v>181.21</v>
      </c>
      <c r="E147" s="93">
        <f t="shared" si="93"/>
        <v>1.1407471991034939</v>
      </c>
      <c r="F147" s="93">
        <f t="shared" si="93"/>
        <v>3.1627111375389245</v>
      </c>
      <c r="H147" s="86">
        <f t="shared" si="74"/>
        <v>2.7196618278277906E-3</v>
      </c>
      <c r="I147" s="86">
        <f t="shared" si="75"/>
        <v>1.0000006163804942</v>
      </c>
      <c r="J147" s="108">
        <f t="shared" si="76"/>
        <v>-87.209979970164227</v>
      </c>
      <c r="K147" s="108">
        <f t="shared" si="77"/>
        <v>-1.7354629630372063</v>
      </c>
      <c r="L147" s="108">
        <f t="shared" si="78"/>
        <v>40.092416756170387</v>
      </c>
      <c r="M147" s="95">
        <f t="shared" si="98"/>
        <v>-2876.4969399883448</v>
      </c>
      <c r="N147" s="95">
        <f t="shared" si="98"/>
        <v>-756.40868853475104</v>
      </c>
      <c r="O147" s="95">
        <f t="shared" si="98"/>
        <v>8843.7346515882855</v>
      </c>
      <c r="P147" s="86"/>
      <c r="Q147" s="18">
        <f t="shared" si="94"/>
        <v>10264</v>
      </c>
      <c r="R147" s="93">
        <f t="shared" si="82"/>
        <v>10</v>
      </c>
      <c r="S147" s="93">
        <f t="shared" si="91"/>
        <v>96</v>
      </c>
      <c r="T147" s="93">
        <f t="shared" si="92"/>
        <v>2.8329810706539488E-4</v>
      </c>
      <c r="U147" s="109">
        <f t="shared" si="83"/>
        <v>1.1393399216079083</v>
      </c>
      <c r="V147" s="112">
        <f t="shared" si="96"/>
        <v>65.279368938899211</v>
      </c>
      <c r="W147" s="93">
        <f t="shared" si="84"/>
        <v>-3.1226629386976268</v>
      </c>
      <c r="X147" s="112">
        <f t="shared" si="80"/>
        <v>181.08459277070708</v>
      </c>
      <c r="Y147" s="110"/>
      <c r="Z147" s="86">
        <f t="shared" si="81"/>
        <v>1.0000000066881516</v>
      </c>
      <c r="AA147" s="108">
        <f t="shared" si="85"/>
        <v>-9.0816289967748194</v>
      </c>
      <c r="AB147" s="108">
        <f t="shared" si="86"/>
        <v>-0.17077630783494335</v>
      </c>
      <c r="AC147" s="108">
        <f t="shared" si="87"/>
        <v>4.1826844907076053</v>
      </c>
      <c r="AD147" s="110">
        <f t="shared" si="88"/>
        <v>-2798.3685890149554</v>
      </c>
      <c r="AE147" s="110">
        <f t="shared" si="89"/>
        <v>-754.84400187954873</v>
      </c>
      <c r="AF147" s="110">
        <f t="shared" si="90"/>
        <v>8807.8249193228239</v>
      </c>
    </row>
    <row r="148" spans="1:32" x14ac:dyDescent="0.2">
      <c r="A148" s="3">
        <v>10446</v>
      </c>
      <c r="B148" s="3">
        <v>65.33</v>
      </c>
      <c r="C148" s="3">
        <v>181.18</v>
      </c>
      <c r="E148" s="93">
        <f t="shared" ref="E148:F211" si="99">RADIANS(B148)</f>
        <v>1.1402236003278954</v>
      </c>
      <c r="F148" s="93">
        <f t="shared" si="99"/>
        <v>3.1621875387633263</v>
      </c>
      <c r="H148" s="86">
        <f t="shared" si="74"/>
        <v>7.0753346769714121E-4</v>
      </c>
      <c r="I148" s="86">
        <f t="shared" si="75"/>
        <v>1.0000000417169694</v>
      </c>
      <c r="J148" s="108">
        <f t="shared" si="76"/>
        <v>-87.229286311711178</v>
      </c>
      <c r="K148" s="108">
        <f t="shared" si="77"/>
        <v>-1.8195803016503262</v>
      </c>
      <c r="L148" s="108">
        <f t="shared" si="78"/>
        <v>40.046727114856715</v>
      </c>
      <c r="M148" s="95">
        <f t="shared" si="98"/>
        <v>-2963.7262263000562</v>
      </c>
      <c r="N148" s="95">
        <f t="shared" si="98"/>
        <v>-758.22826883640141</v>
      </c>
      <c r="O148" s="95">
        <f t="shared" si="98"/>
        <v>8883.7813787031428</v>
      </c>
      <c r="P148" s="86"/>
      <c r="Q148" s="18">
        <f t="shared" si="94"/>
        <v>10360</v>
      </c>
      <c r="R148" s="93">
        <f t="shared" si="82"/>
        <v>10</v>
      </c>
      <c r="S148" s="93">
        <f t="shared" si="91"/>
        <v>96</v>
      </c>
      <c r="T148" s="93">
        <f t="shared" si="92"/>
        <v>7.370140288511888E-5</v>
      </c>
      <c r="U148" s="109">
        <f t="shared" si="83"/>
        <v>1.1406926527159749</v>
      </c>
      <c r="V148" s="112">
        <f t="shared" si="96"/>
        <v>65.356874722207479</v>
      </c>
      <c r="W148" s="93">
        <f t="shared" si="84"/>
        <v>-3.1205286994397849</v>
      </c>
      <c r="X148" s="112">
        <f t="shared" si="80"/>
        <v>181.20687567265256</v>
      </c>
      <c r="Y148" s="110"/>
      <c r="Z148" s="86">
        <f t="shared" si="81"/>
        <v>1.0000000004526581</v>
      </c>
      <c r="AA148" s="108">
        <f t="shared" si="85"/>
        <v>-9.0873174008711644</v>
      </c>
      <c r="AB148" s="108">
        <f t="shared" si="86"/>
        <v>-0.19169102973359864</v>
      </c>
      <c r="AC148" s="108">
        <f t="shared" si="87"/>
        <v>4.1694024703400894</v>
      </c>
      <c r="AD148" s="110">
        <f t="shared" si="88"/>
        <v>-2885.584257389216</v>
      </c>
      <c r="AE148" s="110">
        <f t="shared" si="89"/>
        <v>-756.60037956448468</v>
      </c>
      <c r="AF148" s="110">
        <f t="shared" si="90"/>
        <v>8847.9040540586248</v>
      </c>
    </row>
    <row r="149" spans="1:32" x14ac:dyDescent="0.2">
      <c r="A149" s="3">
        <v>10541</v>
      </c>
      <c r="B149" s="3">
        <v>65.319999999999993</v>
      </c>
      <c r="C149" s="3">
        <v>181.24</v>
      </c>
      <c r="E149" s="93">
        <f t="shared" si="99"/>
        <v>1.140049067402696</v>
      </c>
      <c r="F149" s="93">
        <f t="shared" si="99"/>
        <v>3.1632347363145232</v>
      </c>
      <c r="H149" s="86">
        <f t="shared" si="74"/>
        <v>9.6745188088531719E-4</v>
      </c>
      <c r="I149" s="86">
        <f t="shared" si="75"/>
        <v>1.0000000779969358</v>
      </c>
      <c r="J149" s="108">
        <f t="shared" si="76"/>
        <v>-86.306335030075616</v>
      </c>
      <c r="K149" s="108">
        <f t="shared" si="77"/>
        <v>-1.8229281496050163</v>
      </c>
      <c r="L149" s="108">
        <f t="shared" si="78"/>
        <v>39.659712085634972</v>
      </c>
      <c r="M149" s="95">
        <f t="shared" si="98"/>
        <v>-3050.032561330132</v>
      </c>
      <c r="N149" s="95">
        <f t="shared" si="98"/>
        <v>-760.0511969860064</v>
      </c>
      <c r="O149" s="95">
        <f t="shared" si="98"/>
        <v>8923.4410907887777</v>
      </c>
      <c r="P149" s="86"/>
      <c r="Q149" s="18">
        <f t="shared" si="94"/>
        <v>10456</v>
      </c>
      <c r="R149" s="93">
        <f t="shared" si="82"/>
        <v>10</v>
      </c>
      <c r="S149" s="93">
        <f t="shared" si="91"/>
        <v>95</v>
      </c>
      <c r="T149" s="93">
        <f t="shared" si="92"/>
        <v>1.0183704009319128E-4</v>
      </c>
      <c r="U149" s="109">
        <f t="shared" si="83"/>
        <v>1.140205208852342</v>
      </c>
      <c r="V149" s="112">
        <f t="shared" si="96"/>
        <v>65.328946246071766</v>
      </c>
      <c r="W149" s="93">
        <f t="shared" si="84"/>
        <v>-3.1208875450052989</v>
      </c>
      <c r="X149" s="112">
        <f t="shared" si="80"/>
        <v>181.18631533625162</v>
      </c>
      <c r="Y149" s="110"/>
      <c r="Z149" s="86">
        <f t="shared" si="81"/>
        <v>1.0000000008642318</v>
      </c>
      <c r="AA149" s="108">
        <f t="shared" si="85"/>
        <v>-9.0852926575508448</v>
      </c>
      <c r="AB149" s="108">
        <f t="shared" si="86"/>
        <v>-0.18763793467042447</v>
      </c>
      <c r="AC149" s="108">
        <f t="shared" si="87"/>
        <v>4.173996795123605</v>
      </c>
      <c r="AD149" s="110">
        <f t="shared" si="88"/>
        <v>-2972.8115189576069</v>
      </c>
      <c r="AE149" s="110">
        <f t="shared" si="89"/>
        <v>-758.41590677107183</v>
      </c>
      <c r="AF149" s="110">
        <f t="shared" si="90"/>
        <v>8887.9553754982662</v>
      </c>
    </row>
    <row r="150" spans="1:32" x14ac:dyDescent="0.2">
      <c r="A150" s="3">
        <v>10638</v>
      </c>
      <c r="B150" s="3">
        <v>65.3</v>
      </c>
      <c r="C150" s="3">
        <v>181.33</v>
      </c>
      <c r="E150" s="93">
        <f t="shared" si="99"/>
        <v>1.1397000015522971</v>
      </c>
      <c r="F150" s="93">
        <f t="shared" si="99"/>
        <v>3.164805532641318</v>
      </c>
      <c r="H150" s="86">
        <f t="shared" si="74"/>
        <v>1.4692633687900525E-3</v>
      </c>
      <c r="I150" s="86">
        <f t="shared" si="75"/>
        <v>1.0000001798946094</v>
      </c>
      <c r="J150" s="108">
        <f t="shared" si="76"/>
        <v>-88.11018969304186</v>
      </c>
      <c r="K150" s="108">
        <f t="shared" si="77"/>
        <v>-1.9764154256035757</v>
      </c>
      <c r="L150" s="108">
        <f t="shared" si="78"/>
        <v>40.517731448018196</v>
      </c>
      <c r="M150" s="95">
        <f t="shared" si="98"/>
        <v>-3138.1427510231738</v>
      </c>
      <c r="N150" s="95">
        <f t="shared" si="98"/>
        <v>-762.02761241160999</v>
      </c>
      <c r="O150" s="95">
        <f t="shared" si="98"/>
        <v>8963.9588222367965</v>
      </c>
      <c r="P150" s="86"/>
      <c r="Q150" s="18">
        <f t="shared" si="94"/>
        <v>10551</v>
      </c>
      <c r="R150" s="93">
        <f t="shared" si="82"/>
        <v>10</v>
      </c>
      <c r="S150" s="93">
        <f t="shared" si="91"/>
        <v>97</v>
      </c>
      <c r="T150" s="93">
        <f t="shared" si="92"/>
        <v>1.5147045039072706E-4</v>
      </c>
      <c r="U150" s="109">
        <f t="shared" si="83"/>
        <v>1.140013037946165</v>
      </c>
      <c r="V150" s="112">
        <f t="shared" si="96"/>
        <v>65.317935664202622</v>
      </c>
      <c r="W150" s="93">
        <f t="shared" si="84"/>
        <v>-3.1197886564122719</v>
      </c>
      <c r="X150" s="112">
        <f t="shared" si="80"/>
        <v>181.24927701478714</v>
      </c>
      <c r="Y150" s="110"/>
      <c r="Z150" s="86">
        <f t="shared" si="81"/>
        <v>1.0000000019119415</v>
      </c>
      <c r="AA150" s="108">
        <f t="shared" si="85"/>
        <v>-9.0843207935944434</v>
      </c>
      <c r="AB150" s="108">
        <f t="shared" si="86"/>
        <v>-0.19737010410450506</v>
      </c>
      <c r="AC150" s="108">
        <f t="shared" si="87"/>
        <v>4.175662889875003</v>
      </c>
      <c r="AD150" s="110">
        <f t="shared" si="88"/>
        <v>-3059.1168821237266</v>
      </c>
      <c r="AE150" s="110">
        <f t="shared" si="89"/>
        <v>-760.2485670901109</v>
      </c>
      <c r="AF150" s="110">
        <f t="shared" si="90"/>
        <v>8927.6167536786525</v>
      </c>
    </row>
    <row r="151" spans="1:32" x14ac:dyDescent="0.2">
      <c r="A151" s="3">
        <v>10734</v>
      </c>
      <c r="B151" s="3">
        <v>65.290000000000006</v>
      </c>
      <c r="C151" s="3">
        <v>181.31</v>
      </c>
      <c r="E151" s="93">
        <f t="shared" si="99"/>
        <v>1.1395254686270979</v>
      </c>
      <c r="F151" s="93">
        <f t="shared" si="99"/>
        <v>3.1644564667909187</v>
      </c>
      <c r="H151" s="86">
        <f t="shared" ref="H151:H214" si="100">ACOS(MAX(-1,MIN(1, COS(E151-E150)-SIN(E150)*SIN(E151)*(1-COS(F151-F150)))))</f>
        <v>3.6197318094788322E-4</v>
      </c>
      <c r="I151" s="86">
        <f t="shared" ref="I151:I214" si="101">IF(H151=0, 1, 2*TAN(H151/2)/H151)</f>
        <v>1.0000000109187155</v>
      </c>
      <c r="J151" s="108">
        <f t="shared" ref="J151:J214" si="102">0.5*(A151-A150)*I151 * (SIN(E150)*COS(F150) + SIN(E151)*COS(F151))</f>
        <v>-87.19013940065804</v>
      </c>
      <c r="K151" s="108">
        <f t="shared" ref="K151:K214" si="103">0.5*(A151-A150)*I151 * (SIN(E150)*SIN(F150) + SIN(E151)*SIN(F151))</f>
        <v>-2.009072682803053</v>
      </c>
      <c r="L151" s="108">
        <f t="shared" ref="L151:L214" si="104">0.5*(A151-A150)*I151 * (COS(E150) + COS(E151))</f>
        <v>40.122850317769675</v>
      </c>
      <c r="M151" s="95">
        <f t="shared" ref="M151:O166" si="105">M150+J151</f>
        <v>-3225.3328904238319</v>
      </c>
      <c r="N151" s="95">
        <f t="shared" si="105"/>
        <v>-764.03668509441309</v>
      </c>
      <c r="O151" s="95">
        <f t="shared" si="105"/>
        <v>9004.0816725545665</v>
      </c>
      <c r="P151" s="86"/>
      <c r="Q151" s="18">
        <f t="shared" si="94"/>
        <v>10648</v>
      </c>
      <c r="R151" s="93">
        <f t="shared" si="82"/>
        <v>10</v>
      </c>
      <c r="S151" s="93">
        <f t="shared" si="91"/>
        <v>96</v>
      </c>
      <c r="T151" s="93">
        <f t="shared" si="92"/>
        <v>3.7705539682071173E-5</v>
      </c>
      <c r="U151" s="109">
        <f t="shared" si="83"/>
        <v>1.1396818188808298</v>
      </c>
      <c r="V151" s="112">
        <f t="shared" si="96"/>
        <v>65.298958209664647</v>
      </c>
      <c r="W151" s="93">
        <f t="shared" si="84"/>
        <v>-3.1184161329490037</v>
      </c>
      <c r="X151" s="112">
        <f t="shared" si="80"/>
        <v>181.32791681651508</v>
      </c>
      <c r="Y151" s="110"/>
      <c r="Z151" s="86">
        <f t="shared" si="81"/>
        <v>1.0000000001184757</v>
      </c>
      <c r="AA151" s="108">
        <f t="shared" si="85"/>
        <v>-9.0826000439581485</v>
      </c>
      <c r="AB151" s="108">
        <f t="shared" si="86"/>
        <v>-0.21070597007796651</v>
      </c>
      <c r="AC151" s="108">
        <f t="shared" si="87"/>
        <v>4.1787533336890545</v>
      </c>
      <c r="AD151" s="110">
        <f t="shared" si="88"/>
        <v>-3147.2253510671321</v>
      </c>
      <c r="AE151" s="110">
        <f t="shared" si="89"/>
        <v>-762.23831838168792</v>
      </c>
      <c r="AF151" s="110">
        <f t="shared" si="90"/>
        <v>8968.1375755704848</v>
      </c>
    </row>
    <row r="152" spans="1:32" x14ac:dyDescent="0.2">
      <c r="A152" s="3">
        <v>10831</v>
      </c>
      <c r="B152" s="3">
        <v>65.430000000000007</v>
      </c>
      <c r="C152" s="3">
        <v>181.25</v>
      </c>
      <c r="E152" s="93">
        <f t="shared" si="99"/>
        <v>1.14196892957989</v>
      </c>
      <c r="F152" s="93">
        <f t="shared" si="99"/>
        <v>3.1634092692397222</v>
      </c>
      <c r="H152" s="86">
        <f t="shared" si="100"/>
        <v>2.6223100648385955E-3</v>
      </c>
      <c r="I152" s="86">
        <f t="shared" si="101"/>
        <v>1.0000005730429005</v>
      </c>
      <c r="J152" s="108">
        <f t="shared" si="102"/>
        <v>-88.145663604842312</v>
      </c>
      <c r="K152" s="108">
        <f t="shared" si="103"/>
        <v>-1.9694948130725534</v>
      </c>
      <c r="L152" s="108">
        <f t="shared" si="104"/>
        <v>40.440792352370543</v>
      </c>
      <c r="M152" s="95">
        <f t="shared" si="105"/>
        <v>-3313.4785540286744</v>
      </c>
      <c r="N152" s="95">
        <f t="shared" si="105"/>
        <v>-766.0061799074856</v>
      </c>
      <c r="O152" s="95">
        <f t="shared" si="105"/>
        <v>9044.5224649069369</v>
      </c>
      <c r="P152" s="86"/>
      <c r="Q152" s="18">
        <f t="shared" si="94"/>
        <v>10744</v>
      </c>
      <c r="R152" s="93">
        <f t="shared" si="82"/>
        <v>10</v>
      </c>
      <c r="S152" s="93">
        <f t="shared" si="91"/>
        <v>97</v>
      </c>
      <c r="T152" s="93">
        <f t="shared" si="92"/>
        <v>2.7034124379779332E-4</v>
      </c>
      <c r="U152" s="109">
        <f t="shared" si="83"/>
        <v>1.1397773525832928</v>
      </c>
      <c r="V152" s="112">
        <f t="shared" si="96"/>
        <v>65.304431887617042</v>
      </c>
      <c r="W152" s="93">
        <f t="shared" si="84"/>
        <v>-3.1188369075441349</v>
      </c>
      <c r="X152" s="112">
        <f t="shared" si="80"/>
        <v>181.30380820808773</v>
      </c>
      <c r="Y152" s="110"/>
      <c r="Z152" s="86">
        <f t="shared" si="81"/>
        <v>1.0000000060903658</v>
      </c>
      <c r="AA152" s="108">
        <f t="shared" si="85"/>
        <v>-9.0825154242997783</v>
      </c>
      <c r="AB152" s="108">
        <f t="shared" si="86"/>
        <v>-0.20720608353712422</v>
      </c>
      <c r="AC152" s="108">
        <f t="shared" si="87"/>
        <v>4.1791121781145382</v>
      </c>
      <c r="AD152" s="110">
        <f t="shared" si="88"/>
        <v>-3234.4154058481317</v>
      </c>
      <c r="AE152" s="110">
        <f t="shared" si="89"/>
        <v>-764.24389117795022</v>
      </c>
      <c r="AF152" s="110">
        <f t="shared" si="90"/>
        <v>9008.2607847326817</v>
      </c>
    </row>
    <row r="153" spans="1:32" x14ac:dyDescent="0.2">
      <c r="A153" s="3">
        <v>10928</v>
      </c>
      <c r="B153" s="3">
        <v>65.39</v>
      </c>
      <c r="C153" s="3">
        <v>181.14</v>
      </c>
      <c r="E153" s="93">
        <f t="shared" si="99"/>
        <v>1.1412707978790921</v>
      </c>
      <c r="F153" s="93">
        <f t="shared" si="99"/>
        <v>3.1614894070625281</v>
      </c>
      <c r="H153" s="86">
        <f t="shared" si="100"/>
        <v>1.8801653541826724E-3</v>
      </c>
      <c r="I153" s="86">
        <f t="shared" si="101"/>
        <v>1.0000002945852509</v>
      </c>
      <c r="J153" s="108">
        <f t="shared" si="102"/>
        <v>-88.183744931545078</v>
      </c>
      <c r="K153" s="108">
        <f t="shared" si="103"/>
        <v>-1.8395008136841529</v>
      </c>
      <c r="L153" s="108">
        <f t="shared" si="104"/>
        <v>40.363852576944851</v>
      </c>
      <c r="M153" s="95">
        <f t="shared" si="105"/>
        <v>-3401.6622989602192</v>
      </c>
      <c r="N153" s="95">
        <f t="shared" si="105"/>
        <v>-767.84568072116974</v>
      </c>
      <c r="O153" s="95">
        <f t="shared" si="105"/>
        <v>9084.8863174838825</v>
      </c>
      <c r="P153" s="86"/>
      <c r="Q153" s="18">
        <f t="shared" si="94"/>
        <v>10841</v>
      </c>
      <c r="R153" s="93">
        <f t="shared" si="82"/>
        <v>10</v>
      </c>
      <c r="S153" s="93">
        <f t="shared" si="91"/>
        <v>97</v>
      </c>
      <c r="T153" s="93">
        <f t="shared" si="92"/>
        <v>1.9383147981264664E-4</v>
      </c>
      <c r="U153" s="109">
        <f t="shared" si="83"/>
        <v>1.1418968927818116</v>
      </c>
      <c r="V153" s="112">
        <f t="shared" si="96"/>
        <v>65.425872595500479</v>
      </c>
      <c r="W153" s="93">
        <f t="shared" si="84"/>
        <v>-3.119973905164994</v>
      </c>
      <c r="X153" s="112">
        <f t="shared" si="80"/>
        <v>181.2386630430961</v>
      </c>
      <c r="Y153" s="110"/>
      <c r="Z153" s="86">
        <f t="shared" si="81"/>
        <v>1.0000000031308869</v>
      </c>
      <c r="AA153" s="108">
        <f t="shared" si="85"/>
        <v>-9.0922450555801291</v>
      </c>
      <c r="AB153" s="108">
        <f t="shared" si="86"/>
        <v>-0.19749355270430083</v>
      </c>
      <c r="AC153" s="108">
        <f t="shared" si="87"/>
        <v>4.1583741814356037</v>
      </c>
      <c r="AD153" s="110">
        <f t="shared" si="88"/>
        <v>-3322.5707990842543</v>
      </c>
      <c r="AE153" s="110">
        <f t="shared" si="89"/>
        <v>-766.20367346018986</v>
      </c>
      <c r="AF153" s="110">
        <f t="shared" si="90"/>
        <v>9048.6808390883725</v>
      </c>
    </row>
    <row r="154" spans="1:32" x14ac:dyDescent="0.2">
      <c r="A154" s="3">
        <v>11058</v>
      </c>
      <c r="B154" s="3">
        <v>63.67</v>
      </c>
      <c r="C154" s="3">
        <v>177.78</v>
      </c>
      <c r="E154" s="93">
        <f t="shared" si="99"/>
        <v>1.1112511347447898</v>
      </c>
      <c r="F154" s="93">
        <f t="shared" si="99"/>
        <v>3.1028463441955192</v>
      </c>
      <c r="H154" s="86">
        <f t="shared" si="100"/>
        <v>6.0858032634391934E-2</v>
      </c>
      <c r="I154" s="86">
        <f t="shared" si="101"/>
        <v>1.000308756032491</v>
      </c>
      <c r="J154" s="108">
        <f t="shared" si="102"/>
        <v>-117.33294910951822</v>
      </c>
      <c r="K154" s="108">
        <f t="shared" si="103"/>
        <v>1.0812610789972574</v>
      </c>
      <c r="L154" s="108">
        <f t="shared" si="104"/>
        <v>55.915959504391623</v>
      </c>
      <c r="M154" s="95">
        <f t="shared" si="105"/>
        <v>-3518.9952480697375</v>
      </c>
      <c r="N154" s="95">
        <f t="shared" si="105"/>
        <v>-766.76441964217247</v>
      </c>
      <c r="O154" s="95">
        <f t="shared" si="105"/>
        <v>9140.8022769882737</v>
      </c>
      <c r="P154" s="86"/>
      <c r="Q154" s="18">
        <f t="shared" si="94"/>
        <v>10938</v>
      </c>
      <c r="R154" s="93">
        <f t="shared" si="82"/>
        <v>10</v>
      </c>
      <c r="S154" s="93">
        <f t="shared" si="91"/>
        <v>130</v>
      </c>
      <c r="T154" s="93">
        <f t="shared" si="92"/>
        <v>4.6813871257224571E-3</v>
      </c>
      <c r="U154" s="109">
        <f t="shared" si="83"/>
        <v>1.1389148843639965</v>
      </c>
      <c r="V154" s="112">
        <f t="shared" si="96"/>
        <v>65.255016098687193</v>
      </c>
      <c r="W154" s="93">
        <f t="shared" si="84"/>
        <v>-3.1261478648536034</v>
      </c>
      <c r="X154" s="112">
        <f t="shared" si="80"/>
        <v>180.88492121005487</v>
      </c>
      <c r="Y154" s="110"/>
      <c r="Z154" s="86">
        <f t="shared" si="81"/>
        <v>1.0000018262861208</v>
      </c>
      <c r="AA154" s="108">
        <f t="shared" si="85"/>
        <v>-9.0852915525814186</v>
      </c>
      <c r="AB154" s="108">
        <f t="shared" si="86"/>
        <v>-0.1605717691225913</v>
      </c>
      <c r="AC154" s="108">
        <f t="shared" si="87"/>
        <v>4.1751061643358405</v>
      </c>
      <c r="AD154" s="110">
        <f t="shared" si="88"/>
        <v>-3410.7475905128008</v>
      </c>
      <c r="AE154" s="110">
        <f t="shared" si="89"/>
        <v>-768.00625249029235</v>
      </c>
      <c r="AF154" s="110">
        <f t="shared" si="90"/>
        <v>9089.0614236482179</v>
      </c>
    </row>
    <row r="155" spans="1:32" x14ac:dyDescent="0.2">
      <c r="A155" s="3">
        <v>11156</v>
      </c>
      <c r="B155" s="3">
        <v>62.87</v>
      </c>
      <c r="C155" s="3">
        <v>177.33</v>
      </c>
      <c r="E155" s="93">
        <f t="shared" si="99"/>
        <v>1.0972885007288349</v>
      </c>
      <c r="F155" s="93">
        <f t="shared" si="99"/>
        <v>3.0949923625615448</v>
      </c>
      <c r="H155" s="86">
        <f t="shared" si="100"/>
        <v>1.5625598799990703E-2</v>
      </c>
      <c r="I155" s="86">
        <f t="shared" si="101"/>
        <v>1.000020347108282</v>
      </c>
      <c r="J155" s="108">
        <f t="shared" si="102"/>
        <v>-87.446671799450158</v>
      </c>
      <c r="K155" s="108">
        <f t="shared" si="103"/>
        <v>3.7326952804594815</v>
      </c>
      <c r="L155" s="108">
        <f t="shared" si="104"/>
        <v>44.078919790259249</v>
      </c>
      <c r="M155" s="95">
        <f t="shared" si="105"/>
        <v>-3606.4419198691876</v>
      </c>
      <c r="N155" s="95">
        <f t="shared" si="105"/>
        <v>-763.03172436171303</v>
      </c>
      <c r="O155" s="95">
        <f t="shared" si="105"/>
        <v>9184.8811967785332</v>
      </c>
      <c r="P155" s="86"/>
      <c r="Q155" s="18">
        <f t="shared" si="94"/>
        <v>11068</v>
      </c>
      <c r="R155" s="93">
        <f t="shared" si="82"/>
        <v>10</v>
      </c>
      <c r="S155" s="93">
        <f t="shared" si="91"/>
        <v>98</v>
      </c>
      <c r="T155" s="93">
        <f t="shared" si="92"/>
        <v>1.5944488571419085E-3</v>
      </c>
      <c r="U155" s="109">
        <f t="shared" si="83"/>
        <v>1.1098252482176694</v>
      </c>
      <c r="V155" s="112">
        <f t="shared" si="96"/>
        <v>63.588302719931441</v>
      </c>
      <c r="W155" s="93">
        <f t="shared" si="84"/>
        <v>3.1020499464518698</v>
      </c>
      <c r="X155" s="112">
        <f t="shared" si="80"/>
        <v>177.73436977047515</v>
      </c>
      <c r="Y155" s="110"/>
      <c r="Z155" s="86">
        <f t="shared" si="81"/>
        <v>1.0000002118556504</v>
      </c>
      <c r="AA155" s="108">
        <f t="shared" si="85"/>
        <v>-8.9525143328301908</v>
      </c>
      <c r="AB155" s="108">
        <f t="shared" si="86"/>
        <v>0.35061961222036259</v>
      </c>
      <c r="AC155" s="108">
        <f t="shared" si="87"/>
        <v>4.441793761808241</v>
      </c>
      <c r="AD155" s="110">
        <f t="shared" si="88"/>
        <v>-3527.9477624025676</v>
      </c>
      <c r="AE155" s="110">
        <f t="shared" si="89"/>
        <v>-766.41380002995209</v>
      </c>
      <c r="AF155" s="110">
        <f t="shared" si="90"/>
        <v>9145.2440707500828</v>
      </c>
    </row>
    <row r="156" spans="1:32" x14ac:dyDescent="0.2">
      <c r="A156" s="3">
        <v>11250</v>
      </c>
      <c r="B156" s="3">
        <v>63.65</v>
      </c>
      <c r="C156" s="3">
        <v>178.4</v>
      </c>
      <c r="E156" s="93">
        <f t="shared" si="99"/>
        <v>1.1109020688943907</v>
      </c>
      <c r="F156" s="93">
        <f t="shared" si="99"/>
        <v>3.1136673855578838</v>
      </c>
      <c r="H156" s="86">
        <f t="shared" si="100"/>
        <v>2.1528384802153466E-2</v>
      </c>
      <c r="I156" s="86">
        <f t="shared" si="101"/>
        <v>1.0000386244028139</v>
      </c>
      <c r="J156" s="108">
        <f t="shared" si="102"/>
        <v>-83.886869118769525</v>
      </c>
      <c r="K156" s="108">
        <f t="shared" si="103"/>
        <v>3.1246153903171678</v>
      </c>
      <c r="L156" s="108">
        <f t="shared" si="104"/>
        <v>42.295256282231072</v>
      </c>
      <c r="M156" s="95">
        <f t="shared" si="105"/>
        <v>-3690.3287889879571</v>
      </c>
      <c r="N156" s="95">
        <f t="shared" si="105"/>
        <v>-759.90710897139581</v>
      </c>
      <c r="O156" s="95">
        <f t="shared" si="105"/>
        <v>9227.1764530607634</v>
      </c>
      <c r="P156" s="86"/>
      <c r="Q156" s="18">
        <f t="shared" si="94"/>
        <v>11166</v>
      </c>
      <c r="R156" s="93">
        <f t="shared" si="82"/>
        <v>10</v>
      </c>
      <c r="S156" s="93">
        <f t="shared" si="91"/>
        <v>94</v>
      </c>
      <c r="T156" s="93">
        <f t="shared" si="92"/>
        <v>2.2902537023567517E-3</v>
      </c>
      <c r="U156" s="109">
        <f t="shared" si="83"/>
        <v>1.0987300496239631</v>
      </c>
      <c r="V156" s="112">
        <f t="shared" si="96"/>
        <v>62.95259466765259</v>
      </c>
      <c r="W156" s="93">
        <f t="shared" si="84"/>
        <v>3.0969913041242934</v>
      </c>
      <c r="X156" s="112">
        <f t="shared" si="80"/>
        <v>177.4445309150388</v>
      </c>
      <c r="Y156" s="110"/>
      <c r="Z156" s="86">
        <f t="shared" si="81"/>
        <v>1.0000004371053977</v>
      </c>
      <c r="AA156" s="108">
        <f t="shared" si="85"/>
        <v>-8.8937683541919466</v>
      </c>
      <c r="AB156" s="108">
        <f t="shared" si="86"/>
        <v>0.40584119622485521</v>
      </c>
      <c r="AC156" s="108">
        <f t="shared" si="87"/>
        <v>4.5536945082988858</v>
      </c>
      <c r="AD156" s="110">
        <f t="shared" si="88"/>
        <v>-3615.3356882233797</v>
      </c>
      <c r="AE156" s="110">
        <f t="shared" si="89"/>
        <v>-762.62588316548818</v>
      </c>
      <c r="AF156" s="110">
        <f t="shared" si="90"/>
        <v>9189.4348912868318</v>
      </c>
    </row>
    <row r="157" spans="1:32" x14ac:dyDescent="0.2">
      <c r="A157" s="3">
        <v>11346</v>
      </c>
      <c r="B157" s="3">
        <v>63.59</v>
      </c>
      <c r="C157" s="3">
        <v>179.24</v>
      </c>
      <c r="E157" s="93">
        <f t="shared" si="99"/>
        <v>1.1098548713431942</v>
      </c>
      <c r="F157" s="93">
        <f t="shared" si="99"/>
        <v>3.1283281512746366</v>
      </c>
      <c r="H157" s="86">
        <f t="shared" si="100"/>
        <v>1.3175751768146782E-2</v>
      </c>
      <c r="I157" s="86">
        <f t="shared" si="101"/>
        <v>1.000014466954035</v>
      </c>
      <c r="J157" s="108">
        <f t="shared" si="102"/>
        <v>-85.983903732256337</v>
      </c>
      <c r="K157" s="108">
        <f t="shared" si="103"/>
        <v>1.771242784870025</v>
      </c>
      <c r="L157" s="108">
        <f t="shared" si="104"/>
        <v>42.655570252861622</v>
      </c>
      <c r="M157" s="95">
        <f t="shared" si="105"/>
        <v>-3776.3126927202134</v>
      </c>
      <c r="N157" s="95">
        <f t="shared" si="105"/>
        <v>-758.13586618652585</v>
      </c>
      <c r="O157" s="95">
        <f t="shared" si="105"/>
        <v>9269.8320233136255</v>
      </c>
      <c r="P157" s="86"/>
      <c r="Q157" s="18">
        <f t="shared" si="94"/>
        <v>11260</v>
      </c>
      <c r="R157" s="93">
        <f t="shared" si="82"/>
        <v>10</v>
      </c>
      <c r="S157" s="93">
        <f t="shared" si="91"/>
        <v>96</v>
      </c>
      <c r="T157" s="93">
        <f t="shared" si="92"/>
        <v>1.3724741425152898E-3</v>
      </c>
      <c r="U157" s="109">
        <f t="shared" si="83"/>
        <v>1.110788995782815</v>
      </c>
      <c r="V157" s="112">
        <f t="shared" si="96"/>
        <v>63.643521387930299</v>
      </c>
      <c r="W157" s="93">
        <f t="shared" si="84"/>
        <v>3.1151938307833658</v>
      </c>
      <c r="X157" s="112">
        <f t="shared" si="80"/>
        <v>178.48745886907801</v>
      </c>
      <c r="Y157" s="110"/>
      <c r="Z157" s="86">
        <f t="shared" si="81"/>
        <v>1.0000001569738022</v>
      </c>
      <c r="AA157" s="108">
        <f t="shared" si="85"/>
        <v>-8.9574368784792924</v>
      </c>
      <c r="AB157" s="108">
        <f t="shared" si="86"/>
        <v>0.24336235086949148</v>
      </c>
      <c r="AC157" s="108">
        <f t="shared" si="87"/>
        <v>4.4390408464962476</v>
      </c>
      <c r="AD157" s="110">
        <f t="shared" si="88"/>
        <v>-3699.2862258664363</v>
      </c>
      <c r="AE157" s="110">
        <f t="shared" si="89"/>
        <v>-759.66374662052635</v>
      </c>
      <c r="AF157" s="110">
        <f t="shared" si="90"/>
        <v>9231.6154939072603</v>
      </c>
    </row>
    <row r="158" spans="1:32" x14ac:dyDescent="0.2">
      <c r="A158" s="3">
        <v>11443</v>
      </c>
      <c r="B158" s="3">
        <v>63.59</v>
      </c>
      <c r="C158" s="3">
        <v>180.25</v>
      </c>
      <c r="E158" s="93">
        <f t="shared" si="99"/>
        <v>1.1098548713431942</v>
      </c>
      <c r="F158" s="93">
        <f t="shared" si="99"/>
        <v>3.1459559767197791</v>
      </c>
      <c r="H158" s="86">
        <f t="shared" si="100"/>
        <v>1.5788041895010041E-2</v>
      </c>
      <c r="I158" s="86">
        <f t="shared" si="101"/>
        <v>1.0000207723733503</v>
      </c>
      <c r="J158" s="108">
        <f t="shared" si="102"/>
        <v>-86.874081565163621</v>
      </c>
      <c r="K158" s="108">
        <f t="shared" si="103"/>
        <v>0.38664343612791591</v>
      </c>
      <c r="L158" s="108">
        <f t="shared" si="104"/>
        <v>43.145672069135543</v>
      </c>
      <c r="M158" s="95">
        <f t="shared" si="105"/>
        <v>-3863.1867742853769</v>
      </c>
      <c r="N158" s="95">
        <f t="shared" si="105"/>
        <v>-757.74922275039796</v>
      </c>
      <c r="O158" s="95">
        <f t="shared" si="105"/>
        <v>9312.9776953827604</v>
      </c>
      <c r="P158" s="86"/>
      <c r="Q158" s="18">
        <f t="shared" si="94"/>
        <v>11356</v>
      </c>
      <c r="R158" s="93">
        <f t="shared" si="82"/>
        <v>10</v>
      </c>
      <c r="S158" s="93">
        <f t="shared" si="91"/>
        <v>97</v>
      </c>
      <c r="T158" s="93">
        <f t="shared" si="92"/>
        <v>1.6276331850525814E-3</v>
      </c>
      <c r="U158" s="109">
        <f t="shared" si="83"/>
        <v>1.1098491481468837</v>
      </c>
      <c r="V158" s="112">
        <f t="shared" si="96"/>
        <v>63.589672085006086</v>
      </c>
      <c r="W158" s="93">
        <f t="shared" si="84"/>
        <v>3.1301454396091302</v>
      </c>
      <c r="X158" s="112">
        <f t="shared" si="80"/>
        <v>179.34412295172487</v>
      </c>
      <c r="Y158" s="110"/>
      <c r="Z158" s="86">
        <f t="shared" si="81"/>
        <v>1.0000002207658738</v>
      </c>
      <c r="AA158" s="108">
        <f t="shared" si="85"/>
        <v>-8.9556433226318877</v>
      </c>
      <c r="AB158" s="108">
        <f t="shared" si="86"/>
        <v>0.11066030154133909</v>
      </c>
      <c r="AC158" s="108">
        <f t="shared" si="87"/>
        <v>4.4479416474232307</v>
      </c>
      <c r="AD158" s="110">
        <f t="shared" si="88"/>
        <v>-3785.2683360428455</v>
      </c>
      <c r="AE158" s="110">
        <f t="shared" si="89"/>
        <v>-758.02520588498453</v>
      </c>
      <c r="AF158" s="110">
        <f t="shared" si="90"/>
        <v>9274.2799649610479</v>
      </c>
    </row>
    <row r="159" spans="1:32" x14ac:dyDescent="0.2">
      <c r="A159" s="3">
        <v>11539</v>
      </c>
      <c r="B159" s="3">
        <v>63.58</v>
      </c>
      <c r="C159" s="3">
        <v>180.94</v>
      </c>
      <c r="E159" s="93">
        <f t="shared" si="99"/>
        <v>1.1096803384179947</v>
      </c>
      <c r="F159" s="93">
        <f t="shared" si="99"/>
        <v>3.1579987485585397</v>
      </c>
      <c r="H159" s="86">
        <f t="shared" si="100"/>
        <v>1.0786849305648216E-2</v>
      </c>
      <c r="I159" s="86">
        <f t="shared" si="101"/>
        <v>1.0000096964559861</v>
      </c>
      <c r="J159" s="108">
        <f t="shared" si="102"/>
        <v>-85.971790162760385</v>
      </c>
      <c r="K159" s="108">
        <f t="shared" si="103"/>
        <v>-0.89280167964061807</v>
      </c>
      <c r="L159" s="108">
        <f t="shared" si="104"/>
        <v>42.707901379242919</v>
      </c>
      <c r="M159" s="95">
        <f t="shared" si="105"/>
        <v>-3949.1585644481374</v>
      </c>
      <c r="N159" s="95">
        <f t="shared" si="105"/>
        <v>-758.64202443003853</v>
      </c>
      <c r="O159" s="95">
        <f t="shared" si="105"/>
        <v>9355.6855967620031</v>
      </c>
      <c r="P159" s="86"/>
      <c r="Q159" s="18">
        <f t="shared" si="94"/>
        <v>11453</v>
      </c>
      <c r="R159" s="93">
        <f t="shared" si="82"/>
        <v>10</v>
      </c>
      <c r="S159" s="93">
        <f t="shared" si="91"/>
        <v>96</v>
      </c>
      <c r="T159" s="93">
        <f t="shared" si="92"/>
        <v>1.1236301360050226E-3</v>
      </c>
      <c r="U159" s="109">
        <f t="shared" si="83"/>
        <v>1.1098339950012246</v>
      </c>
      <c r="V159" s="112">
        <f t="shared" si="96"/>
        <v>63.588803873713474</v>
      </c>
      <c r="W159" s="93">
        <f t="shared" si="84"/>
        <v>-3.1359749767355405</v>
      </c>
      <c r="X159" s="112">
        <f t="shared" si="80"/>
        <v>180.321869174417</v>
      </c>
      <c r="Y159" s="110"/>
      <c r="Z159" s="86">
        <f t="shared" si="81"/>
        <v>1.0000001052120702</v>
      </c>
      <c r="AA159" s="108">
        <f t="shared" si="85"/>
        <v>-8.9561826546620669</v>
      </c>
      <c r="AB159" s="108">
        <f t="shared" si="86"/>
        <v>-4.4696171402823295E-2</v>
      </c>
      <c r="AC159" s="108">
        <f t="shared" si="87"/>
        <v>4.4480089913788392</v>
      </c>
      <c r="AD159" s="110">
        <f t="shared" si="88"/>
        <v>-3872.1429569400389</v>
      </c>
      <c r="AE159" s="110">
        <f t="shared" si="89"/>
        <v>-757.79391892180081</v>
      </c>
      <c r="AF159" s="110">
        <f t="shared" si="90"/>
        <v>9317.42570437414</v>
      </c>
    </row>
    <row r="160" spans="1:32" x14ac:dyDescent="0.2">
      <c r="A160" s="3">
        <v>11635</v>
      </c>
      <c r="B160" s="3">
        <v>63.76</v>
      </c>
      <c r="C160" s="3">
        <v>181.62</v>
      </c>
      <c r="E160" s="93">
        <f t="shared" si="99"/>
        <v>1.1128219310715846</v>
      </c>
      <c r="F160" s="93">
        <f t="shared" si="99"/>
        <v>3.1698669874721013</v>
      </c>
      <c r="H160" s="86">
        <f t="shared" si="100"/>
        <v>1.1091172488408407E-2</v>
      </c>
      <c r="I160" s="86">
        <f t="shared" si="101"/>
        <v>1.0000102513017026</v>
      </c>
      <c r="J160" s="108">
        <f t="shared" si="102"/>
        <v>-86.018196760779873</v>
      </c>
      <c r="K160" s="108">
        <f t="shared" si="103"/>
        <v>-1.9223817157489864</v>
      </c>
      <c r="L160" s="108">
        <f t="shared" si="104"/>
        <v>42.580274777363698</v>
      </c>
      <c r="M160" s="95">
        <f t="shared" si="105"/>
        <v>-4035.1767612089175</v>
      </c>
      <c r="N160" s="95">
        <f t="shared" si="105"/>
        <v>-760.56440614578753</v>
      </c>
      <c r="O160" s="95">
        <f t="shared" si="105"/>
        <v>9398.2658715393663</v>
      </c>
      <c r="P160" s="86"/>
      <c r="Q160" s="18">
        <f t="shared" si="94"/>
        <v>11549</v>
      </c>
      <c r="R160" s="93">
        <f t="shared" si="82"/>
        <v>10</v>
      </c>
      <c r="S160" s="93">
        <f t="shared" si="91"/>
        <v>96</v>
      </c>
      <c r="T160" s="93">
        <f t="shared" si="92"/>
        <v>1.1553304675425424E-3</v>
      </c>
      <c r="U160" s="109">
        <f t="shared" si="83"/>
        <v>1.1100049712909346</v>
      </c>
      <c r="V160" s="112">
        <f t="shared" si="96"/>
        <v>63.598600093510662</v>
      </c>
      <c r="W160" s="93">
        <f t="shared" si="84"/>
        <v>-3.1239485634297202</v>
      </c>
      <c r="X160" s="112">
        <f t="shared" si="80"/>
        <v>181.0109318995205</v>
      </c>
      <c r="Y160" s="110"/>
      <c r="Z160" s="86">
        <f t="shared" si="81"/>
        <v>1.0000001112323891</v>
      </c>
      <c r="AA160" s="108">
        <f t="shared" si="85"/>
        <v>-8.9549882720703149</v>
      </c>
      <c r="AB160" s="108">
        <f t="shared" si="86"/>
        <v>-0.15247468324760571</v>
      </c>
      <c r="AC160" s="108">
        <f t="shared" si="87"/>
        <v>4.4480248869374313</v>
      </c>
      <c r="AD160" s="110">
        <f t="shared" si="88"/>
        <v>-3958.1135527202077</v>
      </c>
      <c r="AE160" s="110">
        <f t="shared" si="89"/>
        <v>-758.79449911328618</v>
      </c>
      <c r="AF160" s="110">
        <f t="shared" si="90"/>
        <v>9360.1336216489399</v>
      </c>
    </row>
    <row r="161" spans="1:32" x14ac:dyDescent="0.2">
      <c r="A161" s="3">
        <v>11730</v>
      </c>
      <c r="B161" s="3">
        <v>63.91</v>
      </c>
      <c r="C161" s="3">
        <v>181.79</v>
      </c>
      <c r="E161" s="93">
        <f t="shared" si="99"/>
        <v>1.1154399249495759</v>
      </c>
      <c r="F161" s="93">
        <f t="shared" si="99"/>
        <v>3.1728340472004914</v>
      </c>
      <c r="H161" s="86">
        <f t="shared" si="100"/>
        <v>3.7343745912903348E-3</v>
      </c>
      <c r="I161" s="86">
        <f t="shared" si="101"/>
        <v>1.0000011621310863</v>
      </c>
      <c r="J161" s="108">
        <f t="shared" si="102"/>
        <v>-85.227330931137033</v>
      </c>
      <c r="K161" s="108">
        <f t="shared" si="103"/>
        <v>-2.5370135747851581</v>
      </c>
      <c r="L161" s="108">
        <f t="shared" si="104"/>
        <v>41.890991111004439</v>
      </c>
      <c r="M161" s="95">
        <f t="shared" si="105"/>
        <v>-4120.4040921400547</v>
      </c>
      <c r="N161" s="95">
        <f t="shared" si="105"/>
        <v>-763.10141972057272</v>
      </c>
      <c r="O161" s="95">
        <f t="shared" si="105"/>
        <v>9440.1568626503704</v>
      </c>
      <c r="P161" s="86"/>
      <c r="Q161" s="18">
        <f t="shared" si="94"/>
        <v>11645</v>
      </c>
      <c r="R161" s="93">
        <f t="shared" si="82"/>
        <v>10</v>
      </c>
      <c r="S161" s="93">
        <f t="shared" si="91"/>
        <v>95</v>
      </c>
      <c r="T161" s="93">
        <f t="shared" si="92"/>
        <v>3.9309206224108782E-4</v>
      </c>
      <c r="U161" s="109">
        <f t="shared" si="83"/>
        <v>1.1130973451022386</v>
      </c>
      <c r="V161" s="112">
        <f t="shared" si="96"/>
        <v>63.775780061575162</v>
      </c>
      <c r="W161" s="93">
        <f t="shared" si="84"/>
        <v>-3.1130056378276287</v>
      </c>
      <c r="X161" s="112">
        <f t="shared" si="80"/>
        <v>181.63791535204598</v>
      </c>
      <c r="Y161" s="110"/>
      <c r="Z161" s="86">
        <f t="shared" si="81"/>
        <v>1.000000012876781</v>
      </c>
      <c r="AA161" s="108">
        <f t="shared" si="85"/>
        <v>-8.9664828585836069</v>
      </c>
      <c r="AB161" s="108">
        <f t="shared" si="86"/>
        <v>-0.25499196094001608</v>
      </c>
      <c r="AC161" s="108">
        <f t="shared" si="87"/>
        <v>4.4200863067257199</v>
      </c>
      <c r="AD161" s="110">
        <f t="shared" si="88"/>
        <v>-4044.1432440675012</v>
      </c>
      <c r="AE161" s="110">
        <f t="shared" si="89"/>
        <v>-760.81939810672759</v>
      </c>
      <c r="AF161" s="110">
        <f t="shared" si="90"/>
        <v>9402.6859578460917</v>
      </c>
    </row>
    <row r="162" spans="1:32" x14ac:dyDescent="0.2">
      <c r="A162" s="3">
        <v>11826</v>
      </c>
      <c r="B162" s="3">
        <v>64.38</v>
      </c>
      <c r="C162" s="3">
        <v>181.59</v>
      </c>
      <c r="E162" s="93">
        <f t="shared" si="99"/>
        <v>1.1236429724339494</v>
      </c>
      <c r="F162" s="93">
        <f t="shared" si="99"/>
        <v>3.169343388696503</v>
      </c>
      <c r="H162" s="86">
        <f t="shared" si="100"/>
        <v>8.7839236947286903E-3</v>
      </c>
      <c r="I162" s="86">
        <f t="shared" si="101"/>
        <v>1.0000064298259004</v>
      </c>
      <c r="J162" s="108">
        <f t="shared" si="102"/>
        <v>-86.352582538612452</v>
      </c>
      <c r="K162" s="108">
        <f t="shared" si="103"/>
        <v>-2.5475004288567913</v>
      </c>
      <c r="L162" s="108">
        <f t="shared" si="104"/>
        <v>41.865050744161486</v>
      </c>
      <c r="M162" s="95">
        <f t="shared" si="105"/>
        <v>-4206.756674678667</v>
      </c>
      <c r="N162" s="95">
        <f t="shared" si="105"/>
        <v>-765.6489201494295</v>
      </c>
      <c r="O162" s="95">
        <f t="shared" si="105"/>
        <v>9482.021913394532</v>
      </c>
      <c r="P162" s="86"/>
      <c r="Q162" s="18">
        <f t="shared" si="94"/>
        <v>11740</v>
      </c>
      <c r="R162" s="93">
        <f t="shared" si="82"/>
        <v>10</v>
      </c>
      <c r="S162" s="93">
        <f t="shared" si="91"/>
        <v>96</v>
      </c>
      <c r="T162" s="93">
        <f t="shared" si="92"/>
        <v>9.1499205153423857E-4</v>
      </c>
      <c r="U162" s="109">
        <f t="shared" si="83"/>
        <v>1.1162941851030557</v>
      </c>
      <c r="V162" s="112">
        <f t="shared" si="96"/>
        <v>63.958945501400585</v>
      </c>
      <c r="W162" s="93">
        <f t="shared" si="84"/>
        <v>-3.1107161699570915</v>
      </c>
      <c r="X162" s="112">
        <f t="shared" si="80"/>
        <v>181.76909219835858</v>
      </c>
      <c r="Y162" s="110"/>
      <c r="Z162" s="86">
        <f t="shared" si="81"/>
        <v>1.0000000697675437</v>
      </c>
      <c r="AA162" s="108">
        <f t="shared" si="85"/>
        <v>-8.9785883782476397</v>
      </c>
      <c r="AB162" s="108">
        <f t="shared" si="86"/>
        <v>-0.27895478725608613</v>
      </c>
      <c r="AC162" s="108">
        <f t="shared" si="87"/>
        <v>4.3939877086662129</v>
      </c>
      <c r="AD162" s="110">
        <f t="shared" si="88"/>
        <v>-4129.3826805183025</v>
      </c>
      <c r="AE162" s="110">
        <f t="shared" si="89"/>
        <v>-763.38037450782883</v>
      </c>
      <c r="AF162" s="110">
        <f t="shared" si="90"/>
        <v>9444.5508503590372</v>
      </c>
    </row>
    <row r="163" spans="1:32" x14ac:dyDescent="0.2">
      <c r="A163" s="3">
        <v>11923</v>
      </c>
      <c r="B163" s="3">
        <v>64.58</v>
      </c>
      <c r="C163" s="3">
        <v>181.39</v>
      </c>
      <c r="E163" s="93">
        <f t="shared" si="99"/>
        <v>1.1271336309379381</v>
      </c>
      <c r="F163" s="93">
        <f t="shared" si="99"/>
        <v>3.1658527301925141</v>
      </c>
      <c r="H163" s="86">
        <f t="shared" si="100"/>
        <v>4.7018888850745011E-3</v>
      </c>
      <c r="I163" s="86">
        <f t="shared" si="101"/>
        <v>1.0000018423173302</v>
      </c>
      <c r="J163" s="108">
        <f t="shared" si="102"/>
        <v>-87.506490501829148</v>
      </c>
      <c r="K163" s="108">
        <f t="shared" si="103"/>
        <v>-2.2760275872427163</v>
      </c>
      <c r="L163" s="108">
        <f t="shared" si="104"/>
        <v>41.790148171102835</v>
      </c>
      <c r="M163" s="95">
        <f t="shared" si="105"/>
        <v>-4294.2631651804959</v>
      </c>
      <c r="N163" s="95">
        <f t="shared" si="105"/>
        <v>-767.92494773667227</v>
      </c>
      <c r="O163" s="95">
        <f t="shared" si="105"/>
        <v>9523.8120615656353</v>
      </c>
      <c r="P163" s="86"/>
      <c r="Q163" s="18">
        <f t="shared" si="94"/>
        <v>11836</v>
      </c>
      <c r="R163" s="93">
        <f t="shared" si="82"/>
        <v>10</v>
      </c>
      <c r="S163" s="93">
        <f t="shared" si="91"/>
        <v>97</v>
      </c>
      <c r="T163" s="93">
        <f t="shared" si="92"/>
        <v>4.8473081289427842E-4</v>
      </c>
      <c r="U163" s="109">
        <f t="shared" si="83"/>
        <v>1.1240026147609457</v>
      </c>
      <c r="V163" s="112">
        <f t="shared" si="96"/>
        <v>64.400605987471153</v>
      </c>
      <c r="W163" s="93">
        <f t="shared" si="84"/>
        <v>-3.1142023188347272</v>
      </c>
      <c r="X163" s="112">
        <f t="shared" ref="X163:X177" si="106">MOD(DEGREES(W163), 360)</f>
        <v>181.56935058091577</v>
      </c>
      <c r="Y163" s="110"/>
      <c r="Z163" s="86">
        <f t="shared" ref="Z163:Z226" si="107">IF(T163=0, 1, 2*TAN(T163/2)/T163)</f>
        <v>1.0000000195803305</v>
      </c>
      <c r="AA163" s="108">
        <f t="shared" si="85"/>
        <v>-9.0141666664547202</v>
      </c>
      <c r="AB163" s="108">
        <f t="shared" si="86"/>
        <v>-0.24858824688870029</v>
      </c>
      <c r="AC163" s="108">
        <f t="shared" si="87"/>
        <v>4.3223837445155633</v>
      </c>
      <c r="AD163" s="110">
        <f t="shared" si="88"/>
        <v>-4215.7708413451219</v>
      </c>
      <c r="AE163" s="110">
        <f t="shared" si="89"/>
        <v>-765.89750839631824</v>
      </c>
      <c r="AF163" s="110">
        <f t="shared" si="90"/>
        <v>9486.3442971390468</v>
      </c>
    </row>
    <row r="164" spans="1:32" x14ac:dyDescent="0.2">
      <c r="A164" s="3">
        <v>12020</v>
      </c>
      <c r="B164" s="3">
        <v>63.81</v>
      </c>
      <c r="C164" s="3">
        <v>181.82</v>
      </c>
      <c r="E164" s="93">
        <f t="shared" si="99"/>
        <v>1.1136945956975817</v>
      </c>
      <c r="F164" s="93">
        <f t="shared" si="99"/>
        <v>3.1733576459760897</v>
      </c>
      <c r="H164" s="86">
        <f t="shared" si="100"/>
        <v>1.5041847504048134E-2</v>
      </c>
      <c r="I164" s="86">
        <f t="shared" si="101"/>
        <v>1.000018855191307</v>
      </c>
      <c r="J164" s="108">
        <f t="shared" si="102"/>
        <v>-87.292066050879015</v>
      </c>
      <c r="K164" s="108">
        <f t="shared" si="103"/>
        <v>-2.4448466961381206</v>
      </c>
      <c r="L164" s="108">
        <f t="shared" si="104"/>
        <v>42.224880414967544</v>
      </c>
      <c r="M164" s="95">
        <f t="shared" si="105"/>
        <v>-4381.5552312313748</v>
      </c>
      <c r="N164" s="95">
        <f t="shared" si="105"/>
        <v>-770.36979443281041</v>
      </c>
      <c r="O164" s="95">
        <f t="shared" si="105"/>
        <v>9566.0369419806029</v>
      </c>
      <c r="P164" s="86"/>
      <c r="Q164" s="18">
        <f t="shared" si="94"/>
        <v>11933</v>
      </c>
      <c r="R164" s="93">
        <f t="shared" ref="R164:R227" si="108">IF(OR(Q164&lt;A163, Q164&gt;A164), "error", Q164-A163)</f>
        <v>10</v>
      </c>
      <c r="S164" s="93">
        <f t="shared" si="91"/>
        <v>97</v>
      </c>
      <c r="T164" s="93">
        <f t="shared" si="92"/>
        <v>1.5507059282523848E-3</v>
      </c>
      <c r="U164" s="109">
        <f t="shared" ref="U164:U227" si="109">IF(T164=0, E163, ACOS( (SIN(H164-T164)/SIN(H164))*COS(E163) + (SIN(T164)/SIN(H164))*COS(E164)  ))</f>
        <v>1.1257471492513853</v>
      </c>
      <c r="V164" s="112">
        <f t="shared" si="96"/>
        <v>64.500560450988345</v>
      </c>
      <c r="W164" s="93">
        <f t="shared" ref="W164:W227" si="110">IF(T164=0, F163, ATAN2( SIN(E163)*COS(F163)*SIN(H164-T164) + SIN(E164)*COS(F164)*SIN(T164), SIN(E163)*SIN(F163)*SIN(H164-T164) + SIN(E164)*SIN(F164)*SIN(T164) ))</f>
        <v>-3.1165633565917874</v>
      </c>
      <c r="X164" s="112">
        <f t="shared" si="106"/>
        <v>181.43407308216518</v>
      </c>
      <c r="Y164" s="110"/>
      <c r="Z164" s="86">
        <f t="shared" si="107"/>
        <v>1.000000200390788</v>
      </c>
      <c r="AA164" s="108">
        <f t="shared" ref="AA164:AA227" si="111">0.5*R164*Z164 * (SIN(E163)*COS(F163) + SIN(U164)*COS(W164))</f>
        <v>-9.0261344500961016</v>
      </c>
      <c r="AB164" s="108">
        <f t="shared" ref="AB164:AB227" si="112">0.5*R164*Z164 * (SIN(E163)*SIN(F163) + SIN(U164)*SIN(W164))</f>
        <v>-0.2224901559968695</v>
      </c>
      <c r="AC164" s="108">
        <f t="shared" ref="AC164:AC227" si="113">0.5*R164*Z164 * (COS(E163) + COS(U164))</f>
        <v>4.2987643550444261</v>
      </c>
      <c r="AD164" s="110">
        <f t="shared" ref="AD164:AD227" si="114">M163+AA164</f>
        <v>-4303.2892996305918</v>
      </c>
      <c r="AE164" s="110">
        <f t="shared" ref="AE164:AE227" si="115">N163+AB164</f>
        <v>-768.14743789266913</v>
      </c>
      <c r="AF164" s="110">
        <f t="shared" ref="AF164:AF227" si="116">O163+AC164</f>
        <v>9528.1108259206794</v>
      </c>
    </row>
    <row r="165" spans="1:32" x14ac:dyDescent="0.2">
      <c r="A165" s="3">
        <v>12114</v>
      </c>
      <c r="B165" s="3">
        <v>63.73</v>
      </c>
      <c r="C165" s="3">
        <v>183.1</v>
      </c>
      <c r="E165" s="93">
        <f t="shared" si="99"/>
        <v>1.1122983322959861</v>
      </c>
      <c r="F165" s="93">
        <f t="shared" si="99"/>
        <v>3.1956978604016175</v>
      </c>
      <c r="H165" s="86">
        <f t="shared" si="100"/>
        <v>2.0088276331526655E-2</v>
      </c>
      <c r="I165" s="86">
        <f t="shared" si="101"/>
        <v>1.0000336295942496</v>
      </c>
      <c r="J165" s="108">
        <f t="shared" si="102"/>
        <v>-84.240408523384076</v>
      </c>
      <c r="K165" s="108">
        <f t="shared" si="103"/>
        <v>-3.6187701589866186</v>
      </c>
      <c r="L165" s="108">
        <f t="shared" si="104"/>
        <v>41.547093029995224</v>
      </c>
      <c r="M165" s="95">
        <f t="shared" si="105"/>
        <v>-4465.7956397547587</v>
      </c>
      <c r="N165" s="95">
        <f t="shared" si="105"/>
        <v>-773.98856459179706</v>
      </c>
      <c r="O165" s="95">
        <f t="shared" si="105"/>
        <v>9607.5840350105973</v>
      </c>
      <c r="P165" s="86"/>
      <c r="Q165" s="18">
        <f t="shared" ref="Q165:Q228" si="117">A164+10</f>
        <v>12030</v>
      </c>
      <c r="R165" s="93">
        <f t="shared" si="108"/>
        <v>10</v>
      </c>
      <c r="S165" s="93">
        <f t="shared" ref="S165:S228" si="118">A165-A164</f>
        <v>94</v>
      </c>
      <c r="T165" s="93">
        <f t="shared" ref="T165:T228" si="119">H165 * (R165/S165)</f>
        <v>2.1370506735666657E-3</v>
      </c>
      <c r="U165" s="109">
        <f t="shared" si="109"/>
        <v>1.1135366575023218</v>
      </c>
      <c r="V165" s="112">
        <f t="shared" si="96"/>
        <v>63.800950807987697</v>
      </c>
      <c r="W165" s="93">
        <f t="shared" si="110"/>
        <v>-3.1074525299561122</v>
      </c>
      <c r="X165" s="112">
        <f t="shared" si="106"/>
        <v>181.95608499626476</v>
      </c>
      <c r="Y165" s="110"/>
      <c r="Z165" s="86">
        <f t="shared" si="107"/>
        <v>1.0000003805823057</v>
      </c>
      <c r="AA165" s="108">
        <f t="shared" si="111"/>
        <v>-8.9681313277181012</v>
      </c>
      <c r="AB165" s="108">
        <f t="shared" si="112"/>
        <v>-0.29562946668446627</v>
      </c>
      <c r="AC165" s="108">
        <f t="shared" si="113"/>
        <v>4.4142027195204383</v>
      </c>
      <c r="AD165" s="110">
        <f t="shared" si="114"/>
        <v>-4390.5233625590927</v>
      </c>
      <c r="AE165" s="110">
        <f t="shared" si="115"/>
        <v>-770.66542389949484</v>
      </c>
      <c r="AF165" s="110">
        <f t="shared" si="116"/>
        <v>9570.4511447001241</v>
      </c>
    </row>
    <row r="166" spans="1:32" x14ac:dyDescent="0.2">
      <c r="A166" s="3">
        <v>12210</v>
      </c>
      <c r="B166" s="3">
        <v>63.76</v>
      </c>
      <c r="C166" s="3">
        <v>184.64</v>
      </c>
      <c r="E166" s="93">
        <f t="shared" si="99"/>
        <v>1.1128219310715846</v>
      </c>
      <c r="F166" s="93">
        <f t="shared" si="99"/>
        <v>3.2225759308823299</v>
      </c>
      <c r="H166" s="86">
        <f t="shared" si="100"/>
        <v>2.4110714799949085E-2</v>
      </c>
      <c r="I166" s="86">
        <f t="shared" si="101"/>
        <v>1.0000484466970174</v>
      </c>
      <c r="J166" s="108">
        <f t="shared" si="102"/>
        <v>-85.896148577219094</v>
      </c>
      <c r="K166" s="108">
        <f t="shared" si="103"/>
        <v>-5.8107791631482764</v>
      </c>
      <c r="L166" s="108">
        <f t="shared" si="104"/>
        <v>42.469283664364532</v>
      </c>
      <c r="M166" s="95">
        <f t="shared" si="105"/>
        <v>-4551.6917883319775</v>
      </c>
      <c r="N166" s="95">
        <f t="shared" si="105"/>
        <v>-779.79934375494531</v>
      </c>
      <c r="O166" s="95">
        <f t="shared" si="105"/>
        <v>9650.0533186749617</v>
      </c>
      <c r="P166" s="86"/>
      <c r="Q166" s="18">
        <f t="shared" si="117"/>
        <v>12124</v>
      </c>
      <c r="R166" s="93">
        <f t="shared" si="108"/>
        <v>10</v>
      </c>
      <c r="S166" s="93">
        <f t="shared" si="118"/>
        <v>96</v>
      </c>
      <c r="T166" s="93">
        <f t="shared" si="119"/>
        <v>2.5115327916613631E-3</v>
      </c>
      <c r="U166" s="109">
        <f t="shared" si="109"/>
        <v>1.1123394973655139</v>
      </c>
      <c r="V166" s="112">
        <f t="shared" si="96"/>
        <v>63.732358584747296</v>
      </c>
      <c r="W166" s="93">
        <f t="shared" si="110"/>
        <v>-3.0846870466236194</v>
      </c>
      <c r="X166" s="112">
        <f t="shared" si="106"/>
        <v>183.260451109792</v>
      </c>
      <c r="Y166" s="110"/>
      <c r="Z166" s="86">
        <f t="shared" si="107"/>
        <v>1.0000005256500786</v>
      </c>
      <c r="AA166" s="108">
        <f t="shared" si="111"/>
        <v>-8.9534601394429956</v>
      </c>
      <c r="AB166" s="108">
        <f t="shared" si="112"/>
        <v>-0.49747656427180514</v>
      </c>
      <c r="AC166" s="108">
        <f t="shared" si="113"/>
        <v>4.4258350663396957</v>
      </c>
      <c r="AD166" s="110">
        <f t="shared" si="114"/>
        <v>-4474.7490998942012</v>
      </c>
      <c r="AE166" s="110">
        <f t="shared" si="115"/>
        <v>-774.48604115606884</v>
      </c>
      <c r="AF166" s="110">
        <f t="shared" si="116"/>
        <v>9612.0098700769377</v>
      </c>
    </row>
    <row r="167" spans="1:32" x14ac:dyDescent="0.2">
      <c r="A167" s="3">
        <v>12307</v>
      </c>
      <c r="B167" s="3">
        <v>63.8</v>
      </c>
      <c r="C167" s="3">
        <v>185.53</v>
      </c>
      <c r="E167" s="93">
        <f t="shared" si="99"/>
        <v>1.1135200627723822</v>
      </c>
      <c r="F167" s="93">
        <f t="shared" si="99"/>
        <v>3.2381093612250798</v>
      </c>
      <c r="H167" s="86">
        <f t="shared" si="100"/>
        <v>1.3952554616359247E-2</v>
      </c>
      <c r="I167" s="86">
        <f t="shared" si="101"/>
        <v>1.0000162231308487</v>
      </c>
      <c r="J167" s="108">
        <f t="shared" si="102"/>
        <v>-86.675402973998374</v>
      </c>
      <c r="K167" s="108">
        <f t="shared" si="103"/>
        <v>-7.7128185056857186</v>
      </c>
      <c r="L167" s="108">
        <f t="shared" si="104"/>
        <v>42.85713838460584</v>
      </c>
      <c r="M167" s="95">
        <f t="shared" ref="M167:O182" si="120">M166+J167</f>
        <v>-4638.3671913059761</v>
      </c>
      <c r="N167" s="95">
        <f t="shared" si="120"/>
        <v>-787.51216226063104</v>
      </c>
      <c r="O167" s="95">
        <f t="shared" si="120"/>
        <v>9692.9104570595682</v>
      </c>
      <c r="P167" s="86"/>
      <c r="Q167" s="18">
        <f t="shared" si="117"/>
        <v>12220</v>
      </c>
      <c r="R167" s="93">
        <f t="shared" si="108"/>
        <v>10</v>
      </c>
      <c r="S167" s="93">
        <f t="shared" si="118"/>
        <v>97</v>
      </c>
      <c r="T167" s="93">
        <f t="shared" si="119"/>
        <v>1.4384076924081697E-3</v>
      </c>
      <c r="U167" s="109">
        <f t="shared" si="109"/>
        <v>1.1128894804316305</v>
      </c>
      <c r="V167" s="112">
        <f t="shared" si="96"/>
        <v>63.763870293239442</v>
      </c>
      <c r="W167" s="93">
        <f t="shared" si="110"/>
        <v>-3.0590075066798774</v>
      </c>
      <c r="X167" s="112">
        <f t="shared" si="106"/>
        <v>184.73178036840605</v>
      </c>
      <c r="Y167" s="110"/>
      <c r="Z167" s="86">
        <f t="shared" si="107"/>
        <v>1.0000001724180931</v>
      </c>
      <c r="AA167" s="108">
        <f t="shared" si="111"/>
        <v>-8.9396664644992079</v>
      </c>
      <c r="AB167" s="108">
        <f t="shared" si="112"/>
        <v>-0.73275814966069686</v>
      </c>
      <c r="AC167" s="108">
        <f t="shared" si="113"/>
        <v>4.4210193118566581</v>
      </c>
      <c r="AD167" s="110">
        <f t="shared" si="114"/>
        <v>-4560.6314547964766</v>
      </c>
      <c r="AE167" s="110">
        <f t="shared" si="115"/>
        <v>-780.53210190460607</v>
      </c>
      <c r="AF167" s="110">
        <f t="shared" si="116"/>
        <v>9654.4743379868178</v>
      </c>
    </row>
    <row r="168" spans="1:32" x14ac:dyDescent="0.2">
      <c r="A168" s="3">
        <v>12403</v>
      </c>
      <c r="B168" s="3">
        <v>63.85</v>
      </c>
      <c r="C168" s="3">
        <v>185.57</v>
      </c>
      <c r="E168" s="93">
        <f t="shared" si="99"/>
        <v>1.1143927273983794</v>
      </c>
      <c r="F168" s="93">
        <f t="shared" si="99"/>
        <v>3.2388074929258774</v>
      </c>
      <c r="H168" s="86">
        <f t="shared" si="100"/>
        <v>1.074287926803974E-3</v>
      </c>
      <c r="I168" s="86">
        <f t="shared" si="101"/>
        <v>1.0000000961745568</v>
      </c>
      <c r="J168" s="108">
        <f t="shared" si="102"/>
        <v>-85.75140263306254</v>
      </c>
      <c r="K168" s="108">
        <f t="shared" si="103"/>
        <v>-8.3324598159880665</v>
      </c>
      <c r="L168" s="108">
        <f t="shared" si="104"/>
        <v>42.346973605356453</v>
      </c>
      <c r="M168" s="95">
        <f t="shared" si="120"/>
        <v>-4724.1185939390389</v>
      </c>
      <c r="N168" s="95">
        <f t="shared" si="120"/>
        <v>-795.84462207661909</v>
      </c>
      <c r="O168" s="95">
        <f t="shared" si="120"/>
        <v>9735.257430664924</v>
      </c>
      <c r="P168" s="86"/>
      <c r="Q168" s="18">
        <f t="shared" si="117"/>
        <v>12317</v>
      </c>
      <c r="R168" s="93">
        <f t="shared" si="108"/>
        <v>10</v>
      </c>
      <c r="S168" s="93">
        <f t="shared" si="118"/>
        <v>96</v>
      </c>
      <c r="T168" s="93">
        <f t="shared" si="119"/>
        <v>1.1190499237541396E-4</v>
      </c>
      <c r="U168" s="109">
        <f t="shared" si="109"/>
        <v>1.1136109563314638</v>
      </c>
      <c r="V168" s="112">
        <f t="shared" ref="V168:V229" si="121">DEGREES(U168)</f>
        <v>63.805207817320294</v>
      </c>
      <c r="W168" s="93">
        <f t="shared" si="110"/>
        <v>-3.0450031959483375</v>
      </c>
      <c r="X168" s="112">
        <f t="shared" si="106"/>
        <v>185.53416826831304</v>
      </c>
      <c r="Y168" s="110"/>
      <c r="Z168" s="86">
        <f t="shared" si="107"/>
        <v>1.0000000010435606</v>
      </c>
      <c r="AA168" s="108">
        <f t="shared" si="111"/>
        <v>-8.9309924323908518</v>
      </c>
      <c r="AB168" s="108">
        <f t="shared" si="112"/>
        <v>-0.86500453068869754</v>
      </c>
      <c r="AC168" s="108">
        <f t="shared" si="113"/>
        <v>4.4146507483728872</v>
      </c>
      <c r="AD168" s="110">
        <f t="shared" si="114"/>
        <v>-4647.2981837383668</v>
      </c>
      <c r="AE168" s="110">
        <f t="shared" si="115"/>
        <v>-788.37716679131972</v>
      </c>
      <c r="AF168" s="110">
        <f t="shared" si="116"/>
        <v>9697.3251078079411</v>
      </c>
    </row>
    <row r="169" spans="1:32" x14ac:dyDescent="0.2">
      <c r="A169" s="3">
        <v>12500</v>
      </c>
      <c r="B169" s="3">
        <v>63.83</v>
      </c>
      <c r="C169" s="3">
        <v>185.3</v>
      </c>
      <c r="E169" s="93">
        <f t="shared" si="99"/>
        <v>1.1140436615479805</v>
      </c>
      <c r="F169" s="93">
        <f t="shared" si="99"/>
        <v>3.234095103945493</v>
      </c>
      <c r="H169" s="86">
        <f t="shared" si="100"/>
        <v>4.2440604800668691E-3</v>
      </c>
      <c r="I169" s="86">
        <f t="shared" si="101"/>
        <v>1.0000015010068168</v>
      </c>
      <c r="J169" s="108">
        <f t="shared" si="102"/>
        <v>-86.672411301583054</v>
      </c>
      <c r="K169" s="108">
        <f t="shared" si="103"/>
        <v>-8.2463940760219145</v>
      </c>
      <c r="L169" s="108">
        <f t="shared" si="104"/>
        <v>42.765359591297099</v>
      </c>
      <c r="M169" s="95">
        <f t="shared" si="120"/>
        <v>-4810.7910052406223</v>
      </c>
      <c r="N169" s="95">
        <f t="shared" si="120"/>
        <v>-804.09101615264103</v>
      </c>
      <c r="O169" s="95">
        <f t="shared" si="120"/>
        <v>9778.0227902562219</v>
      </c>
      <c r="P169" s="86"/>
      <c r="Q169" s="18">
        <f t="shared" si="117"/>
        <v>12413</v>
      </c>
      <c r="R169" s="93">
        <f t="shared" si="108"/>
        <v>10</v>
      </c>
      <c r="S169" s="93">
        <f t="shared" si="118"/>
        <v>97</v>
      </c>
      <c r="T169" s="93">
        <f t="shared" si="119"/>
        <v>4.3753200825431636E-4</v>
      </c>
      <c r="U169" s="109">
        <f t="shared" si="109"/>
        <v>1.114356335023873</v>
      </c>
      <c r="V169" s="112">
        <f t="shared" si="121"/>
        <v>63.847914870534325</v>
      </c>
      <c r="W169" s="93">
        <f t="shared" si="110"/>
        <v>-3.0448635526041334</v>
      </c>
      <c r="X169" s="112">
        <f t="shared" si="106"/>
        <v>185.54216924257304</v>
      </c>
      <c r="Y169" s="110"/>
      <c r="Z169" s="86">
        <f t="shared" si="107"/>
        <v>1.0000000159528553</v>
      </c>
      <c r="AA169" s="108">
        <f t="shared" si="111"/>
        <v>-8.9341810370178756</v>
      </c>
      <c r="AB169" s="108">
        <f t="shared" si="112"/>
        <v>-0.86909104992101127</v>
      </c>
      <c r="AC169" s="108">
        <f t="shared" si="113"/>
        <v>4.40739019709532</v>
      </c>
      <c r="AD169" s="110">
        <f t="shared" si="114"/>
        <v>-4733.0527749760568</v>
      </c>
      <c r="AE169" s="110">
        <f t="shared" si="115"/>
        <v>-796.71371312654014</v>
      </c>
      <c r="AF169" s="110">
        <f t="shared" si="116"/>
        <v>9739.664820862019</v>
      </c>
    </row>
    <row r="170" spans="1:32" x14ac:dyDescent="0.2">
      <c r="A170" s="3">
        <v>12596</v>
      </c>
      <c r="B170" s="3">
        <v>63.86</v>
      </c>
      <c r="C170" s="3">
        <v>184.9</v>
      </c>
      <c r="E170" s="93">
        <f t="shared" si="99"/>
        <v>1.1145672603235788</v>
      </c>
      <c r="F170" s="93">
        <f t="shared" si="99"/>
        <v>3.2271137869375153</v>
      </c>
      <c r="H170" s="86">
        <f t="shared" si="100"/>
        <v>6.2882982074403682E-3</v>
      </c>
      <c r="I170" s="86">
        <f t="shared" si="101"/>
        <v>1.000003295237559</v>
      </c>
      <c r="J170" s="108">
        <f t="shared" si="102"/>
        <v>-85.828684444209458</v>
      </c>
      <c r="K170" s="108">
        <f t="shared" si="103"/>
        <v>-7.6599671922690469</v>
      </c>
      <c r="L170" s="108">
        <f t="shared" si="104"/>
        <v>42.317035109284859</v>
      </c>
      <c r="M170" s="95">
        <f t="shared" si="120"/>
        <v>-4896.6196896848314</v>
      </c>
      <c r="N170" s="95">
        <f t="shared" si="120"/>
        <v>-811.75098334491008</v>
      </c>
      <c r="O170" s="95">
        <f t="shared" si="120"/>
        <v>9820.3398253655068</v>
      </c>
      <c r="P170" s="86"/>
      <c r="Q170" s="18">
        <f t="shared" si="117"/>
        <v>12510</v>
      </c>
      <c r="R170" s="93">
        <f t="shared" si="108"/>
        <v>10</v>
      </c>
      <c r="S170" s="93">
        <f t="shared" si="118"/>
        <v>96</v>
      </c>
      <c r="T170" s="93">
        <f t="shared" si="119"/>
        <v>6.5503106327503835E-4</v>
      </c>
      <c r="U170" s="109">
        <f t="shared" si="109"/>
        <v>1.1140973031024926</v>
      </c>
      <c r="V170" s="112">
        <f t="shared" si="121"/>
        <v>63.83307343468006</v>
      </c>
      <c r="W170" s="93">
        <f t="shared" si="110"/>
        <v>-3.0498175904957536</v>
      </c>
      <c r="X170" s="112">
        <f t="shared" si="106"/>
        <v>185.25832377983531</v>
      </c>
      <c r="Y170" s="110"/>
      <c r="Z170" s="86">
        <f t="shared" si="107"/>
        <v>1.0000000357554759</v>
      </c>
      <c r="AA170" s="108">
        <f t="shared" si="111"/>
        <v>-8.9369422349599059</v>
      </c>
      <c r="AB170" s="108">
        <f t="shared" si="112"/>
        <v>-0.82577685177366733</v>
      </c>
      <c r="AC170" s="108">
        <f t="shared" si="113"/>
        <v>4.4101193299634396</v>
      </c>
      <c r="AD170" s="110">
        <f t="shared" si="114"/>
        <v>-4819.7279474755824</v>
      </c>
      <c r="AE170" s="110">
        <f t="shared" si="115"/>
        <v>-804.91679300441467</v>
      </c>
      <c r="AF170" s="110">
        <f t="shared" si="116"/>
        <v>9782.4329095861849</v>
      </c>
    </row>
    <row r="171" spans="1:32" x14ac:dyDescent="0.2">
      <c r="A171" s="3">
        <v>12693</v>
      </c>
      <c r="B171" s="3">
        <v>63.87</v>
      </c>
      <c r="C171" s="3">
        <v>183.99</v>
      </c>
      <c r="E171" s="93">
        <f t="shared" si="99"/>
        <v>1.1147417932487782</v>
      </c>
      <c r="F171" s="93">
        <f t="shared" si="99"/>
        <v>3.211231290744367</v>
      </c>
      <c r="H171" s="86">
        <f t="shared" si="100"/>
        <v>1.4259687610802096E-2</v>
      </c>
      <c r="I171" s="86">
        <f t="shared" si="101"/>
        <v>1.0000169452354588</v>
      </c>
      <c r="J171" s="108">
        <f t="shared" si="102"/>
        <v>-86.819398089037648</v>
      </c>
      <c r="K171" s="108">
        <f t="shared" si="103"/>
        <v>-6.7489545765626922</v>
      </c>
      <c r="L171" s="108">
        <f t="shared" si="104"/>
        <v>42.728027033586393</v>
      </c>
      <c r="M171" s="95">
        <f t="shared" si="120"/>
        <v>-4983.4390877738688</v>
      </c>
      <c r="N171" s="95">
        <f t="shared" si="120"/>
        <v>-818.49993792147279</v>
      </c>
      <c r="O171" s="95">
        <f t="shared" si="120"/>
        <v>9863.0678523990937</v>
      </c>
      <c r="P171" s="86"/>
      <c r="Q171" s="18">
        <f t="shared" si="117"/>
        <v>12606</v>
      </c>
      <c r="R171" s="93">
        <f t="shared" si="108"/>
        <v>10</v>
      </c>
      <c r="S171" s="93">
        <f t="shared" si="118"/>
        <v>97</v>
      </c>
      <c r="T171" s="93">
        <f t="shared" si="119"/>
        <v>1.4700708877115564E-3</v>
      </c>
      <c r="U171" s="109">
        <f t="shared" si="109"/>
        <v>1.1145806410972656</v>
      </c>
      <c r="V171" s="112">
        <f t="shared" si="121"/>
        <v>63.860766661858875</v>
      </c>
      <c r="W171" s="93">
        <f t="shared" si="110"/>
        <v>-3.0577090072451401</v>
      </c>
      <c r="X171" s="112">
        <f t="shared" si="106"/>
        <v>184.80617890571662</v>
      </c>
      <c r="Y171" s="110"/>
      <c r="Z171" s="86">
        <f t="shared" si="107"/>
        <v>1.0000001800924068</v>
      </c>
      <c r="AA171" s="108">
        <f t="shared" si="111"/>
        <v>-8.9450460024740401</v>
      </c>
      <c r="AB171" s="108">
        <f t="shared" si="112"/>
        <v>-0.7594839233618319</v>
      </c>
      <c r="AC171" s="108">
        <f t="shared" si="113"/>
        <v>4.4056007733954496</v>
      </c>
      <c r="AD171" s="110">
        <f t="shared" si="114"/>
        <v>-4905.5647356873051</v>
      </c>
      <c r="AE171" s="110">
        <f t="shared" si="115"/>
        <v>-812.5104672682719</v>
      </c>
      <c r="AF171" s="110">
        <f t="shared" si="116"/>
        <v>9824.745426138903</v>
      </c>
    </row>
    <row r="172" spans="1:32" x14ac:dyDescent="0.2">
      <c r="A172" s="3">
        <v>12788</v>
      </c>
      <c r="B172" s="3">
        <v>63.93</v>
      </c>
      <c r="C172" s="3">
        <v>183.53</v>
      </c>
      <c r="E172" s="93">
        <f t="shared" si="99"/>
        <v>1.115788990799975</v>
      </c>
      <c r="F172" s="93">
        <f t="shared" si="99"/>
        <v>3.2032027761851931</v>
      </c>
      <c r="H172" s="86">
        <f t="shared" si="100"/>
        <v>7.2854768269792203E-3</v>
      </c>
      <c r="I172" s="86">
        <f t="shared" si="101"/>
        <v>1.0000044232045273</v>
      </c>
      <c r="J172" s="108">
        <f t="shared" si="102"/>
        <v>-85.128668426537331</v>
      </c>
      <c r="K172" s="108">
        <f t="shared" si="103"/>
        <v>-5.59446143274638</v>
      </c>
      <c r="L172" s="108">
        <f t="shared" si="104"/>
        <v>41.79440027161337</v>
      </c>
      <c r="M172" s="95">
        <f t="shared" si="120"/>
        <v>-5068.5677562004057</v>
      </c>
      <c r="N172" s="95">
        <f t="shared" si="120"/>
        <v>-824.09439935421915</v>
      </c>
      <c r="O172" s="95">
        <f t="shared" si="120"/>
        <v>9904.8622526707077</v>
      </c>
      <c r="P172" s="86"/>
      <c r="Q172" s="18">
        <f t="shared" si="117"/>
        <v>12703</v>
      </c>
      <c r="R172" s="93">
        <f t="shared" si="108"/>
        <v>10</v>
      </c>
      <c r="S172" s="93">
        <f t="shared" si="118"/>
        <v>95</v>
      </c>
      <c r="T172" s="93">
        <f t="shared" si="119"/>
        <v>7.6689229757676003E-4</v>
      </c>
      <c r="U172" s="109">
        <f t="shared" si="109"/>
        <v>1.114850824777182</v>
      </c>
      <c r="V172" s="112">
        <f t="shared" si="121"/>
        <v>63.876247046411393</v>
      </c>
      <c r="W172" s="93">
        <f t="shared" si="110"/>
        <v>-3.072799510094443</v>
      </c>
      <c r="X172" s="112">
        <f t="shared" si="106"/>
        <v>183.9415567817214</v>
      </c>
      <c r="Y172" s="110"/>
      <c r="Z172" s="86">
        <f t="shared" si="107"/>
        <v>1.0000000490103191</v>
      </c>
      <c r="AA172" s="108">
        <f t="shared" si="111"/>
        <v>-8.9567127229023491</v>
      </c>
      <c r="AB172" s="108">
        <f t="shared" si="112"/>
        <v>-0.6209386666101846</v>
      </c>
      <c r="AC172" s="108">
        <f t="shared" si="113"/>
        <v>4.403603918459968</v>
      </c>
      <c r="AD172" s="110">
        <f t="shared" si="114"/>
        <v>-4992.3958004967708</v>
      </c>
      <c r="AE172" s="110">
        <f t="shared" si="115"/>
        <v>-819.12087658808298</v>
      </c>
      <c r="AF172" s="110">
        <f t="shared" si="116"/>
        <v>9867.471456317553</v>
      </c>
    </row>
    <row r="173" spans="1:32" x14ac:dyDescent="0.2">
      <c r="A173" s="3">
        <v>12885</v>
      </c>
      <c r="B173" s="3">
        <v>63.78</v>
      </c>
      <c r="C173" s="3">
        <v>182.62</v>
      </c>
      <c r="E173" s="93">
        <f t="shared" si="99"/>
        <v>1.1131709969219834</v>
      </c>
      <c r="F173" s="93">
        <f t="shared" si="99"/>
        <v>3.1873202799920448</v>
      </c>
      <c r="H173" s="86">
        <f t="shared" si="100"/>
        <v>1.4495761308515265E-2</v>
      </c>
      <c r="I173" s="86">
        <f t="shared" si="101"/>
        <v>1.000017510959279</v>
      </c>
      <c r="J173" s="108">
        <f t="shared" si="102"/>
        <v>-86.94844111817396</v>
      </c>
      <c r="K173" s="108">
        <f t="shared" si="103"/>
        <v>-4.6713554065373195</v>
      </c>
      <c r="L173" s="108">
        <f t="shared" si="104"/>
        <v>42.743213142971101</v>
      </c>
      <c r="M173" s="95">
        <f t="shared" si="120"/>
        <v>-5155.5161973185795</v>
      </c>
      <c r="N173" s="95">
        <f t="shared" si="120"/>
        <v>-828.76575476075652</v>
      </c>
      <c r="O173" s="95">
        <f t="shared" si="120"/>
        <v>9947.6054658136782</v>
      </c>
      <c r="P173" s="86"/>
      <c r="Q173" s="18">
        <f t="shared" si="117"/>
        <v>12798</v>
      </c>
      <c r="R173" s="93">
        <f t="shared" si="108"/>
        <v>10</v>
      </c>
      <c r="S173" s="93">
        <f t="shared" si="118"/>
        <v>97</v>
      </c>
      <c r="T173" s="93">
        <f>H173 * (R173/S173)</f>
        <v>1.4944083823211613E-3</v>
      </c>
      <c r="U173" s="109">
        <f t="shared" si="109"/>
        <v>1.1155144869465525</v>
      </c>
      <c r="V173" s="112">
        <f t="shared" si="121"/>
        <v>63.914272087738823</v>
      </c>
      <c r="W173" s="93">
        <f t="shared" si="110"/>
        <v>-3.0816180072575956</v>
      </c>
      <c r="X173" s="112">
        <f t="shared" si="106"/>
        <v>183.43629411262469</v>
      </c>
      <c r="Y173" s="110"/>
      <c r="Z173" s="86">
        <f t="shared" si="107"/>
        <v>1.0000001861047427</v>
      </c>
      <c r="AA173" s="108">
        <f t="shared" si="111"/>
        <v>-8.9653810409589934</v>
      </c>
      <c r="AB173" s="108">
        <f t="shared" si="112"/>
        <v>-0.54569980061228074</v>
      </c>
      <c r="AC173" s="108">
        <f t="shared" si="113"/>
        <v>4.3959226457657357</v>
      </c>
      <c r="AD173" s="110">
        <f t="shared" si="114"/>
        <v>-5077.5331372413648</v>
      </c>
      <c r="AE173" s="110">
        <f t="shared" si="115"/>
        <v>-824.64009915483143</v>
      </c>
      <c r="AF173" s="110">
        <f t="shared" si="116"/>
        <v>9909.2581753164741</v>
      </c>
    </row>
    <row r="174" spans="1:32" x14ac:dyDescent="0.2">
      <c r="A174" s="3">
        <v>12981</v>
      </c>
      <c r="B174" s="3">
        <v>63.62</v>
      </c>
      <c r="C174" s="3">
        <v>181.85</v>
      </c>
      <c r="E174" s="93">
        <f t="shared" si="99"/>
        <v>1.1103784701187924</v>
      </c>
      <c r="F174" s="93">
        <f t="shared" si="99"/>
        <v>3.173881244751688</v>
      </c>
      <c r="H174" s="86">
        <f t="shared" si="100"/>
        <v>1.2367288093220408E-2</v>
      </c>
      <c r="I174" s="86">
        <f t="shared" si="101"/>
        <v>1.0000127460128485</v>
      </c>
      <c r="J174" s="108">
        <f t="shared" si="102"/>
        <v>-85.996282962517085</v>
      </c>
      <c r="K174" s="108">
        <f t="shared" si="103"/>
        <v>-3.3566542390443086</v>
      </c>
      <c r="L174" s="108">
        <f t="shared" si="104"/>
        <v>42.535335006219512</v>
      </c>
      <c r="M174" s="95">
        <f t="shared" si="120"/>
        <v>-5241.5124802810969</v>
      </c>
      <c r="N174" s="95">
        <f t="shared" si="120"/>
        <v>-832.12240899980088</v>
      </c>
      <c r="O174" s="95">
        <f t="shared" si="120"/>
        <v>9990.1408008198978</v>
      </c>
      <c r="P174" s="86"/>
      <c r="Q174" s="18">
        <f t="shared" si="117"/>
        <v>12895</v>
      </c>
      <c r="R174" s="93">
        <f t="shared" si="108"/>
        <v>10</v>
      </c>
      <c r="S174" s="93">
        <f t="shared" si="118"/>
        <v>96</v>
      </c>
      <c r="T174" s="93">
        <f t="shared" si="119"/>
        <v>1.2882591763771259E-3</v>
      </c>
      <c r="U174" s="109">
        <f t="shared" si="109"/>
        <v>1.1128767658154453</v>
      </c>
      <c r="V174" s="112">
        <f t="shared" si="121"/>
        <v>63.7631417993939</v>
      </c>
      <c r="W174" s="93">
        <f t="shared" si="110"/>
        <v>-3.0972631922371257</v>
      </c>
      <c r="X174" s="112">
        <f t="shared" si="106"/>
        <v>182.53989104359613</v>
      </c>
      <c r="Y174" s="110"/>
      <c r="Z174" s="86">
        <f t="shared" si="107"/>
        <v>1.0000001383009984</v>
      </c>
      <c r="AA174" s="108">
        <f t="shared" si="111"/>
        <v>-8.961298343292448</v>
      </c>
      <c r="AB174" s="108">
        <f t="shared" si="112"/>
        <v>-0.40378760974402683</v>
      </c>
      <c r="AC174" s="108">
        <f t="shared" si="113"/>
        <v>4.4195105768200644</v>
      </c>
      <c r="AD174" s="110">
        <f t="shared" si="114"/>
        <v>-5164.4774956618721</v>
      </c>
      <c r="AE174" s="110">
        <f t="shared" si="115"/>
        <v>-829.16954237050049</v>
      </c>
      <c r="AF174" s="110">
        <f t="shared" si="116"/>
        <v>9952.0249763904976</v>
      </c>
    </row>
    <row r="175" spans="1:32" x14ac:dyDescent="0.2">
      <c r="A175" s="3">
        <v>13078</v>
      </c>
      <c r="B175" s="3">
        <v>63.49</v>
      </c>
      <c r="C175" s="3">
        <v>181.84</v>
      </c>
      <c r="E175" s="93">
        <f t="shared" si="99"/>
        <v>1.1081095420911999</v>
      </c>
      <c r="F175" s="93">
        <f t="shared" si="99"/>
        <v>3.173706711826489</v>
      </c>
      <c r="H175" s="86">
        <f t="shared" si="100"/>
        <v>2.2743031350376253E-3</v>
      </c>
      <c r="I175" s="86">
        <f t="shared" si="101"/>
        <v>1.0000004310381188</v>
      </c>
      <c r="J175" s="108">
        <f t="shared" si="102"/>
        <v>-86.805096456256507</v>
      </c>
      <c r="K175" s="108">
        <f t="shared" si="103"/>
        <v>-2.7962099276653247</v>
      </c>
      <c r="L175" s="108">
        <f t="shared" si="104"/>
        <v>43.197828459606228</v>
      </c>
      <c r="M175" s="95">
        <f t="shared" si="120"/>
        <v>-5328.3175767373532</v>
      </c>
      <c r="N175" s="95">
        <f t="shared" si="120"/>
        <v>-834.91861892746624</v>
      </c>
      <c r="O175" s="95">
        <f t="shared" si="120"/>
        <v>10033.338629279504</v>
      </c>
      <c r="P175" s="86"/>
      <c r="Q175" s="18">
        <f t="shared" si="117"/>
        <v>12991</v>
      </c>
      <c r="R175" s="93">
        <f t="shared" si="108"/>
        <v>10</v>
      </c>
      <c r="S175" s="93">
        <f t="shared" si="118"/>
        <v>97</v>
      </c>
      <c r="T175" s="93">
        <f t="shared" si="119"/>
        <v>2.3446424072552836E-4</v>
      </c>
      <c r="U175" s="109">
        <f t="shared" si="109"/>
        <v>1.1101445594518937</v>
      </c>
      <c r="V175" s="112">
        <f t="shared" si="121"/>
        <v>63.606597906003614</v>
      </c>
      <c r="W175" s="93">
        <f t="shared" si="110"/>
        <v>-3.1093220373197621</v>
      </c>
      <c r="X175" s="112">
        <f t="shared" si="106"/>
        <v>181.84897011455899</v>
      </c>
      <c r="Y175" s="110"/>
      <c r="Z175" s="86">
        <f t="shared" si="107"/>
        <v>1.0000000045811233</v>
      </c>
      <c r="AA175" s="108">
        <f t="shared" si="111"/>
        <v>-8.9534827165347135</v>
      </c>
      <c r="AB175" s="108">
        <f t="shared" si="112"/>
        <v>-0.28911530237783867</v>
      </c>
      <c r="AC175" s="108">
        <f t="shared" si="113"/>
        <v>4.4442726208607821</v>
      </c>
      <c r="AD175" s="110">
        <f t="shared" si="114"/>
        <v>-5250.4659629976313</v>
      </c>
      <c r="AE175" s="110">
        <f t="shared" si="115"/>
        <v>-832.41152430217869</v>
      </c>
      <c r="AF175" s="110">
        <f t="shared" si="116"/>
        <v>9994.5850734407577</v>
      </c>
    </row>
    <row r="176" spans="1:32" x14ac:dyDescent="0.2">
      <c r="A176" s="3">
        <v>13175</v>
      </c>
      <c r="B176" s="3">
        <v>63.47</v>
      </c>
      <c r="C176" s="3">
        <v>182.42</v>
      </c>
      <c r="E176" s="93">
        <f t="shared" si="99"/>
        <v>1.1077604762408009</v>
      </c>
      <c r="F176" s="93">
        <f t="shared" si="99"/>
        <v>3.1838296214880559</v>
      </c>
      <c r="H176" s="86">
        <f t="shared" si="100"/>
        <v>9.0644783028364095E-3</v>
      </c>
      <c r="I176" s="86">
        <f t="shared" si="101"/>
        <v>1.0000068471201677</v>
      </c>
      <c r="J176" s="108">
        <f t="shared" si="102"/>
        <v>-86.733034559146006</v>
      </c>
      <c r="K176" s="108">
        <f t="shared" si="103"/>
        <v>-3.2257929621750558</v>
      </c>
      <c r="L176" s="108">
        <f t="shared" si="104"/>
        <v>43.311783062802846</v>
      </c>
      <c r="M176" s="95">
        <f t="shared" si="120"/>
        <v>-5415.0506112964995</v>
      </c>
      <c r="N176" s="95">
        <f t="shared" si="120"/>
        <v>-838.14441188964133</v>
      </c>
      <c r="O176" s="95">
        <f t="shared" si="120"/>
        <v>10076.650412342307</v>
      </c>
      <c r="P176" s="86"/>
      <c r="Q176" s="18">
        <f t="shared" si="117"/>
        <v>13088</v>
      </c>
      <c r="R176" s="93">
        <f t="shared" si="108"/>
        <v>10</v>
      </c>
      <c r="S176" s="93">
        <f t="shared" si="118"/>
        <v>97</v>
      </c>
      <c r="T176" s="93">
        <f t="shared" si="119"/>
        <v>9.3448229926148543E-4</v>
      </c>
      <c r="U176" s="109">
        <f t="shared" si="109"/>
        <v>1.1080716634208765</v>
      </c>
      <c r="V176" s="112">
        <f t="shared" si="121"/>
        <v>63.487829712056907</v>
      </c>
      <c r="W176" s="93">
        <f t="shared" si="110"/>
        <v>-3.1084351619665749</v>
      </c>
      <c r="X176" s="112">
        <f t="shared" si="106"/>
        <v>181.89978432925079</v>
      </c>
      <c r="Y176" s="110"/>
      <c r="Z176" s="86">
        <f t="shared" si="107"/>
        <v>1.0000000727714371</v>
      </c>
      <c r="AA176" s="108">
        <f t="shared" si="111"/>
        <v>-8.9437145505880284</v>
      </c>
      <c r="AB176" s="108">
        <f t="shared" si="112"/>
        <v>-0.29198868347145068</v>
      </c>
      <c r="AC176" s="108">
        <f t="shared" si="113"/>
        <v>4.4637098213461153</v>
      </c>
      <c r="AD176" s="110">
        <f t="shared" si="114"/>
        <v>-5337.2612912879413</v>
      </c>
      <c r="AE176" s="110">
        <f t="shared" si="115"/>
        <v>-835.2106076109377</v>
      </c>
      <c r="AF176" s="110">
        <f t="shared" si="116"/>
        <v>10037.80233910085</v>
      </c>
    </row>
    <row r="177" spans="1:32" x14ac:dyDescent="0.2">
      <c r="A177" s="3">
        <v>13271</v>
      </c>
      <c r="B177" s="3">
        <v>63.53</v>
      </c>
      <c r="C177" s="3">
        <v>183.09</v>
      </c>
      <c r="E177" s="93">
        <f t="shared" si="99"/>
        <v>1.1088076737919976</v>
      </c>
      <c r="F177" s="93">
        <f t="shared" si="99"/>
        <v>3.1955233274764181</v>
      </c>
      <c r="H177" s="86">
        <f t="shared" si="100"/>
        <v>1.0517350436440864E-2</v>
      </c>
      <c r="I177" s="86">
        <f t="shared" si="101"/>
        <v>1.0000092179903148</v>
      </c>
      <c r="J177" s="108">
        <f t="shared" si="102"/>
        <v>-85.813705448489017</v>
      </c>
      <c r="K177" s="108">
        <f t="shared" si="103"/>
        <v>-4.1295651121023171</v>
      </c>
      <c r="L177" s="108">
        <f t="shared" si="104"/>
        <v>42.835379039283282</v>
      </c>
      <c r="M177" s="95">
        <f t="shared" si="120"/>
        <v>-5500.8643167449882</v>
      </c>
      <c r="N177" s="95">
        <f t="shared" si="120"/>
        <v>-842.27397700174367</v>
      </c>
      <c r="O177" s="95">
        <f t="shared" si="120"/>
        <v>10119.48579138159</v>
      </c>
      <c r="P177" s="86"/>
      <c r="Q177" s="18">
        <f t="shared" si="117"/>
        <v>13185</v>
      </c>
      <c r="R177" s="93">
        <f t="shared" si="108"/>
        <v>10</v>
      </c>
      <c r="S177" s="93">
        <f t="shared" si="118"/>
        <v>96</v>
      </c>
      <c r="T177" s="93">
        <f t="shared" si="119"/>
        <v>1.0955573371292568E-3</v>
      </c>
      <c r="U177" s="109">
        <f t="shared" si="109"/>
        <v>1.1078670103610833</v>
      </c>
      <c r="V177" s="112">
        <f t="shared" si="121"/>
        <v>63.476103955466314</v>
      </c>
      <c r="W177" s="93">
        <f t="shared" si="110"/>
        <v>-3.0981370252258169</v>
      </c>
      <c r="X177" s="112">
        <f t="shared" si="106"/>
        <v>182.48982410134482</v>
      </c>
      <c r="Y177" s="110"/>
      <c r="Z177" s="86">
        <f t="shared" si="107"/>
        <v>1.0000001000205021</v>
      </c>
      <c r="AA177" s="108">
        <f t="shared" si="111"/>
        <v>-8.9390317896598521</v>
      </c>
      <c r="AB177" s="108">
        <f t="shared" si="112"/>
        <v>-0.38323911223446477</v>
      </c>
      <c r="AC177" s="108">
        <f t="shared" si="113"/>
        <v>4.4661872379307805</v>
      </c>
      <c r="AD177" s="110">
        <f t="shared" si="114"/>
        <v>-5423.989643086159</v>
      </c>
      <c r="AE177" s="110">
        <f t="shared" si="115"/>
        <v>-838.52765100187582</v>
      </c>
      <c r="AF177" s="110">
        <f t="shared" si="116"/>
        <v>10081.116599580238</v>
      </c>
    </row>
    <row r="178" spans="1:32" x14ac:dyDescent="0.2">
      <c r="A178" s="3">
        <v>13368</v>
      </c>
      <c r="B178" s="3">
        <v>63.72</v>
      </c>
      <c r="C178" s="3">
        <v>183.57</v>
      </c>
      <c r="E178" s="93">
        <f t="shared" si="99"/>
        <v>1.1121237993707869</v>
      </c>
      <c r="F178" s="93">
        <f t="shared" si="99"/>
        <v>3.2039009078859908</v>
      </c>
      <c r="H178" s="86">
        <f t="shared" si="100"/>
        <v>8.2054489935536878E-3</v>
      </c>
      <c r="I178" s="86">
        <f t="shared" si="101"/>
        <v>1.0000056108205428</v>
      </c>
      <c r="J178" s="108">
        <f t="shared" si="102"/>
        <v>-86.755708289384899</v>
      </c>
      <c r="K178" s="108">
        <f t="shared" si="103"/>
        <v>-5.0481800415849412</v>
      </c>
      <c r="L178" s="108">
        <f t="shared" si="104"/>
        <v>43.091880508262079</v>
      </c>
      <c r="M178" s="95">
        <f t="shared" si="120"/>
        <v>-5587.6200250343727</v>
      </c>
      <c r="N178" s="95">
        <f t="shared" si="120"/>
        <v>-847.32215704332862</v>
      </c>
      <c r="O178" s="95">
        <f t="shared" si="120"/>
        <v>10162.577671889852</v>
      </c>
      <c r="P178" s="86"/>
      <c r="Q178" s="18">
        <f t="shared" si="117"/>
        <v>13281</v>
      </c>
      <c r="R178" s="93">
        <f t="shared" si="108"/>
        <v>10</v>
      </c>
      <c r="S178" s="93">
        <f t="shared" si="118"/>
        <v>97</v>
      </c>
      <c r="T178" s="93">
        <f t="shared" si="119"/>
        <v>8.4592257665501935E-4</v>
      </c>
      <c r="U178" s="109">
        <f t="shared" si="109"/>
        <v>1.1091482489971978</v>
      </c>
      <c r="V178" s="112">
        <f t="shared" si="121"/>
        <v>63.549513521864775</v>
      </c>
      <c r="W178" s="93">
        <f t="shared" si="110"/>
        <v>-3.0867970373246711</v>
      </c>
      <c r="X178" s="112">
        <f>MOD(DEGREES(W178), 360)</f>
        <v>183.13955754780989</v>
      </c>
      <c r="Y178" s="110"/>
      <c r="Z178" s="86">
        <f t="shared" si="107"/>
        <v>1.0000000596320879</v>
      </c>
      <c r="AA178" s="108">
        <f t="shared" si="111"/>
        <v>-8.9392115743996641</v>
      </c>
      <c r="AB178" s="108">
        <f t="shared" si="112"/>
        <v>-0.48644328206297532</v>
      </c>
      <c r="AC178" s="108">
        <f t="shared" si="113"/>
        <v>4.4557674308974633</v>
      </c>
      <c r="AD178" s="110">
        <f t="shared" si="114"/>
        <v>-5509.8035283193876</v>
      </c>
      <c r="AE178" s="110">
        <f t="shared" si="115"/>
        <v>-842.76042028380664</v>
      </c>
      <c r="AF178" s="110">
        <f t="shared" si="116"/>
        <v>10123.941558812488</v>
      </c>
    </row>
    <row r="179" spans="1:32" x14ac:dyDescent="0.2">
      <c r="A179" s="3">
        <v>13463</v>
      </c>
      <c r="B179" s="3">
        <v>63.76</v>
      </c>
      <c r="C179" s="3">
        <v>182.6</v>
      </c>
      <c r="E179" s="93">
        <f t="shared" si="99"/>
        <v>1.1128219310715846</v>
      </c>
      <c r="F179" s="93">
        <f t="shared" si="99"/>
        <v>3.1869712141416455</v>
      </c>
      <c r="H179" s="86">
        <f t="shared" si="100"/>
        <v>1.519848027872106E-2</v>
      </c>
      <c r="I179" s="86">
        <f t="shared" si="101"/>
        <v>1.0000192499282268</v>
      </c>
      <c r="J179" s="108">
        <f t="shared" si="102"/>
        <v>-85.070701006155971</v>
      </c>
      <c r="K179" s="108">
        <f t="shared" si="103"/>
        <v>-4.5848036337268736</v>
      </c>
      <c r="L179" s="108">
        <f t="shared" si="104"/>
        <v>42.03310220183441</v>
      </c>
      <c r="M179" s="95">
        <f t="shared" si="120"/>
        <v>-5672.6907260405287</v>
      </c>
      <c r="N179" s="95">
        <f t="shared" si="120"/>
        <v>-851.90696067705551</v>
      </c>
      <c r="O179" s="95">
        <f t="shared" si="120"/>
        <v>10204.610774091687</v>
      </c>
      <c r="P179" s="86"/>
      <c r="Q179" s="18">
        <f t="shared" si="117"/>
        <v>13378</v>
      </c>
      <c r="R179" s="93">
        <f t="shared" si="108"/>
        <v>10</v>
      </c>
      <c r="S179" s="93">
        <f t="shared" si="118"/>
        <v>95</v>
      </c>
      <c r="T179" s="93">
        <f t="shared" si="119"/>
        <v>1.5998400293390589E-3</v>
      </c>
      <c r="U179" s="109">
        <f t="shared" si="109"/>
        <v>1.112191929686438</v>
      </c>
      <c r="V179" s="112">
        <f t="shared" si="121"/>
        <v>63.723903579543709</v>
      </c>
      <c r="W179" s="93">
        <f t="shared" si="110"/>
        <v>-3.0810670099183297</v>
      </c>
      <c r="X179" s="112">
        <f t="shared" ref="X179:X229" si="122">MOD(DEGREES(W179), 360)</f>
        <v>183.46786393468756</v>
      </c>
      <c r="Y179" s="110"/>
      <c r="Z179" s="86">
        <f t="shared" si="107"/>
        <v>1.0000002132907313</v>
      </c>
      <c r="AA179" s="108">
        <f t="shared" si="111"/>
        <v>-8.94965374007203</v>
      </c>
      <c r="AB179" s="108">
        <f t="shared" si="112"/>
        <v>-0.550352450862021</v>
      </c>
      <c r="AC179" s="108">
        <f t="shared" si="113"/>
        <v>4.4272778073641392</v>
      </c>
      <c r="AD179" s="110">
        <f t="shared" si="114"/>
        <v>-5596.5696787744446</v>
      </c>
      <c r="AE179" s="110">
        <f t="shared" si="115"/>
        <v>-847.87250949419058</v>
      </c>
      <c r="AF179" s="110">
        <f t="shared" si="116"/>
        <v>10167.004949697217</v>
      </c>
    </row>
    <row r="180" spans="1:32" x14ac:dyDescent="0.2">
      <c r="A180" s="3">
        <v>13559</v>
      </c>
      <c r="B180" s="3">
        <v>63.67</v>
      </c>
      <c r="C180" s="3">
        <v>181.39</v>
      </c>
      <c r="E180" s="93">
        <f t="shared" si="99"/>
        <v>1.1112511347447898</v>
      </c>
      <c r="F180" s="93">
        <f t="shared" si="99"/>
        <v>3.1658527301925141</v>
      </c>
      <c r="H180" s="86">
        <f t="shared" si="100"/>
        <v>1.8999854359873503E-2</v>
      </c>
      <c r="I180" s="86">
        <f t="shared" si="101"/>
        <v>1.000030083958156</v>
      </c>
      <c r="J180" s="108">
        <f t="shared" si="102"/>
        <v>-86.01941128865198</v>
      </c>
      <c r="K180" s="108">
        <f t="shared" si="103"/>
        <v>-2.9967010738258977</v>
      </c>
      <c r="L180" s="108">
        <f t="shared" si="104"/>
        <v>42.513567526312144</v>
      </c>
      <c r="M180" s="95">
        <f t="shared" si="120"/>
        <v>-5758.7101373291807</v>
      </c>
      <c r="N180" s="95">
        <f t="shared" si="120"/>
        <v>-854.90366175088138</v>
      </c>
      <c r="O180" s="95">
        <f t="shared" si="120"/>
        <v>10247.124341617999</v>
      </c>
      <c r="P180" s="86"/>
      <c r="Q180" s="18">
        <f t="shared" si="117"/>
        <v>13473</v>
      </c>
      <c r="R180" s="93">
        <f t="shared" si="108"/>
        <v>10</v>
      </c>
      <c r="S180" s="93">
        <f t="shared" si="118"/>
        <v>96</v>
      </c>
      <c r="T180" s="93">
        <f t="shared" si="119"/>
        <v>1.9791514958201568E-3</v>
      </c>
      <c r="U180" s="109">
        <f t="shared" si="109"/>
        <v>1.1126500500486995</v>
      </c>
      <c r="V180" s="112">
        <f t="shared" si="121"/>
        <v>63.750151942810298</v>
      </c>
      <c r="W180" s="93">
        <f t="shared" si="110"/>
        <v>-3.0984123845653406</v>
      </c>
      <c r="X180" s="112">
        <f t="shared" si="122"/>
        <v>182.47404717334061</v>
      </c>
      <c r="Y180" s="110"/>
      <c r="Z180" s="86">
        <f t="shared" si="107"/>
        <v>1.0000003264201813</v>
      </c>
      <c r="AA180" s="108">
        <f t="shared" si="111"/>
        <v>-8.9603253854447438</v>
      </c>
      <c r="AB180" s="108">
        <f t="shared" si="112"/>
        <v>-0.39701788938879196</v>
      </c>
      <c r="AC180" s="108">
        <f t="shared" si="113"/>
        <v>4.4220937507541223</v>
      </c>
      <c r="AD180" s="110">
        <f t="shared" si="114"/>
        <v>-5681.6510514259735</v>
      </c>
      <c r="AE180" s="110">
        <f t="shared" si="115"/>
        <v>-852.30397856644436</v>
      </c>
      <c r="AF180" s="110">
        <f t="shared" si="116"/>
        <v>10209.032867842441</v>
      </c>
    </row>
    <row r="181" spans="1:32" x14ac:dyDescent="0.2">
      <c r="A181" s="3">
        <v>13654</v>
      </c>
      <c r="B181" s="3">
        <v>63.67</v>
      </c>
      <c r="C181" s="3">
        <v>181.02</v>
      </c>
      <c r="E181" s="93">
        <f t="shared" si="99"/>
        <v>1.1112511347447898</v>
      </c>
      <c r="F181" s="93">
        <f t="shared" si="99"/>
        <v>3.1593950119601355</v>
      </c>
      <c r="H181" s="86">
        <f t="shared" si="100"/>
        <v>5.7877558586423294E-3</v>
      </c>
      <c r="I181" s="86">
        <f t="shared" si="101"/>
        <v>1.0000027915191743</v>
      </c>
      <c r="J181" s="108">
        <f t="shared" si="102"/>
        <v>-85.125124454706921</v>
      </c>
      <c r="K181" s="108">
        <f t="shared" si="103"/>
        <v>-1.7905490075957662</v>
      </c>
      <c r="L181" s="108">
        <f t="shared" si="104"/>
        <v>42.136467904583917</v>
      </c>
      <c r="M181" s="95">
        <f t="shared" si="120"/>
        <v>-5843.8352617838873</v>
      </c>
      <c r="N181" s="95">
        <f t="shared" si="120"/>
        <v>-856.6942107584772</v>
      </c>
      <c r="O181" s="95">
        <f t="shared" si="120"/>
        <v>10289.260809522582</v>
      </c>
      <c r="P181" s="86"/>
      <c r="Q181" s="18">
        <f t="shared" si="117"/>
        <v>13569</v>
      </c>
      <c r="R181" s="93">
        <f t="shared" si="108"/>
        <v>10</v>
      </c>
      <c r="S181" s="93">
        <f t="shared" si="118"/>
        <v>95</v>
      </c>
      <c r="T181" s="93">
        <f t="shared" si="119"/>
        <v>6.0923745880445569E-4</v>
      </c>
      <c r="U181" s="109">
        <f t="shared" si="109"/>
        <v>1.1112503540782117</v>
      </c>
      <c r="V181" s="112">
        <f t="shared" si="121"/>
        <v>63.66995527109988</v>
      </c>
      <c r="W181" s="93">
        <f t="shared" si="110"/>
        <v>-3.1180123361444618</v>
      </c>
      <c r="X181" s="112">
        <f t="shared" si="122"/>
        <v>181.35105266919618</v>
      </c>
      <c r="Y181" s="110"/>
      <c r="Z181" s="86">
        <f t="shared" si="107"/>
        <v>1.0000000309308579</v>
      </c>
      <c r="AA181" s="108">
        <f t="shared" si="111"/>
        <v>-8.959977235529303</v>
      </c>
      <c r="AB181" s="108">
        <f t="shared" si="112"/>
        <v>-0.2143653078351116</v>
      </c>
      <c r="AC181" s="108">
        <f t="shared" si="113"/>
        <v>4.4354089282170808</v>
      </c>
      <c r="AD181" s="110">
        <f t="shared" si="114"/>
        <v>-5767.6701145647103</v>
      </c>
      <c r="AE181" s="110">
        <f t="shared" si="115"/>
        <v>-855.11802705871651</v>
      </c>
      <c r="AF181" s="110">
        <f t="shared" si="116"/>
        <v>10251.559750546216</v>
      </c>
    </row>
    <row r="182" spans="1:32" x14ac:dyDescent="0.2">
      <c r="A182" s="3">
        <v>13750</v>
      </c>
      <c r="B182" s="3">
        <v>63.6</v>
      </c>
      <c r="C182" s="3">
        <v>180.72</v>
      </c>
      <c r="E182" s="93">
        <f t="shared" si="99"/>
        <v>1.1100294042683936</v>
      </c>
      <c r="F182" s="93">
        <f t="shared" si="99"/>
        <v>3.1541590242041524</v>
      </c>
      <c r="H182" s="86">
        <f t="shared" si="100"/>
        <v>4.8478285916391251E-3</v>
      </c>
      <c r="I182" s="86">
        <f t="shared" si="101"/>
        <v>1.0000019584581072</v>
      </c>
      <c r="J182" s="108">
        <f t="shared" si="102"/>
        <v>-86.004328567987912</v>
      </c>
      <c r="K182" s="108">
        <f t="shared" si="103"/>
        <v>-1.3060896361654453</v>
      </c>
      <c r="L182" s="108">
        <f t="shared" si="104"/>
        <v>42.632517499422015</v>
      </c>
      <c r="M182" s="95">
        <f t="shared" si="120"/>
        <v>-5929.8395903518749</v>
      </c>
      <c r="N182" s="95">
        <f t="shared" si="120"/>
        <v>-858.00030039464264</v>
      </c>
      <c r="O182" s="95">
        <f t="shared" si="120"/>
        <v>10331.893327022004</v>
      </c>
      <c r="P182" s="86"/>
      <c r="Q182" s="18">
        <f t="shared" si="117"/>
        <v>13664</v>
      </c>
      <c r="R182" s="93">
        <f t="shared" si="108"/>
        <v>10</v>
      </c>
      <c r="S182" s="93">
        <f t="shared" si="118"/>
        <v>96</v>
      </c>
      <c r="T182" s="93">
        <f t="shared" si="119"/>
        <v>5.049821449624089E-4</v>
      </c>
      <c r="U182" s="109">
        <f t="shared" si="109"/>
        <v>1.1111233624702361</v>
      </c>
      <c r="V182" s="112">
        <f t="shared" si="121"/>
        <v>63.662679187929299</v>
      </c>
      <c r="W182" s="93">
        <f t="shared" si="110"/>
        <v>-3.1243354145603273</v>
      </c>
      <c r="X182" s="112">
        <f t="shared" si="122"/>
        <v>180.98876696243684</v>
      </c>
      <c r="Y182" s="110"/>
      <c r="Z182" s="86">
        <f t="shared" si="107"/>
        <v>1.0000000212505811</v>
      </c>
      <c r="AA182" s="108">
        <f t="shared" si="111"/>
        <v>-8.9608826301012918</v>
      </c>
      <c r="AB182" s="108">
        <f t="shared" si="112"/>
        <v>-0.15709863807020982</v>
      </c>
      <c r="AC182" s="108">
        <f t="shared" si="113"/>
        <v>4.4359779510731752</v>
      </c>
      <c r="AD182" s="110">
        <f t="shared" si="114"/>
        <v>-5852.7961444139883</v>
      </c>
      <c r="AE182" s="110">
        <f t="shared" si="115"/>
        <v>-856.85130939654744</v>
      </c>
      <c r="AF182" s="110">
        <f t="shared" si="116"/>
        <v>10293.696787473655</v>
      </c>
    </row>
    <row r="183" spans="1:32" x14ac:dyDescent="0.2">
      <c r="A183" s="3">
        <v>13846</v>
      </c>
      <c r="B183" s="3">
        <v>62.95</v>
      </c>
      <c r="C183" s="3">
        <v>177.91</v>
      </c>
      <c r="E183" s="93">
        <f t="shared" si="99"/>
        <v>1.0986847641304305</v>
      </c>
      <c r="F183" s="93">
        <f t="shared" si="99"/>
        <v>3.1051152722231117</v>
      </c>
      <c r="H183" s="86">
        <f t="shared" si="100"/>
        <v>4.5248597184193384E-2</v>
      </c>
      <c r="I183" s="86">
        <f t="shared" si="101"/>
        <v>1.0001706545694364</v>
      </c>
      <c r="J183" s="108">
        <f t="shared" si="102"/>
        <v>-85.726239171435154</v>
      </c>
      <c r="K183" s="108">
        <f t="shared" si="103"/>
        <v>1.0189434720829222</v>
      </c>
      <c r="L183" s="108">
        <f t="shared" si="104"/>
        <v>43.178714067622195</v>
      </c>
      <c r="M183" s="95">
        <f t="shared" ref="M183:O198" si="123">M182+J183</f>
        <v>-6015.5658295233097</v>
      </c>
      <c r="N183" s="95">
        <f t="shared" si="123"/>
        <v>-856.98135692255971</v>
      </c>
      <c r="O183" s="95">
        <f t="shared" si="123"/>
        <v>10375.072041089627</v>
      </c>
      <c r="P183" s="86"/>
      <c r="Q183" s="18">
        <f t="shared" si="117"/>
        <v>13760</v>
      </c>
      <c r="R183" s="93">
        <f t="shared" si="108"/>
        <v>10</v>
      </c>
      <c r="S183" s="93">
        <f t="shared" si="118"/>
        <v>96</v>
      </c>
      <c r="T183" s="93">
        <f t="shared" si="119"/>
        <v>4.7133955400201445E-3</v>
      </c>
      <c r="U183" s="109">
        <f t="shared" si="109"/>
        <v>1.1088028221817805</v>
      </c>
      <c r="V183" s="112">
        <f t="shared" si="121"/>
        <v>63.529722023210724</v>
      </c>
      <c r="W183" s="93">
        <f t="shared" si="110"/>
        <v>-3.1341087075635121</v>
      </c>
      <c r="X183" s="112">
        <f t="shared" si="122"/>
        <v>180.42879852140962</v>
      </c>
      <c r="Y183" s="110"/>
      <c r="Z183" s="86">
        <f t="shared" si="107"/>
        <v>1.0000018513455728</v>
      </c>
      <c r="AA183" s="108">
        <f t="shared" si="111"/>
        <v>-8.9539249511900056</v>
      </c>
      <c r="AB183" s="108">
        <f t="shared" si="112"/>
        <v>-8.9774461134899383E-2</v>
      </c>
      <c r="AC183" s="108">
        <f t="shared" si="113"/>
        <v>4.4518516799839771</v>
      </c>
      <c r="AD183" s="110">
        <f t="shared" si="114"/>
        <v>-5938.7935153030649</v>
      </c>
      <c r="AE183" s="110">
        <f t="shared" si="115"/>
        <v>-858.09007485577752</v>
      </c>
      <c r="AF183" s="110">
        <f t="shared" si="116"/>
        <v>10336.345178701988</v>
      </c>
    </row>
    <row r="184" spans="1:32" x14ac:dyDescent="0.2">
      <c r="A184" s="3">
        <v>13942</v>
      </c>
      <c r="B184" s="3">
        <v>62.12</v>
      </c>
      <c r="C184" s="3">
        <v>175.21</v>
      </c>
      <c r="E184" s="93">
        <f t="shared" si="99"/>
        <v>1.0841985313388776</v>
      </c>
      <c r="F184" s="93">
        <f t="shared" si="99"/>
        <v>3.057991382419265</v>
      </c>
      <c r="H184" s="86">
        <f t="shared" si="100"/>
        <v>4.424960317157911E-2</v>
      </c>
      <c r="I184" s="86">
        <f t="shared" si="101"/>
        <v>1.0001632009036618</v>
      </c>
      <c r="J184" s="108">
        <f t="shared" si="102"/>
        <v>-85.01511839571063</v>
      </c>
      <c r="K184" s="108">
        <f t="shared" si="103"/>
        <v>5.1028221118892825</v>
      </c>
      <c r="L184" s="108">
        <f t="shared" si="104"/>
        <v>44.281905828147288</v>
      </c>
      <c r="M184" s="95">
        <f t="shared" si="123"/>
        <v>-6100.5809479190202</v>
      </c>
      <c r="N184" s="95">
        <f t="shared" si="123"/>
        <v>-851.87853481067043</v>
      </c>
      <c r="O184" s="95">
        <f t="shared" si="123"/>
        <v>10419.353946917774</v>
      </c>
      <c r="P184" s="86"/>
      <c r="Q184" s="18">
        <f t="shared" si="117"/>
        <v>13856</v>
      </c>
      <c r="R184" s="93">
        <f t="shared" si="108"/>
        <v>10</v>
      </c>
      <c r="S184" s="93">
        <f t="shared" si="118"/>
        <v>96</v>
      </c>
      <c r="T184" s="93">
        <f t="shared" si="119"/>
        <v>4.6093336637061579E-3</v>
      </c>
      <c r="U184" s="109">
        <f t="shared" si="109"/>
        <v>1.0971336571314172</v>
      </c>
      <c r="V184" s="112">
        <f t="shared" si="121"/>
        <v>62.861128115383337</v>
      </c>
      <c r="W184" s="93">
        <f t="shared" si="110"/>
        <v>3.1002397013316947</v>
      </c>
      <c r="X184" s="112">
        <f t="shared" si="122"/>
        <v>177.63065036520499</v>
      </c>
      <c r="Y184" s="110"/>
      <c r="Z184" s="86">
        <f t="shared" si="107"/>
        <v>1.0000017705001636</v>
      </c>
      <c r="AA184" s="108">
        <f t="shared" si="111"/>
        <v>-8.8958172335251184</v>
      </c>
      <c r="AB184" s="108">
        <f t="shared" si="112"/>
        <v>0.3463484515692028</v>
      </c>
      <c r="AC184" s="108">
        <f t="shared" si="113"/>
        <v>4.5545912493107776</v>
      </c>
      <c r="AD184" s="110">
        <f t="shared" si="114"/>
        <v>-6024.4616467568349</v>
      </c>
      <c r="AE184" s="110">
        <f t="shared" si="115"/>
        <v>-856.63500847099056</v>
      </c>
      <c r="AF184" s="110">
        <f t="shared" si="116"/>
        <v>10379.626632338937</v>
      </c>
    </row>
    <row r="185" spans="1:32" x14ac:dyDescent="0.2">
      <c r="A185" s="3">
        <v>14037</v>
      </c>
      <c r="B185" s="3">
        <v>61.45</v>
      </c>
      <c r="C185" s="3">
        <v>173.39</v>
      </c>
      <c r="E185" s="93">
        <f t="shared" si="99"/>
        <v>1.0725048253505156</v>
      </c>
      <c r="F185" s="93">
        <f t="shared" si="99"/>
        <v>3.0262263900329676</v>
      </c>
      <c r="H185" s="86">
        <f t="shared" si="100"/>
        <v>3.0334614201861232E-2</v>
      </c>
      <c r="I185" s="86">
        <f t="shared" si="101"/>
        <v>1.0000766894584505</v>
      </c>
      <c r="J185" s="108">
        <f t="shared" si="102"/>
        <v>-83.293035713538202</v>
      </c>
      <c r="K185" s="108">
        <f t="shared" si="103"/>
        <v>8.3095585184538763</v>
      </c>
      <c r="L185" s="108">
        <f t="shared" si="104"/>
        <v>44.916916650685835</v>
      </c>
      <c r="M185" s="95">
        <f t="shared" si="123"/>
        <v>-6183.8739836325585</v>
      </c>
      <c r="N185" s="95">
        <f t="shared" si="123"/>
        <v>-843.56897629221658</v>
      </c>
      <c r="O185" s="95">
        <f t="shared" si="123"/>
        <v>10464.270863568459</v>
      </c>
      <c r="P185" s="86"/>
      <c r="Q185" s="18">
        <f t="shared" si="117"/>
        <v>13952</v>
      </c>
      <c r="R185" s="93">
        <f t="shared" si="108"/>
        <v>10</v>
      </c>
      <c r="S185" s="93">
        <f t="shared" si="118"/>
        <v>95</v>
      </c>
      <c r="T185" s="93">
        <f t="shared" si="119"/>
        <v>3.1931172844064451E-3</v>
      </c>
      <c r="U185" s="109">
        <f t="shared" si="109"/>
        <v>1.0829479239678657</v>
      </c>
      <c r="V185" s="112">
        <f t="shared" si="121"/>
        <v>62.048345475813072</v>
      </c>
      <c r="W185" s="93">
        <f t="shared" si="110"/>
        <v>3.0546664584249261</v>
      </c>
      <c r="X185" s="112">
        <f t="shared" si="122"/>
        <v>175.01949588792263</v>
      </c>
      <c r="Y185" s="110"/>
      <c r="Z185" s="86">
        <f t="shared" si="107"/>
        <v>1.0000008496673656</v>
      </c>
      <c r="AA185" s="108">
        <f t="shared" si="111"/>
        <v>-8.8042570686106174</v>
      </c>
      <c r="AB185" s="108">
        <f t="shared" si="112"/>
        <v>0.75250337956474866</v>
      </c>
      <c r="AC185" s="108">
        <f t="shared" si="113"/>
        <v>4.6817423217155536</v>
      </c>
      <c r="AD185" s="110">
        <f t="shared" si="114"/>
        <v>-6109.3852049876305</v>
      </c>
      <c r="AE185" s="110">
        <f t="shared" si="115"/>
        <v>-851.12603143110573</v>
      </c>
      <c r="AF185" s="110">
        <f t="shared" si="116"/>
        <v>10424.03568923949</v>
      </c>
    </row>
    <row r="186" spans="1:32" x14ac:dyDescent="0.2">
      <c r="A186" s="3">
        <v>14133</v>
      </c>
      <c r="B186" s="3">
        <v>60.75</v>
      </c>
      <c r="C186" s="3">
        <v>171.99</v>
      </c>
      <c r="E186" s="93">
        <f t="shared" si="99"/>
        <v>1.0602875205865552</v>
      </c>
      <c r="F186" s="93">
        <f t="shared" si="99"/>
        <v>3.0017917805050476</v>
      </c>
      <c r="H186" s="86">
        <f t="shared" si="100"/>
        <v>2.4634291584818113E-2</v>
      </c>
      <c r="I186" s="86">
        <f t="shared" si="101"/>
        <v>1.0000505737625531</v>
      </c>
      <c r="J186" s="108">
        <f t="shared" si="102"/>
        <v>-83.358380746527743</v>
      </c>
      <c r="K186" s="108">
        <f t="shared" si="103"/>
        <v>10.689751748783623</v>
      </c>
      <c r="L186" s="108">
        <f t="shared" si="104"/>
        <v>46.396589495161841</v>
      </c>
      <c r="M186" s="95">
        <f t="shared" si="123"/>
        <v>-6267.232364379086</v>
      </c>
      <c r="N186" s="95">
        <f t="shared" si="123"/>
        <v>-832.879224543433</v>
      </c>
      <c r="O186" s="95">
        <f t="shared" si="123"/>
        <v>10510.667453063621</v>
      </c>
      <c r="P186" s="86"/>
      <c r="Q186" s="18">
        <f t="shared" si="117"/>
        <v>14047</v>
      </c>
      <c r="R186" s="93">
        <f t="shared" si="108"/>
        <v>10</v>
      </c>
      <c r="S186" s="93">
        <f t="shared" si="118"/>
        <v>96</v>
      </c>
      <c r="T186" s="93">
        <f t="shared" si="119"/>
        <v>2.5660720400852203E-3</v>
      </c>
      <c r="U186" s="109">
        <f t="shared" si="109"/>
        <v>1.0712204685274704</v>
      </c>
      <c r="V186" s="112">
        <f t="shared" si="121"/>
        <v>61.376411774650691</v>
      </c>
      <c r="W186" s="93">
        <f t="shared" si="110"/>
        <v>3.023696452781373</v>
      </c>
      <c r="X186" s="112">
        <f t="shared" si="122"/>
        <v>173.24504527305069</v>
      </c>
      <c r="Y186" s="110"/>
      <c r="Z186" s="86">
        <f t="shared" si="107"/>
        <v>1.0000005487275041</v>
      </c>
      <c r="AA186" s="108">
        <f t="shared" si="111"/>
        <v>-8.7212741399002258</v>
      </c>
      <c r="AB186" s="108">
        <f t="shared" si="112"/>
        <v>1.0218064183087494</v>
      </c>
      <c r="AC186" s="108">
        <f t="shared" si="113"/>
        <v>4.7848964615243617</v>
      </c>
      <c r="AD186" s="110">
        <f t="shared" si="114"/>
        <v>-6192.5952577724584</v>
      </c>
      <c r="AE186" s="110">
        <f t="shared" si="115"/>
        <v>-842.54716987390782</v>
      </c>
      <c r="AF186" s="110">
        <f t="shared" si="116"/>
        <v>10469.055760029984</v>
      </c>
    </row>
    <row r="187" spans="1:32" x14ac:dyDescent="0.2">
      <c r="A187" s="3">
        <v>14229</v>
      </c>
      <c r="B187" s="3">
        <v>60.17</v>
      </c>
      <c r="C187" s="3">
        <v>170.14</v>
      </c>
      <c r="E187" s="93">
        <f t="shared" si="99"/>
        <v>1.050164610924988</v>
      </c>
      <c r="F187" s="93">
        <f t="shared" si="99"/>
        <v>2.9695031893431523</v>
      </c>
      <c r="H187" s="86">
        <f t="shared" si="100"/>
        <v>2.9859221288327076E-2</v>
      </c>
      <c r="I187" s="86">
        <f t="shared" si="101"/>
        <v>1.0000743043827813</v>
      </c>
      <c r="J187" s="108">
        <f t="shared" si="102"/>
        <v>-82.502531326856612</v>
      </c>
      <c r="K187" s="108">
        <f t="shared" si="103"/>
        <v>12.967275174181369</v>
      </c>
      <c r="L187" s="108">
        <f t="shared" si="104"/>
        <v>47.333892629167948</v>
      </c>
      <c r="M187" s="95">
        <f t="shared" si="123"/>
        <v>-6349.734895705943</v>
      </c>
      <c r="N187" s="95">
        <f t="shared" si="123"/>
        <v>-819.9119493692516</v>
      </c>
      <c r="O187" s="95">
        <f t="shared" si="123"/>
        <v>10558.001345692788</v>
      </c>
      <c r="P187" s="86"/>
      <c r="Q187" s="18">
        <f t="shared" si="117"/>
        <v>14143</v>
      </c>
      <c r="R187" s="93">
        <f t="shared" si="108"/>
        <v>10</v>
      </c>
      <c r="S187" s="93">
        <f t="shared" si="118"/>
        <v>96</v>
      </c>
      <c r="T187" s="93">
        <f t="shared" si="119"/>
        <v>3.1103355508674039E-3</v>
      </c>
      <c r="U187" s="109">
        <f t="shared" si="109"/>
        <v>1.0592122808016819</v>
      </c>
      <c r="V187" s="112">
        <f t="shared" si="121"/>
        <v>60.688393298362207</v>
      </c>
      <c r="W187" s="93">
        <f t="shared" si="110"/>
        <v>2.99844569150302</v>
      </c>
      <c r="X187" s="112">
        <f t="shared" si="122"/>
        <v>171.7982832223087</v>
      </c>
      <c r="Y187" s="110"/>
      <c r="Z187" s="86">
        <f t="shared" si="107"/>
        <v>1.0000008061830499</v>
      </c>
      <c r="AA187" s="108">
        <f t="shared" si="111"/>
        <v>-8.6351834583218157</v>
      </c>
      <c r="AB187" s="108">
        <f t="shared" si="112"/>
        <v>1.2298649839957307</v>
      </c>
      <c r="AC187" s="108">
        <f t="shared" si="113"/>
        <v>4.8909056568354989</v>
      </c>
      <c r="AD187" s="110">
        <f t="shared" si="114"/>
        <v>-6275.867547837408</v>
      </c>
      <c r="AE187" s="110">
        <f t="shared" si="115"/>
        <v>-831.64935955943724</v>
      </c>
      <c r="AF187" s="110">
        <f t="shared" si="116"/>
        <v>10515.558358720456</v>
      </c>
    </row>
    <row r="188" spans="1:32" x14ac:dyDescent="0.2">
      <c r="A188" s="3">
        <v>14326</v>
      </c>
      <c r="B188" s="3">
        <v>60.02</v>
      </c>
      <c r="C188" s="3">
        <v>167.73</v>
      </c>
      <c r="E188" s="93">
        <f t="shared" si="99"/>
        <v>1.0475466170469967</v>
      </c>
      <c r="F188" s="93">
        <f t="shared" si="99"/>
        <v>2.9274407543700889</v>
      </c>
      <c r="H188" s="86">
        <f t="shared" si="100"/>
        <v>3.655513709896252E-2</v>
      </c>
      <c r="I188" s="86">
        <f t="shared" si="101"/>
        <v>1.0001113713863645</v>
      </c>
      <c r="J188" s="108">
        <f t="shared" si="102"/>
        <v>-82.512760014561451</v>
      </c>
      <c r="K188" s="108">
        <f t="shared" si="103"/>
        <v>16.134665244389101</v>
      </c>
      <c r="L188" s="108">
        <f t="shared" si="104"/>
        <v>48.3659932757826</v>
      </c>
      <c r="M188" s="95">
        <f t="shared" si="123"/>
        <v>-6432.2476557205046</v>
      </c>
      <c r="N188" s="95">
        <f t="shared" si="123"/>
        <v>-803.77728412486249</v>
      </c>
      <c r="O188" s="95">
        <f t="shared" si="123"/>
        <v>10606.36733896857</v>
      </c>
      <c r="P188" s="86"/>
      <c r="Q188" s="18">
        <f t="shared" si="117"/>
        <v>14239</v>
      </c>
      <c r="R188" s="93">
        <f t="shared" si="108"/>
        <v>10</v>
      </c>
      <c r="S188" s="93">
        <f t="shared" si="118"/>
        <v>97</v>
      </c>
      <c r="T188" s="93">
        <f t="shared" si="119"/>
        <v>3.7685708349445893E-3</v>
      </c>
      <c r="U188" s="109">
        <f t="shared" si="109"/>
        <v>1.0498594027997963</v>
      </c>
      <c r="V188" s="112">
        <f t="shared" si="121"/>
        <v>60.152512862553408</v>
      </c>
      <c r="W188" s="93">
        <f t="shared" si="110"/>
        <v>2.9651729313843926</v>
      </c>
      <c r="X188" s="112">
        <f t="shared" si="122"/>
        <v>169.89189449476015</v>
      </c>
      <c r="Y188" s="110"/>
      <c r="Z188" s="86">
        <f t="shared" si="107"/>
        <v>1.0000011835121925</v>
      </c>
      <c r="AA188" s="108">
        <f t="shared" si="111"/>
        <v>-8.5429191976005541</v>
      </c>
      <c r="AB188" s="108">
        <f t="shared" si="112"/>
        <v>1.5038939043301374</v>
      </c>
      <c r="AC188" s="108">
        <f t="shared" si="113"/>
        <v>4.9756121590002831</v>
      </c>
      <c r="AD188" s="110">
        <f t="shared" si="114"/>
        <v>-6358.2778149035439</v>
      </c>
      <c r="AE188" s="110">
        <f t="shared" si="115"/>
        <v>-818.40805546492152</v>
      </c>
      <c r="AF188" s="110">
        <f t="shared" si="116"/>
        <v>10562.976957851788</v>
      </c>
    </row>
    <row r="189" spans="1:32" x14ac:dyDescent="0.2">
      <c r="A189" s="3">
        <v>14422</v>
      </c>
      <c r="B189" s="3">
        <v>59.84</v>
      </c>
      <c r="C189" s="3">
        <v>164.93</v>
      </c>
      <c r="E189" s="93">
        <f t="shared" si="99"/>
        <v>1.0444050243934069</v>
      </c>
      <c r="F189" s="93">
        <f t="shared" si="99"/>
        <v>2.878571535314248</v>
      </c>
      <c r="H189" s="86">
        <f t="shared" si="100"/>
        <v>4.2407535711037392E-2</v>
      </c>
      <c r="I189" s="86">
        <f t="shared" si="101"/>
        <v>1.0001498935473232</v>
      </c>
      <c r="J189" s="108">
        <f t="shared" si="102"/>
        <v>-80.714669505171813</v>
      </c>
      <c r="K189" s="108">
        <f t="shared" si="103"/>
        <v>19.629447501632036</v>
      </c>
      <c r="L189" s="108">
        <f t="shared" si="104"/>
        <v>48.108687674349234</v>
      </c>
      <c r="M189" s="95">
        <f t="shared" si="123"/>
        <v>-6512.9623252256761</v>
      </c>
      <c r="N189" s="95">
        <f t="shared" si="123"/>
        <v>-784.14783662323043</v>
      </c>
      <c r="O189" s="95">
        <f t="shared" si="123"/>
        <v>10654.476026642918</v>
      </c>
      <c r="P189" s="86"/>
      <c r="Q189" s="18">
        <f t="shared" si="117"/>
        <v>14336</v>
      </c>
      <c r="R189" s="93">
        <f t="shared" si="108"/>
        <v>10</v>
      </c>
      <c r="S189" s="93">
        <f t="shared" si="118"/>
        <v>96</v>
      </c>
      <c r="T189" s="93">
        <f t="shared" si="119"/>
        <v>4.4174516365663953E-3</v>
      </c>
      <c r="U189" s="109">
        <f t="shared" si="109"/>
        <v>1.0471711130944281</v>
      </c>
      <c r="V189" s="112">
        <f t="shared" si="121"/>
        <v>59.998485208327345</v>
      </c>
      <c r="W189" s="93">
        <f t="shared" si="110"/>
        <v>2.922358854587364</v>
      </c>
      <c r="X189" s="112">
        <f t="shared" si="122"/>
        <v>167.43882859054142</v>
      </c>
      <c r="Y189" s="110"/>
      <c r="Z189" s="86">
        <f t="shared" si="107"/>
        <v>1.0000016261597533</v>
      </c>
      <c r="AA189" s="108">
        <f t="shared" si="111"/>
        <v>-8.4584982696689881</v>
      </c>
      <c r="AB189" s="108">
        <f t="shared" si="112"/>
        <v>1.8621312828473087</v>
      </c>
      <c r="AC189" s="108">
        <f t="shared" si="113"/>
        <v>4.9986109562453374</v>
      </c>
      <c r="AD189" s="110">
        <f t="shared" si="114"/>
        <v>-6440.7061539901733</v>
      </c>
      <c r="AE189" s="110">
        <f t="shared" si="115"/>
        <v>-801.91515284201523</v>
      </c>
      <c r="AF189" s="110">
        <f t="shared" si="116"/>
        <v>10611.365949924815</v>
      </c>
    </row>
    <row r="190" spans="1:32" x14ac:dyDescent="0.2">
      <c r="A190" s="3">
        <v>14517</v>
      </c>
      <c r="B190" s="3">
        <v>59.37</v>
      </c>
      <c r="C190" s="3">
        <v>161.79</v>
      </c>
      <c r="E190" s="93">
        <f t="shared" si="99"/>
        <v>1.0362019769090334</v>
      </c>
      <c r="F190" s="93">
        <f t="shared" si="99"/>
        <v>2.8237681968016255</v>
      </c>
      <c r="H190" s="86">
        <f t="shared" si="100"/>
        <v>4.7975757949658027E-2</v>
      </c>
      <c r="I190" s="86">
        <f t="shared" si="101"/>
        <v>1.0001918502703568</v>
      </c>
      <c r="J190" s="108">
        <f t="shared" si="102"/>
        <v>-78.497928101936807</v>
      </c>
      <c r="K190" s="108">
        <f t="shared" si="103"/>
        <v>23.455294817851186</v>
      </c>
      <c r="L190" s="108">
        <f t="shared" si="104"/>
        <v>48.074874012833767</v>
      </c>
      <c r="M190" s="95">
        <f t="shared" si="123"/>
        <v>-6591.4602533276129</v>
      </c>
      <c r="N190" s="95">
        <f t="shared" si="123"/>
        <v>-760.69254180537928</v>
      </c>
      <c r="O190" s="95">
        <f t="shared" si="123"/>
        <v>10702.550900655751</v>
      </c>
      <c r="P190" s="86"/>
      <c r="Q190" s="18">
        <f t="shared" si="117"/>
        <v>14432</v>
      </c>
      <c r="R190" s="93">
        <f t="shared" si="108"/>
        <v>10</v>
      </c>
      <c r="S190" s="93">
        <f t="shared" si="118"/>
        <v>95</v>
      </c>
      <c r="T190" s="93">
        <f t="shared" si="119"/>
        <v>5.050079784174529E-3</v>
      </c>
      <c r="U190" s="109">
        <f t="shared" si="109"/>
        <v>1.0434800418394092</v>
      </c>
      <c r="V190" s="112">
        <f t="shared" si="121"/>
        <v>59.787002403532711</v>
      </c>
      <c r="W190" s="93">
        <f t="shared" si="110"/>
        <v>2.8728280290335517</v>
      </c>
      <c r="X190" s="112">
        <f t="shared" si="122"/>
        <v>164.60092133050924</v>
      </c>
      <c r="Y190" s="110"/>
      <c r="Z190" s="86">
        <f t="shared" si="107"/>
        <v>1.0000021252809057</v>
      </c>
      <c r="AA190" s="108">
        <f t="shared" si="111"/>
        <v>-8.3401544883899899</v>
      </c>
      <c r="AB190" s="108">
        <f t="shared" si="112"/>
        <v>2.2713625705378764</v>
      </c>
      <c r="AC190" s="108">
        <f t="shared" si="113"/>
        <v>5.0281728943603383</v>
      </c>
      <c r="AD190" s="110">
        <f t="shared" si="114"/>
        <v>-6521.3024797140661</v>
      </c>
      <c r="AE190" s="110">
        <f t="shared" si="115"/>
        <v>-781.87647405269252</v>
      </c>
      <c r="AF190" s="110">
        <f t="shared" si="116"/>
        <v>10659.504199537279</v>
      </c>
    </row>
    <row r="191" spans="1:32" x14ac:dyDescent="0.2">
      <c r="A191" s="3">
        <v>14611</v>
      </c>
      <c r="B191" s="3">
        <v>58.42</v>
      </c>
      <c r="C191" s="3">
        <v>158.69</v>
      </c>
      <c r="E191" s="93">
        <f t="shared" si="99"/>
        <v>1.0196213490150874</v>
      </c>
      <c r="F191" s="93">
        <f t="shared" si="99"/>
        <v>2.7696629899898015</v>
      </c>
      <c r="H191" s="86">
        <f t="shared" si="100"/>
        <v>4.9201415031729478E-2</v>
      </c>
      <c r="I191" s="86">
        <f t="shared" si="101"/>
        <v>1.0002017804501604</v>
      </c>
      <c r="J191" s="108">
        <f t="shared" si="102"/>
        <v>-75.734322744487372</v>
      </c>
      <c r="K191" s="108">
        <f t="shared" si="103"/>
        <v>27.194750036824061</v>
      </c>
      <c r="L191" s="108">
        <f t="shared" si="104"/>
        <v>48.56928630574113</v>
      </c>
      <c r="M191" s="95">
        <f t="shared" si="123"/>
        <v>-6667.1945760721001</v>
      </c>
      <c r="N191" s="95">
        <f t="shared" si="123"/>
        <v>-733.4977917685552</v>
      </c>
      <c r="O191" s="95">
        <f t="shared" si="123"/>
        <v>10751.120186961492</v>
      </c>
      <c r="P191" s="86"/>
      <c r="Q191" s="18">
        <f t="shared" si="117"/>
        <v>14527</v>
      </c>
      <c r="R191" s="93">
        <f t="shared" si="108"/>
        <v>10</v>
      </c>
      <c r="S191" s="93">
        <f t="shared" si="118"/>
        <v>94</v>
      </c>
      <c r="T191" s="93">
        <f t="shared" si="119"/>
        <v>5.2341930884818597E-3</v>
      </c>
      <c r="U191" s="109">
        <f t="shared" si="109"/>
        <v>1.0343769855679286</v>
      </c>
      <c r="V191" s="112">
        <f t="shared" si="121"/>
        <v>59.265435698506771</v>
      </c>
      <c r="W191" s="93">
        <f t="shared" si="110"/>
        <v>2.8180639233452847</v>
      </c>
      <c r="X191" s="112">
        <f t="shared" si="122"/>
        <v>161.46316920576317</v>
      </c>
      <c r="Y191" s="110"/>
      <c r="Z191" s="86">
        <f t="shared" si="107"/>
        <v>1.0000022830710289</v>
      </c>
      <c r="AA191" s="108">
        <f t="shared" si="111"/>
        <v>-8.1616745111328868</v>
      </c>
      <c r="AB191" s="108">
        <f t="shared" si="112"/>
        <v>2.7108084147674569</v>
      </c>
      <c r="AC191" s="108">
        <f t="shared" si="113"/>
        <v>5.10277949812461</v>
      </c>
      <c r="AD191" s="110">
        <f t="shared" si="114"/>
        <v>-6599.6219278387462</v>
      </c>
      <c r="AE191" s="110">
        <f t="shared" si="115"/>
        <v>-757.98173339061179</v>
      </c>
      <c r="AF191" s="110">
        <f t="shared" si="116"/>
        <v>10707.653680153875</v>
      </c>
    </row>
    <row r="192" spans="1:32" x14ac:dyDescent="0.2">
      <c r="A192" s="3">
        <v>14707</v>
      </c>
      <c r="B192" s="3">
        <v>57.8</v>
      </c>
      <c r="C192" s="3">
        <v>156</v>
      </c>
      <c r="E192" s="93">
        <f t="shared" si="99"/>
        <v>1.0088003076527223</v>
      </c>
      <c r="F192" s="93">
        <f t="shared" si="99"/>
        <v>2.7227136331111539</v>
      </c>
      <c r="H192" s="86">
        <f t="shared" si="100"/>
        <v>4.1304225629585245E-2</v>
      </c>
      <c r="I192" s="86">
        <f t="shared" si="101"/>
        <v>1.00014219418017</v>
      </c>
      <c r="J192" s="108">
        <f t="shared" si="102"/>
        <v>-75.212234500777342</v>
      </c>
      <c r="K192" s="108">
        <f t="shared" si="103"/>
        <v>31.385593645373476</v>
      </c>
      <c r="L192" s="108">
        <f t="shared" si="104"/>
        <v>50.722323778014548</v>
      </c>
      <c r="M192" s="95">
        <f t="shared" si="123"/>
        <v>-6742.4068105728775</v>
      </c>
      <c r="N192" s="95">
        <f t="shared" si="123"/>
        <v>-702.11219812318177</v>
      </c>
      <c r="O192" s="95">
        <f t="shared" si="123"/>
        <v>10801.842510739507</v>
      </c>
      <c r="P192" s="86"/>
      <c r="Q192" s="18">
        <f t="shared" si="117"/>
        <v>14621</v>
      </c>
      <c r="R192" s="93">
        <f t="shared" si="108"/>
        <v>10</v>
      </c>
      <c r="S192" s="93">
        <f t="shared" si="118"/>
        <v>96</v>
      </c>
      <c r="T192" s="93">
        <f t="shared" si="119"/>
        <v>4.3025235030817966E-3</v>
      </c>
      <c r="U192" s="109">
        <f t="shared" si="109"/>
        <v>1.018448249124094</v>
      </c>
      <c r="V192" s="112">
        <f t="shared" si="121"/>
        <v>58.35278632729883</v>
      </c>
      <c r="W192" s="93">
        <f t="shared" si="110"/>
        <v>2.7648021399832956</v>
      </c>
      <c r="X192" s="112">
        <f t="shared" si="122"/>
        <v>158.41149380978106</v>
      </c>
      <c r="Y192" s="110"/>
      <c r="Z192" s="86">
        <f t="shared" si="107"/>
        <v>1.0000015426452302</v>
      </c>
      <c r="AA192" s="108">
        <f t="shared" si="111"/>
        <v>-7.9262104750782143</v>
      </c>
      <c r="AB192" s="108">
        <f t="shared" si="112"/>
        <v>3.1141025861744485</v>
      </c>
      <c r="AC192" s="108">
        <f t="shared" si="113"/>
        <v>5.2418888125750751</v>
      </c>
      <c r="AD192" s="110">
        <f t="shared" si="114"/>
        <v>-6675.1207865471779</v>
      </c>
      <c r="AE192" s="110">
        <f t="shared" si="115"/>
        <v>-730.38368918238075</v>
      </c>
      <c r="AF192" s="110">
        <f t="shared" si="116"/>
        <v>10756.362075774068</v>
      </c>
    </row>
    <row r="193" spans="1:32" x14ac:dyDescent="0.2">
      <c r="A193" s="3">
        <v>14803</v>
      </c>
      <c r="B193" s="3">
        <v>57.91</v>
      </c>
      <c r="C193" s="3">
        <v>153.36000000000001</v>
      </c>
      <c r="E193" s="93">
        <f t="shared" si="99"/>
        <v>1.0107201698299162</v>
      </c>
      <c r="F193" s="93">
        <f t="shared" si="99"/>
        <v>2.6766369408585042</v>
      </c>
      <c r="H193" s="86">
        <f t="shared" si="100"/>
        <v>3.9059554502228755E-2</v>
      </c>
      <c r="I193" s="86">
        <f t="shared" si="101"/>
        <v>1.0001271567995231</v>
      </c>
      <c r="J193" s="108">
        <f t="shared" si="102"/>
        <v>-73.464291193228831</v>
      </c>
      <c r="K193" s="108">
        <f t="shared" si="103"/>
        <v>34.759040063516743</v>
      </c>
      <c r="L193" s="108">
        <f t="shared" si="104"/>
        <v>51.084590774983873</v>
      </c>
      <c r="M193" s="95">
        <f t="shared" si="123"/>
        <v>-6815.8711017661062</v>
      </c>
      <c r="N193" s="95">
        <f t="shared" si="123"/>
        <v>-667.35315805966502</v>
      </c>
      <c r="O193" s="95">
        <f t="shared" si="123"/>
        <v>10852.927101514491</v>
      </c>
      <c r="P193" s="86"/>
      <c r="Q193" s="18">
        <f t="shared" si="117"/>
        <v>14717</v>
      </c>
      <c r="R193" s="93">
        <f t="shared" si="108"/>
        <v>10</v>
      </c>
      <c r="S193" s="93">
        <f t="shared" si="118"/>
        <v>96</v>
      </c>
      <c r="T193" s="93">
        <f t="shared" si="119"/>
        <v>4.068703593982162E-3</v>
      </c>
      <c r="U193" s="109">
        <f t="shared" si="109"/>
        <v>1.0089556238081985</v>
      </c>
      <c r="V193" s="112">
        <f t="shared" si="121"/>
        <v>57.808898960198974</v>
      </c>
      <c r="W193" s="93">
        <f t="shared" si="110"/>
        <v>2.7179091268642885</v>
      </c>
      <c r="X193" s="112">
        <f t="shared" si="122"/>
        <v>155.72472206941038</v>
      </c>
      <c r="Y193" s="110"/>
      <c r="Z193" s="86">
        <f t="shared" si="107"/>
        <v>1.0000013795313616</v>
      </c>
      <c r="AA193" s="108">
        <f t="shared" si="111"/>
        <v>-7.7224344707401977</v>
      </c>
      <c r="AB193" s="108">
        <f t="shared" si="112"/>
        <v>3.4605029077792206</v>
      </c>
      <c r="AC193" s="108">
        <f t="shared" si="113"/>
        <v>5.328112941515359</v>
      </c>
      <c r="AD193" s="110">
        <f t="shared" si="114"/>
        <v>-6750.1292450436176</v>
      </c>
      <c r="AE193" s="110">
        <f t="shared" si="115"/>
        <v>-698.65169521540258</v>
      </c>
      <c r="AF193" s="110">
        <f t="shared" si="116"/>
        <v>10807.170623681022</v>
      </c>
    </row>
    <row r="194" spans="1:32" x14ac:dyDescent="0.2">
      <c r="A194" s="3">
        <v>14900</v>
      </c>
      <c r="B194" s="3">
        <v>58.12</v>
      </c>
      <c r="C194" s="3">
        <v>151.01</v>
      </c>
      <c r="E194" s="93">
        <f t="shared" si="99"/>
        <v>1.0143853612591043</v>
      </c>
      <c r="F194" s="93">
        <f t="shared" si="99"/>
        <v>2.6356217034366369</v>
      </c>
      <c r="H194" s="86">
        <f t="shared" si="100"/>
        <v>3.498040286232329E-2</v>
      </c>
      <c r="I194" s="86">
        <f t="shared" si="101"/>
        <v>1.0001019815274703</v>
      </c>
      <c r="J194" s="108">
        <f t="shared" si="102"/>
        <v>-72.759167748110556</v>
      </c>
      <c r="K194" s="108">
        <f t="shared" si="103"/>
        <v>38.388087413560804</v>
      </c>
      <c r="L194" s="108">
        <f t="shared" si="104"/>
        <v>51.385784665447844</v>
      </c>
      <c r="M194" s="95">
        <f t="shared" si="123"/>
        <v>-6888.6302695142167</v>
      </c>
      <c r="N194" s="95">
        <f t="shared" si="123"/>
        <v>-628.96507064610421</v>
      </c>
      <c r="O194" s="95">
        <f t="shared" si="123"/>
        <v>10904.31288617994</v>
      </c>
      <c r="P194" s="86"/>
      <c r="Q194" s="18">
        <f t="shared" si="117"/>
        <v>14813</v>
      </c>
      <c r="R194" s="93">
        <f t="shared" si="108"/>
        <v>10</v>
      </c>
      <c r="S194" s="93">
        <f t="shared" si="118"/>
        <v>97</v>
      </c>
      <c r="T194" s="93">
        <f t="shared" si="119"/>
        <v>3.6062270992085863E-3</v>
      </c>
      <c r="U194" s="109">
        <f t="shared" si="109"/>
        <v>1.0110630202261586</v>
      </c>
      <c r="V194" s="112">
        <f t="shared" si="121"/>
        <v>57.929643880709072</v>
      </c>
      <c r="W194" s="93">
        <f t="shared" si="110"/>
        <v>2.6724001073864381</v>
      </c>
      <c r="X194" s="112">
        <f t="shared" si="122"/>
        <v>153.11724732355088</v>
      </c>
      <c r="Y194" s="110"/>
      <c r="Z194" s="86">
        <f t="shared" si="107"/>
        <v>1.0000010837409004</v>
      </c>
      <c r="AA194" s="108">
        <f t="shared" si="111"/>
        <v>-7.5654944625031009</v>
      </c>
      <c r="AB194" s="108">
        <f t="shared" si="112"/>
        <v>3.8152092826261312</v>
      </c>
      <c r="AC194" s="108">
        <f t="shared" si="113"/>
        <v>5.3110604679005711</v>
      </c>
      <c r="AD194" s="110">
        <f t="shared" si="114"/>
        <v>-6823.4365962286092</v>
      </c>
      <c r="AE194" s="110">
        <f t="shared" si="115"/>
        <v>-663.53794877703888</v>
      </c>
      <c r="AF194" s="110">
        <f t="shared" si="116"/>
        <v>10858.238161982392</v>
      </c>
    </row>
    <row r="195" spans="1:32" x14ac:dyDescent="0.2">
      <c r="A195" s="3">
        <v>14996</v>
      </c>
      <c r="B195" s="3">
        <v>58.16</v>
      </c>
      <c r="C195" s="3">
        <v>148.28</v>
      </c>
      <c r="E195" s="93">
        <f t="shared" si="99"/>
        <v>1.015083492959902</v>
      </c>
      <c r="F195" s="93">
        <f t="shared" si="99"/>
        <v>2.587974214857192</v>
      </c>
      <c r="H195" s="86">
        <f t="shared" si="100"/>
        <v>4.0473889938413832E-2</v>
      </c>
      <c r="I195" s="86">
        <f t="shared" si="101"/>
        <v>1.0001365336800097</v>
      </c>
      <c r="J195" s="108">
        <f t="shared" si="102"/>
        <v>-70.348304262898097</v>
      </c>
      <c r="K195" s="108">
        <f t="shared" si="103"/>
        <v>41.199357850424896</v>
      </c>
      <c r="L195" s="108">
        <f t="shared" si="104"/>
        <v>50.680084653380256</v>
      </c>
      <c r="M195" s="95">
        <f t="shared" si="123"/>
        <v>-6958.9785737771144</v>
      </c>
      <c r="N195" s="95">
        <f t="shared" si="123"/>
        <v>-587.76571279567929</v>
      </c>
      <c r="O195" s="95">
        <f t="shared" si="123"/>
        <v>10954.99297083332</v>
      </c>
      <c r="P195" s="86"/>
      <c r="Q195" s="18">
        <f t="shared" si="117"/>
        <v>14910</v>
      </c>
      <c r="R195" s="93">
        <f t="shared" si="108"/>
        <v>10</v>
      </c>
      <c r="S195" s="93">
        <f t="shared" si="118"/>
        <v>96</v>
      </c>
      <c r="T195" s="93">
        <f t="shared" si="119"/>
        <v>4.2160302019181081E-3</v>
      </c>
      <c r="U195" s="109">
        <f t="shared" si="109"/>
        <v>1.0144105736536724</v>
      </c>
      <c r="V195" s="112">
        <f t="shared" si="121"/>
        <v>58.121444563800168</v>
      </c>
      <c r="W195" s="93">
        <f t="shared" si="110"/>
        <v>2.6306568648290338</v>
      </c>
      <c r="X195" s="112">
        <f t="shared" si="122"/>
        <v>150.72553570182072</v>
      </c>
      <c r="Y195" s="110"/>
      <c r="Z195" s="86">
        <f t="shared" si="107"/>
        <v>1.0000014812451883</v>
      </c>
      <c r="AA195" s="108">
        <f t="shared" si="111"/>
        <v>-7.4174119090853976</v>
      </c>
      <c r="AB195" s="108">
        <f t="shared" si="112"/>
        <v>4.1339458159677376</v>
      </c>
      <c r="AC195" s="108">
        <f t="shared" si="113"/>
        <v>5.2813203308863219</v>
      </c>
      <c r="AD195" s="110">
        <f t="shared" si="114"/>
        <v>-6896.0476814233025</v>
      </c>
      <c r="AE195" s="110">
        <f t="shared" si="115"/>
        <v>-624.83112483013645</v>
      </c>
      <c r="AF195" s="110">
        <f t="shared" si="116"/>
        <v>10909.594206510827</v>
      </c>
    </row>
    <row r="196" spans="1:32" x14ac:dyDescent="0.2">
      <c r="A196" s="3">
        <v>15092</v>
      </c>
      <c r="B196" s="3">
        <v>57.74</v>
      </c>
      <c r="C196" s="3">
        <v>144.81</v>
      </c>
      <c r="E196" s="93">
        <f t="shared" si="99"/>
        <v>1.007753110101526</v>
      </c>
      <c r="F196" s="93">
        <f t="shared" si="99"/>
        <v>2.5274112898129886</v>
      </c>
      <c r="H196" s="86">
        <f t="shared" si="100"/>
        <v>5.1850569488843146E-2</v>
      </c>
      <c r="I196" s="86">
        <f t="shared" si="101"/>
        <v>1.0002241003788594</v>
      </c>
      <c r="J196" s="108">
        <f t="shared" si="102"/>
        <v>-67.873778068862492</v>
      </c>
      <c r="K196" s="108">
        <f t="shared" si="103"/>
        <v>44.84127443085594</v>
      </c>
      <c r="L196" s="108">
        <f t="shared" si="104"/>
        <v>50.954350052438286</v>
      </c>
      <c r="M196" s="95">
        <f t="shared" si="123"/>
        <v>-7026.852351845977</v>
      </c>
      <c r="N196" s="95">
        <f t="shared" si="123"/>
        <v>-542.92443836482335</v>
      </c>
      <c r="O196" s="95">
        <f t="shared" si="123"/>
        <v>11005.947320885758</v>
      </c>
      <c r="P196" s="86"/>
      <c r="Q196" s="18">
        <f t="shared" si="117"/>
        <v>15006</v>
      </c>
      <c r="R196" s="93">
        <f t="shared" si="108"/>
        <v>10</v>
      </c>
      <c r="S196" s="93">
        <f t="shared" si="118"/>
        <v>96</v>
      </c>
      <c r="T196" s="93">
        <f t="shared" si="119"/>
        <v>5.4011009884211616E-3</v>
      </c>
      <c r="U196" s="109">
        <f t="shared" si="109"/>
        <v>1.0142431831509504</v>
      </c>
      <c r="V196" s="112">
        <f t="shared" si="121"/>
        <v>58.111853794463627</v>
      </c>
      <c r="W196" s="93">
        <f t="shared" si="110"/>
        <v>2.5816921978062561</v>
      </c>
      <c r="X196" s="112">
        <f t="shared" si="122"/>
        <v>147.92006693615215</v>
      </c>
      <c r="Y196" s="110"/>
      <c r="Z196" s="86">
        <f t="shared" si="107"/>
        <v>1.0000024309980824</v>
      </c>
      <c r="AA196" s="108">
        <f t="shared" si="111"/>
        <v>-7.2103285697456361</v>
      </c>
      <c r="AB196" s="108">
        <f t="shared" si="112"/>
        <v>4.4880202130190208</v>
      </c>
      <c r="AC196" s="108">
        <f t="shared" si="113"/>
        <v>5.2790712615932645</v>
      </c>
      <c r="AD196" s="110">
        <f t="shared" si="114"/>
        <v>-6966.1889023468602</v>
      </c>
      <c r="AE196" s="110">
        <f t="shared" si="115"/>
        <v>-583.27769258266028</v>
      </c>
      <c r="AF196" s="110">
        <f t="shared" si="116"/>
        <v>10960.272042094914</v>
      </c>
    </row>
    <row r="197" spans="1:32" x14ac:dyDescent="0.2">
      <c r="A197" s="3">
        <v>15188</v>
      </c>
      <c r="B197" s="3">
        <v>57.09</v>
      </c>
      <c r="C197" s="3">
        <v>141.53</v>
      </c>
      <c r="E197" s="93">
        <f t="shared" si="99"/>
        <v>0.9964084699635628</v>
      </c>
      <c r="F197" s="93">
        <f t="shared" si="99"/>
        <v>2.4701644903475746</v>
      </c>
      <c r="H197" s="86">
        <f t="shared" si="100"/>
        <v>4.9549481498642134E-2</v>
      </c>
      <c r="I197" s="86">
        <f t="shared" si="101"/>
        <v>1.0002046461702729</v>
      </c>
      <c r="J197" s="108">
        <f t="shared" si="102"/>
        <v>-64.735669036710163</v>
      </c>
      <c r="K197" s="108">
        <f t="shared" si="103"/>
        <v>48.470865632147543</v>
      </c>
      <c r="L197" s="108">
        <f t="shared" si="104"/>
        <v>51.710568914741252</v>
      </c>
      <c r="M197" s="95">
        <f t="shared" si="123"/>
        <v>-7091.5880208826875</v>
      </c>
      <c r="N197" s="95">
        <f t="shared" si="123"/>
        <v>-494.45357273267581</v>
      </c>
      <c r="O197" s="95">
        <f t="shared" si="123"/>
        <v>11057.657889800499</v>
      </c>
      <c r="P197" s="86"/>
      <c r="Q197" s="18">
        <f t="shared" si="117"/>
        <v>15102</v>
      </c>
      <c r="R197" s="93">
        <f t="shared" si="108"/>
        <v>10</v>
      </c>
      <c r="S197" s="93">
        <f t="shared" si="118"/>
        <v>96</v>
      </c>
      <c r="T197" s="93">
        <f t="shared" si="119"/>
        <v>5.1614043227752229E-3</v>
      </c>
      <c r="U197" s="109">
        <f t="shared" si="109"/>
        <v>1.0065023409806622</v>
      </c>
      <c r="V197" s="112">
        <f t="shared" si="121"/>
        <v>57.668336208229221</v>
      </c>
      <c r="W197" s="93">
        <f t="shared" si="110"/>
        <v>2.5214872864516948</v>
      </c>
      <c r="X197" s="112">
        <f t="shared" si="122"/>
        <v>144.47057960957656</v>
      </c>
      <c r="Y197" s="110"/>
      <c r="Z197" s="86">
        <f t="shared" si="107"/>
        <v>1.0000022200137961</v>
      </c>
      <c r="AA197" s="108">
        <f t="shared" si="111"/>
        <v>-6.8937120179639217</v>
      </c>
      <c r="AB197" s="108">
        <f t="shared" si="112"/>
        <v>4.8918018130873913</v>
      </c>
      <c r="AC197" s="108">
        <f t="shared" si="113"/>
        <v>5.3429193924542462</v>
      </c>
      <c r="AD197" s="110">
        <f t="shared" si="114"/>
        <v>-7033.7460638639404</v>
      </c>
      <c r="AE197" s="110">
        <f t="shared" si="115"/>
        <v>-538.032636551736</v>
      </c>
      <c r="AF197" s="110">
        <f t="shared" si="116"/>
        <v>11011.290240278213</v>
      </c>
    </row>
    <row r="198" spans="1:32" x14ac:dyDescent="0.2">
      <c r="A198" s="3">
        <v>15284</v>
      </c>
      <c r="B198" s="3">
        <v>57</v>
      </c>
      <c r="C198" s="3">
        <v>138.85</v>
      </c>
      <c r="E198" s="93">
        <f t="shared" si="99"/>
        <v>0.99483767363676789</v>
      </c>
      <c r="F198" s="93">
        <f t="shared" si="99"/>
        <v>2.4233896663941263</v>
      </c>
      <c r="H198" s="86">
        <f t="shared" si="100"/>
        <v>3.9279017552413364E-2</v>
      </c>
      <c r="I198" s="86">
        <f t="shared" si="101"/>
        <v>1.0001285899410794</v>
      </c>
      <c r="J198" s="108">
        <f t="shared" si="102"/>
        <v>-61.870488452525471</v>
      </c>
      <c r="K198" s="108">
        <f t="shared" si="103"/>
        <v>51.565595852582177</v>
      </c>
      <c r="L198" s="108">
        <f t="shared" si="104"/>
        <v>52.2287960984428</v>
      </c>
      <c r="M198" s="95">
        <f t="shared" si="123"/>
        <v>-7153.4585093352125</v>
      </c>
      <c r="N198" s="95">
        <f t="shared" si="123"/>
        <v>-442.88797688009362</v>
      </c>
      <c r="O198" s="95">
        <f t="shared" si="123"/>
        <v>11109.886685898942</v>
      </c>
      <c r="P198" s="86"/>
      <c r="Q198" s="18">
        <f t="shared" si="117"/>
        <v>15198</v>
      </c>
      <c r="R198" s="93">
        <f t="shared" si="108"/>
        <v>10</v>
      </c>
      <c r="S198" s="93">
        <f t="shared" si="118"/>
        <v>96</v>
      </c>
      <c r="T198" s="93">
        <f t="shared" si="119"/>
        <v>4.0915643283763927E-3</v>
      </c>
      <c r="U198" s="109">
        <f t="shared" si="109"/>
        <v>0.99619827856249965</v>
      </c>
      <c r="V198" s="112">
        <f t="shared" si="121"/>
        <v>57.077956919829141</v>
      </c>
      <c r="W198" s="93">
        <f t="shared" si="110"/>
        <v>2.4652969274690308</v>
      </c>
      <c r="X198" s="112">
        <f t="shared" si="122"/>
        <v>141.2511091905449</v>
      </c>
      <c r="Y198" s="110"/>
      <c r="Z198" s="86">
        <f t="shared" si="107"/>
        <v>1.0000013950772231</v>
      </c>
      <c r="AA198" s="108">
        <f t="shared" si="111"/>
        <v>-6.559740930270995</v>
      </c>
      <c r="AB198" s="108">
        <f t="shared" si="112"/>
        <v>5.2383413742921112</v>
      </c>
      <c r="AC198" s="108">
        <f t="shared" si="113"/>
        <v>5.4340996555727514</v>
      </c>
      <c r="AD198" s="110">
        <f t="shared" si="114"/>
        <v>-7098.1477618129584</v>
      </c>
      <c r="AE198" s="110">
        <f t="shared" si="115"/>
        <v>-489.21523135838368</v>
      </c>
      <c r="AF198" s="110">
        <f t="shared" si="116"/>
        <v>11063.091989456072</v>
      </c>
    </row>
    <row r="199" spans="1:32" x14ac:dyDescent="0.2">
      <c r="A199" s="3">
        <v>15380</v>
      </c>
      <c r="B199" s="3">
        <v>57.11</v>
      </c>
      <c r="C199" s="3">
        <v>135.91</v>
      </c>
      <c r="E199" s="93">
        <f t="shared" si="99"/>
        <v>0.99675753581396165</v>
      </c>
      <c r="F199" s="93">
        <f t="shared" si="99"/>
        <v>2.3720769863854931</v>
      </c>
      <c r="H199" s="86">
        <f t="shared" si="100"/>
        <v>4.3102607517828462E-2</v>
      </c>
      <c r="I199" s="86">
        <f t="shared" si="101"/>
        <v>1.000154848332895</v>
      </c>
      <c r="J199" s="108">
        <f t="shared" si="102"/>
        <v>-59.271572044669618</v>
      </c>
      <c r="K199" s="108">
        <f t="shared" si="103"/>
        <v>54.542948302174423</v>
      </c>
      <c r="L199" s="108">
        <f t="shared" si="104"/>
        <v>52.216097222116701</v>
      </c>
      <c r="M199" s="95">
        <f t="shared" ref="M199:O214" si="124">M198+J199</f>
        <v>-7212.730081379882</v>
      </c>
      <c r="N199" s="95">
        <f t="shared" si="124"/>
        <v>-388.34502857791921</v>
      </c>
      <c r="O199" s="95">
        <f t="shared" si="124"/>
        <v>11162.102783121059</v>
      </c>
      <c r="P199" s="86"/>
      <c r="Q199" s="18">
        <f t="shared" si="117"/>
        <v>15294</v>
      </c>
      <c r="R199" s="93">
        <f t="shared" si="108"/>
        <v>10</v>
      </c>
      <c r="S199" s="93">
        <f t="shared" si="118"/>
        <v>96</v>
      </c>
      <c r="T199" s="93">
        <f t="shared" si="119"/>
        <v>4.4898549497737984E-3</v>
      </c>
      <c r="U199" s="109">
        <f t="shared" si="109"/>
        <v>0.99498153639114784</v>
      </c>
      <c r="V199" s="112">
        <f t="shared" si="121"/>
        <v>57.008242728655105</v>
      </c>
      <c r="W199" s="93">
        <f t="shared" si="110"/>
        <v>2.418039125055532</v>
      </c>
      <c r="X199" s="112">
        <f t="shared" si="122"/>
        <v>138.54343656318827</v>
      </c>
      <c r="Y199" s="110"/>
      <c r="Z199" s="86">
        <f t="shared" si="107"/>
        <v>1.0000016799031757</v>
      </c>
      <c r="AA199" s="108">
        <f t="shared" si="111"/>
        <v>-6.3005957424480119</v>
      </c>
      <c r="AB199" s="108">
        <f t="shared" si="112"/>
        <v>5.5358494393297555</v>
      </c>
      <c r="AC199" s="108">
        <f t="shared" si="113"/>
        <v>5.4457962030774141</v>
      </c>
      <c r="AD199" s="110">
        <f t="shared" si="114"/>
        <v>-7159.7591050776609</v>
      </c>
      <c r="AE199" s="110">
        <f t="shared" si="115"/>
        <v>-437.35212744076387</v>
      </c>
      <c r="AF199" s="110">
        <f t="shared" si="116"/>
        <v>11115.33248210202</v>
      </c>
    </row>
    <row r="200" spans="1:32" x14ac:dyDescent="0.2">
      <c r="A200" s="3">
        <v>15476</v>
      </c>
      <c r="B200" s="3">
        <v>56.83</v>
      </c>
      <c r="C200" s="3">
        <v>132.83000000000001</v>
      </c>
      <c r="E200" s="93">
        <f t="shared" si="99"/>
        <v>0.9918706139083775</v>
      </c>
      <c r="F200" s="93">
        <f t="shared" si="99"/>
        <v>2.318320845424068</v>
      </c>
      <c r="H200" s="86">
        <f t="shared" si="100"/>
        <v>4.533083189475029E-2</v>
      </c>
      <c r="I200" s="86">
        <f t="shared" si="101"/>
        <v>1.0001712755552539</v>
      </c>
      <c r="J200" s="108">
        <f t="shared" si="102"/>
        <v>-56.273874191582898</v>
      </c>
      <c r="K200" s="108">
        <f t="shared" si="103"/>
        <v>57.520296201419342</v>
      </c>
      <c r="L200" s="108">
        <f t="shared" si="104"/>
        <v>52.336302556697838</v>
      </c>
      <c r="M200" s="95">
        <f t="shared" si="124"/>
        <v>-7269.0039555714648</v>
      </c>
      <c r="N200" s="95">
        <f t="shared" si="124"/>
        <v>-330.82473237649987</v>
      </c>
      <c r="O200" s="95">
        <f t="shared" si="124"/>
        <v>11214.439085677757</v>
      </c>
      <c r="P200" s="86"/>
      <c r="Q200" s="18">
        <f t="shared" si="117"/>
        <v>15390</v>
      </c>
      <c r="R200" s="93">
        <f t="shared" si="108"/>
        <v>10</v>
      </c>
      <c r="S200" s="93">
        <f t="shared" si="118"/>
        <v>96</v>
      </c>
      <c r="T200" s="93">
        <f t="shared" si="119"/>
        <v>4.7219616557031552E-3</v>
      </c>
      <c r="U200" s="109">
        <f t="shared" si="109"/>
        <v>0.99618699701410651</v>
      </c>
      <c r="V200" s="112">
        <f t="shared" si="121"/>
        <v>57.077310534719842</v>
      </c>
      <c r="W200" s="93">
        <f t="shared" si="110"/>
        <v>2.3664938591031497</v>
      </c>
      <c r="X200" s="112">
        <f t="shared" si="122"/>
        <v>135.59011037023737</v>
      </c>
      <c r="Y200" s="110"/>
      <c r="Z200" s="86">
        <f t="shared" si="107"/>
        <v>1.0000018580809662</v>
      </c>
      <c r="AA200" s="108">
        <f t="shared" si="111"/>
        <v>-6.013778678682467</v>
      </c>
      <c r="AB200" s="108">
        <f t="shared" si="112"/>
        <v>5.8583464913103098</v>
      </c>
      <c r="AC200" s="108">
        <f t="shared" si="113"/>
        <v>5.4326841049367252</v>
      </c>
      <c r="AD200" s="110">
        <f t="shared" si="114"/>
        <v>-7218.7438600585647</v>
      </c>
      <c r="AE200" s="110">
        <f t="shared" si="115"/>
        <v>-382.48668208660888</v>
      </c>
      <c r="AF200" s="110">
        <f t="shared" si="116"/>
        <v>11167.535467225996</v>
      </c>
    </row>
    <row r="201" spans="1:32" x14ac:dyDescent="0.2">
      <c r="A201" s="3">
        <v>15572</v>
      </c>
      <c r="B201" s="3">
        <v>56.59</v>
      </c>
      <c r="C201" s="3">
        <v>130.13999999999999</v>
      </c>
      <c r="E201" s="93">
        <f t="shared" si="99"/>
        <v>0.98768182370359114</v>
      </c>
      <c r="F201" s="93">
        <f t="shared" si="99"/>
        <v>2.2713714885454204</v>
      </c>
      <c r="H201" s="86">
        <f t="shared" si="100"/>
        <v>3.9466881168880974E-2</v>
      </c>
      <c r="I201" s="86">
        <f t="shared" si="101"/>
        <v>1.0001298231141695</v>
      </c>
      <c r="J201" s="108">
        <f t="shared" si="102"/>
        <v>-53.151416456455607</v>
      </c>
      <c r="K201" s="108">
        <f t="shared" si="103"/>
        <v>60.104538399647907</v>
      </c>
      <c r="L201" s="108">
        <f t="shared" si="104"/>
        <v>52.69891072015303</v>
      </c>
      <c r="M201" s="95">
        <f t="shared" si="124"/>
        <v>-7322.1553720279207</v>
      </c>
      <c r="N201" s="95">
        <f t="shared" si="124"/>
        <v>-270.72019397685199</v>
      </c>
      <c r="O201" s="95">
        <f t="shared" si="124"/>
        <v>11267.137996397911</v>
      </c>
      <c r="P201" s="86"/>
      <c r="Q201" s="18">
        <f t="shared" si="117"/>
        <v>15486</v>
      </c>
      <c r="R201" s="93">
        <f t="shared" si="108"/>
        <v>10</v>
      </c>
      <c r="S201" s="93">
        <f t="shared" si="118"/>
        <v>96</v>
      </c>
      <c r="T201" s="93">
        <f t="shared" si="119"/>
        <v>4.1111334550917684E-3</v>
      </c>
      <c r="U201" s="109">
        <f t="shared" si="109"/>
        <v>0.99138718156602734</v>
      </c>
      <c r="V201" s="112">
        <f t="shared" si="121"/>
        <v>56.802301367103212</v>
      </c>
      <c r="W201" s="93">
        <f t="shared" si="110"/>
        <v>2.3134426983428948</v>
      </c>
      <c r="X201" s="112">
        <f t="shared" si="122"/>
        <v>132.55050276040473</v>
      </c>
      <c r="Y201" s="110"/>
      <c r="Z201" s="86">
        <f t="shared" si="107"/>
        <v>1.0000014084539042</v>
      </c>
      <c r="AA201" s="108">
        <f t="shared" si="111"/>
        <v>-5.6745913435353055</v>
      </c>
      <c r="AB201" s="108">
        <f t="shared" si="112"/>
        <v>6.1515907471458018</v>
      </c>
      <c r="AC201" s="108">
        <f t="shared" si="113"/>
        <v>5.4732808733365141</v>
      </c>
      <c r="AD201" s="110">
        <f t="shared" si="114"/>
        <v>-7274.678546915</v>
      </c>
      <c r="AE201" s="110">
        <f t="shared" si="115"/>
        <v>-324.67314162935406</v>
      </c>
      <c r="AF201" s="110">
        <f t="shared" si="116"/>
        <v>11219.912366551094</v>
      </c>
    </row>
    <row r="202" spans="1:32" x14ac:dyDescent="0.2">
      <c r="A202" s="3">
        <v>15668</v>
      </c>
      <c r="B202" s="3">
        <v>56.23</v>
      </c>
      <c r="C202" s="3">
        <v>127.72</v>
      </c>
      <c r="E202" s="93">
        <f t="shared" si="99"/>
        <v>0.9813986383964115</v>
      </c>
      <c r="F202" s="93">
        <f t="shared" si="99"/>
        <v>2.2291345206471576</v>
      </c>
      <c r="H202" s="86">
        <f t="shared" si="100"/>
        <v>3.5739848828474585E-2</v>
      </c>
      <c r="I202" s="86">
        <f t="shared" si="101"/>
        <v>1.000106458331192</v>
      </c>
      <c r="J202" s="108">
        <f t="shared" si="102"/>
        <v>-50.247239859791556</v>
      </c>
      <c r="K202" s="108">
        <f t="shared" si="103"/>
        <v>62.199804415293542</v>
      </c>
      <c r="L202" s="108">
        <f t="shared" si="104"/>
        <v>53.11702424158878</v>
      </c>
      <c r="M202" s="95">
        <f t="shared" si="124"/>
        <v>-7372.4026118877127</v>
      </c>
      <c r="N202" s="95">
        <f t="shared" si="124"/>
        <v>-208.52038956155843</v>
      </c>
      <c r="O202" s="95">
        <f t="shared" si="124"/>
        <v>11320.255020639499</v>
      </c>
      <c r="P202" s="86"/>
      <c r="Q202" s="18">
        <f t="shared" si="117"/>
        <v>15582</v>
      </c>
      <c r="R202" s="93">
        <f t="shared" si="108"/>
        <v>10</v>
      </c>
      <c r="S202" s="93">
        <f t="shared" si="118"/>
        <v>96</v>
      </c>
      <c r="T202" s="93">
        <f t="shared" si="119"/>
        <v>3.7229009196327696E-3</v>
      </c>
      <c r="U202" s="109">
        <f t="shared" si="109"/>
        <v>0.98698907283392701</v>
      </c>
      <c r="V202" s="112">
        <f t="shared" si="121"/>
        <v>56.550308298914231</v>
      </c>
      <c r="W202" s="93">
        <f t="shared" si="110"/>
        <v>2.266988488083836</v>
      </c>
      <c r="X202" s="112">
        <f t="shared" si="122"/>
        <v>129.88887257194733</v>
      </c>
      <c r="Y202" s="110"/>
      <c r="Z202" s="86">
        <f t="shared" si="107"/>
        <v>1.0000011550008723</v>
      </c>
      <c r="AA202" s="108">
        <f t="shared" si="111"/>
        <v>-5.3660615380863677</v>
      </c>
      <c r="AB202" s="108">
        <f t="shared" si="112"/>
        <v>6.3917452914750363</v>
      </c>
      <c r="AC202" s="108">
        <f t="shared" si="113"/>
        <v>5.5091614787100829</v>
      </c>
      <c r="AD202" s="110">
        <f t="shared" si="114"/>
        <v>-7327.5214335660075</v>
      </c>
      <c r="AE202" s="110">
        <f t="shared" si="115"/>
        <v>-264.32844868537694</v>
      </c>
      <c r="AF202" s="110">
        <f t="shared" si="116"/>
        <v>11272.647157876621</v>
      </c>
    </row>
    <row r="203" spans="1:32" x14ac:dyDescent="0.2">
      <c r="A203" s="3">
        <v>15764</v>
      </c>
      <c r="B203" s="3">
        <v>56.15</v>
      </c>
      <c r="C203" s="3">
        <v>125.18</v>
      </c>
      <c r="E203" s="93">
        <f t="shared" si="99"/>
        <v>0.98000237499481602</v>
      </c>
      <c r="F203" s="93">
        <f t="shared" si="99"/>
        <v>2.1848031576465017</v>
      </c>
      <c r="H203" s="86">
        <f t="shared" si="100"/>
        <v>3.6859883268077542E-2</v>
      </c>
      <c r="I203" s="86">
        <f t="shared" si="101"/>
        <v>1.0001132363010976</v>
      </c>
      <c r="J203" s="108">
        <f t="shared" si="102"/>
        <v>-47.384554717806303</v>
      </c>
      <c r="K203" s="108">
        <f t="shared" si="103"/>
        <v>64.152168694602906</v>
      </c>
      <c r="L203" s="108">
        <f t="shared" si="104"/>
        <v>53.424337424673347</v>
      </c>
      <c r="M203" s="95">
        <f t="shared" si="124"/>
        <v>-7419.7871666055189</v>
      </c>
      <c r="N203" s="95">
        <f t="shared" si="124"/>
        <v>-144.36822086695554</v>
      </c>
      <c r="O203" s="95">
        <f t="shared" si="124"/>
        <v>11373.679358064172</v>
      </c>
      <c r="P203" s="86"/>
      <c r="Q203" s="18">
        <f t="shared" si="117"/>
        <v>15678</v>
      </c>
      <c r="R203" s="93">
        <f t="shared" si="108"/>
        <v>10</v>
      </c>
      <c r="S203" s="93">
        <f t="shared" si="118"/>
        <v>96</v>
      </c>
      <c r="T203" s="93">
        <f t="shared" si="119"/>
        <v>3.8395711737580773E-3</v>
      </c>
      <c r="U203" s="109">
        <f t="shared" si="109"/>
        <v>0.98121082348599598</v>
      </c>
      <c r="V203" s="112">
        <f t="shared" si="121"/>
        <v>56.219238998303567</v>
      </c>
      <c r="W203" s="93">
        <f t="shared" si="110"/>
        <v>2.2245208682655431</v>
      </c>
      <c r="X203" s="112">
        <f t="shared" si="122"/>
        <v>127.455657190393</v>
      </c>
      <c r="Y203" s="110"/>
      <c r="Z203" s="86">
        <f t="shared" si="107"/>
        <v>1.0000012285273776</v>
      </c>
      <c r="AA203" s="108">
        <f t="shared" si="111"/>
        <v>-5.0702640959564684</v>
      </c>
      <c r="AB203" s="108">
        <f t="shared" si="112"/>
        <v>6.5867641672525492</v>
      </c>
      <c r="AC203" s="108">
        <f t="shared" si="113"/>
        <v>5.5593917787610794</v>
      </c>
      <c r="AD203" s="110">
        <f t="shared" si="114"/>
        <v>-7377.4728759836689</v>
      </c>
      <c r="AE203" s="110">
        <f t="shared" si="115"/>
        <v>-201.93362539430589</v>
      </c>
      <c r="AF203" s="110">
        <f t="shared" si="116"/>
        <v>11325.81441241826</v>
      </c>
    </row>
    <row r="204" spans="1:32" x14ac:dyDescent="0.2">
      <c r="A204" s="3">
        <v>15861</v>
      </c>
      <c r="B204" s="3">
        <v>55.89</v>
      </c>
      <c r="C204" s="3">
        <v>122.24</v>
      </c>
      <c r="E204" s="93">
        <f t="shared" si="99"/>
        <v>0.97546451893963082</v>
      </c>
      <c r="F204" s="93">
        <f t="shared" si="99"/>
        <v>2.1334904776378685</v>
      </c>
      <c r="H204" s="86">
        <f t="shared" si="100"/>
        <v>4.2789907822646134E-2</v>
      </c>
      <c r="I204" s="86">
        <f t="shared" si="101"/>
        <v>1.0001526092934154</v>
      </c>
      <c r="J204" s="108">
        <f t="shared" si="102"/>
        <v>-44.635537879179552</v>
      </c>
      <c r="K204" s="108">
        <f t="shared" si="103"/>
        <v>66.897180032244265</v>
      </c>
      <c r="L204" s="108">
        <f t="shared" si="104"/>
        <v>54.221771565086726</v>
      </c>
      <c r="M204" s="95">
        <f t="shared" si="124"/>
        <v>-7464.4227044846984</v>
      </c>
      <c r="N204" s="95">
        <f t="shared" si="124"/>
        <v>-77.471040834711275</v>
      </c>
      <c r="O204" s="95">
        <f t="shared" si="124"/>
        <v>11427.901129629257</v>
      </c>
      <c r="P204" s="86"/>
      <c r="Q204" s="18">
        <f t="shared" si="117"/>
        <v>15774</v>
      </c>
      <c r="R204" s="93">
        <f t="shared" si="108"/>
        <v>10</v>
      </c>
      <c r="S204" s="93">
        <f t="shared" si="118"/>
        <v>97</v>
      </c>
      <c r="T204" s="93">
        <f t="shared" si="119"/>
        <v>4.4113307033655808E-3</v>
      </c>
      <c r="U204" s="109">
        <f t="shared" si="109"/>
        <v>0.97947825016198808</v>
      </c>
      <c r="V204" s="112">
        <f t="shared" si="121"/>
        <v>56.119969859140959</v>
      </c>
      <c r="W204" s="93">
        <f t="shared" si="110"/>
        <v>2.1795281880172555</v>
      </c>
      <c r="X204" s="112">
        <f t="shared" si="122"/>
        <v>124.8777665031845</v>
      </c>
      <c r="Y204" s="110"/>
      <c r="Z204" s="86">
        <f t="shared" si="107"/>
        <v>1.0000016216563703</v>
      </c>
      <c r="AA204" s="108">
        <f t="shared" si="111"/>
        <v>-4.7661297756739733</v>
      </c>
      <c r="AB204" s="108">
        <f t="shared" si="112"/>
        <v>6.7994341912582099</v>
      </c>
      <c r="AC204" s="108">
        <f t="shared" si="113"/>
        <v>5.5723908221665956</v>
      </c>
      <c r="AD204" s="110">
        <f t="shared" si="114"/>
        <v>-7424.5532963811929</v>
      </c>
      <c r="AE204" s="110">
        <f t="shared" si="115"/>
        <v>-137.56878667569734</v>
      </c>
      <c r="AF204" s="110">
        <f t="shared" si="116"/>
        <v>11379.251748886338</v>
      </c>
    </row>
    <row r="205" spans="1:32" x14ac:dyDescent="0.2">
      <c r="A205" s="3">
        <v>15958</v>
      </c>
      <c r="B205" s="3">
        <v>55.59</v>
      </c>
      <c r="C205" s="3">
        <v>119.34</v>
      </c>
      <c r="E205" s="93">
        <f t="shared" si="99"/>
        <v>0.97022853118364782</v>
      </c>
      <c r="F205" s="93">
        <f t="shared" si="99"/>
        <v>2.082875929330033</v>
      </c>
      <c r="H205" s="86">
        <f t="shared" si="100"/>
        <v>4.2157385810889458E-2</v>
      </c>
      <c r="I205" s="86">
        <f t="shared" si="101"/>
        <v>1.000148130091272</v>
      </c>
      <c r="J205" s="108">
        <f t="shared" si="102"/>
        <v>-41.034194901146236</v>
      </c>
      <c r="K205" s="108">
        <f t="shared" si="103"/>
        <v>68.855757987296812</v>
      </c>
      <c r="L205" s="108">
        <f t="shared" si="104"/>
        <v>54.613972708793369</v>
      </c>
      <c r="M205" s="95">
        <f t="shared" si="124"/>
        <v>-7505.4568993858447</v>
      </c>
      <c r="N205" s="95">
        <f t="shared" si="124"/>
        <v>-8.6152828474144627</v>
      </c>
      <c r="O205" s="95">
        <f t="shared" si="124"/>
        <v>11482.515102338051</v>
      </c>
      <c r="P205" s="86"/>
      <c r="Q205" s="18">
        <f t="shared" si="117"/>
        <v>15871</v>
      </c>
      <c r="R205" s="93">
        <f t="shared" si="108"/>
        <v>10</v>
      </c>
      <c r="S205" s="93">
        <f t="shared" si="118"/>
        <v>97</v>
      </c>
      <c r="T205" s="93">
        <f t="shared" si="119"/>
        <v>4.346122248545305E-3</v>
      </c>
      <c r="U205" s="109">
        <f t="shared" si="109"/>
        <v>0.9748697476111905</v>
      </c>
      <c r="V205" s="112">
        <f t="shared" si="121"/>
        <v>55.855922113104981</v>
      </c>
      <c r="W205" s="93">
        <f t="shared" si="110"/>
        <v>2.1282896361600709</v>
      </c>
      <c r="X205" s="112">
        <f t="shared" si="122"/>
        <v>121.94201373340562</v>
      </c>
      <c r="Y205" s="110"/>
      <c r="Z205" s="86">
        <f t="shared" si="107"/>
        <v>1.0000015740678565</v>
      </c>
      <c r="AA205" s="108">
        <f t="shared" si="111"/>
        <v>-4.3977892221265975</v>
      </c>
      <c r="AB205" s="108">
        <f t="shared" si="112"/>
        <v>7.0131136299936649</v>
      </c>
      <c r="AC205" s="108">
        <f t="shared" si="113"/>
        <v>5.6103056747520448</v>
      </c>
      <c r="AD205" s="110">
        <f t="shared" si="114"/>
        <v>-7468.8204937068249</v>
      </c>
      <c r="AE205" s="110">
        <f t="shared" si="115"/>
        <v>-70.457927204717606</v>
      </c>
      <c r="AF205" s="110">
        <f t="shared" si="116"/>
        <v>11433.51143530401</v>
      </c>
    </row>
    <row r="206" spans="1:32" x14ac:dyDescent="0.2">
      <c r="A206" s="3">
        <v>16053</v>
      </c>
      <c r="B206" s="3">
        <v>55.4</v>
      </c>
      <c r="C206" s="3">
        <v>116.65</v>
      </c>
      <c r="E206" s="93">
        <f t="shared" si="99"/>
        <v>0.96691240560485858</v>
      </c>
      <c r="F206" s="93">
        <f t="shared" si="99"/>
        <v>2.0359265724513853</v>
      </c>
      <c r="H206" s="86">
        <f t="shared" si="100"/>
        <v>3.8830548013353061E-2</v>
      </c>
      <c r="I206" s="86">
        <f t="shared" si="101"/>
        <v>1.0001256699036041</v>
      </c>
      <c r="J206" s="108">
        <f t="shared" si="102"/>
        <v>-36.743916252747319</v>
      </c>
      <c r="K206" s="108">
        <f t="shared" si="103"/>
        <v>69.115343933615222</v>
      </c>
      <c r="L206" s="108">
        <f t="shared" si="104"/>
        <v>53.822113563801672</v>
      </c>
      <c r="M206" s="95">
        <f t="shared" si="124"/>
        <v>-7542.2008156385918</v>
      </c>
      <c r="N206" s="95">
        <f t="shared" si="124"/>
        <v>60.500061086200759</v>
      </c>
      <c r="O206" s="95">
        <f t="shared" si="124"/>
        <v>11536.337215901853</v>
      </c>
      <c r="Q206" s="18">
        <f t="shared" si="117"/>
        <v>15968</v>
      </c>
      <c r="R206" s="93">
        <f t="shared" si="108"/>
        <v>10</v>
      </c>
      <c r="S206" s="93">
        <f t="shared" si="118"/>
        <v>95</v>
      </c>
      <c r="T206" s="93">
        <f t="shared" si="119"/>
        <v>4.0874261066687432E-3</v>
      </c>
      <c r="U206" s="109">
        <f t="shared" si="109"/>
        <v>0.96983107862582341</v>
      </c>
      <c r="V206" s="112">
        <f t="shared" si="121"/>
        <v>55.567227645879981</v>
      </c>
      <c r="W206" s="93">
        <f t="shared" si="110"/>
        <v>2.07794436763393</v>
      </c>
      <c r="X206" s="112">
        <f t="shared" si="122"/>
        <v>119.05744232840493</v>
      </c>
      <c r="Y206" s="110"/>
      <c r="Z206" s="86">
        <f t="shared" si="107"/>
        <v>1.0000013922566742</v>
      </c>
      <c r="AA206" s="108">
        <f t="shared" si="111"/>
        <v>-4.0242018119436489</v>
      </c>
      <c r="AB206" s="108">
        <f t="shared" si="112"/>
        <v>7.2008330395297131</v>
      </c>
      <c r="AC206" s="108">
        <f t="shared" si="113"/>
        <v>5.6527572111501012</v>
      </c>
      <c r="AD206" s="110">
        <f t="shared" si="114"/>
        <v>-7509.4811011977881</v>
      </c>
      <c r="AE206" s="110">
        <f t="shared" si="115"/>
        <v>-1.4144498078847496</v>
      </c>
      <c r="AF206" s="110">
        <f t="shared" si="116"/>
        <v>11488.167859549201</v>
      </c>
    </row>
    <row r="207" spans="1:32" x14ac:dyDescent="0.2">
      <c r="A207" s="3">
        <v>16150</v>
      </c>
      <c r="B207" s="3">
        <v>55.56</v>
      </c>
      <c r="C207" s="3">
        <v>113.5</v>
      </c>
      <c r="E207" s="93">
        <f t="shared" si="99"/>
        <v>0.96970493240804956</v>
      </c>
      <c r="F207" s="93">
        <f t="shared" si="99"/>
        <v>1.980948701013564</v>
      </c>
      <c r="H207" s="86">
        <f t="shared" si="100"/>
        <v>4.5381961967882134E-2</v>
      </c>
      <c r="I207" s="86">
        <f t="shared" si="101"/>
        <v>1.0001716622269792</v>
      </c>
      <c r="J207" s="108">
        <f t="shared" si="102"/>
        <v>-33.86195576793282</v>
      </c>
      <c r="K207" s="108">
        <f t="shared" si="103"/>
        <v>72.374698787820691</v>
      </c>
      <c r="L207" s="108">
        <f t="shared" si="104"/>
        <v>54.978688603435536</v>
      </c>
      <c r="M207" s="95">
        <f t="shared" si="124"/>
        <v>-7576.0627714065249</v>
      </c>
      <c r="N207" s="95">
        <f t="shared" si="124"/>
        <v>132.87475987402144</v>
      </c>
      <c r="O207" s="95">
        <f t="shared" si="124"/>
        <v>11591.315904505289</v>
      </c>
      <c r="Q207" s="18">
        <f t="shared" si="117"/>
        <v>16063</v>
      </c>
      <c r="R207" s="93">
        <f t="shared" si="108"/>
        <v>10</v>
      </c>
      <c r="S207" s="93">
        <f t="shared" si="118"/>
        <v>97</v>
      </c>
      <c r="T207" s="93">
        <f t="shared" si="119"/>
        <v>4.6785527801940343E-3</v>
      </c>
      <c r="U207" s="109">
        <f t="shared" si="109"/>
        <v>0.96713495489776069</v>
      </c>
      <c r="V207" s="112">
        <f t="shared" si="121"/>
        <v>55.412751135216915</v>
      </c>
      <c r="W207" s="93">
        <f t="shared" si="110"/>
        <v>2.0302496272700186</v>
      </c>
      <c r="X207" s="112">
        <f t="shared" si="122"/>
        <v>116.32473500058055</v>
      </c>
      <c r="Y207" s="110"/>
      <c r="Z207" s="86">
        <f t="shared" si="107"/>
        <v>1.0000018240753357</v>
      </c>
      <c r="AA207" s="108">
        <f t="shared" si="111"/>
        <v>-3.6714642917138534</v>
      </c>
      <c r="AB207" s="108">
        <f t="shared" si="112"/>
        <v>7.3678898113080713</v>
      </c>
      <c r="AC207" s="108">
        <f t="shared" si="113"/>
        <v>5.6775317943708199</v>
      </c>
      <c r="AD207" s="110">
        <f t="shared" si="114"/>
        <v>-7545.8722799303059</v>
      </c>
      <c r="AE207" s="110">
        <f t="shared" si="115"/>
        <v>67.867950897508834</v>
      </c>
      <c r="AF207" s="110">
        <f t="shared" si="116"/>
        <v>11542.014747696223</v>
      </c>
    </row>
    <row r="208" spans="1:32" x14ac:dyDescent="0.2">
      <c r="A208" s="3">
        <v>16246</v>
      </c>
      <c r="B208" s="3">
        <v>56.06</v>
      </c>
      <c r="C208" s="3">
        <v>109.97</v>
      </c>
      <c r="E208" s="93">
        <f t="shared" si="99"/>
        <v>0.97843157866802122</v>
      </c>
      <c r="F208" s="93">
        <f t="shared" si="99"/>
        <v>1.9193385784181642</v>
      </c>
      <c r="H208" s="86">
        <f t="shared" si="100"/>
        <v>5.1701450845520025E-2</v>
      </c>
      <c r="I208" s="86">
        <f t="shared" si="101"/>
        <v>1.0002228128939288</v>
      </c>
      <c r="J208" s="108">
        <f t="shared" si="102"/>
        <v>-29.391923201341218</v>
      </c>
      <c r="K208" s="108">
        <f t="shared" si="103"/>
        <v>73.747094497564248</v>
      </c>
      <c r="L208" s="108">
        <f t="shared" si="104"/>
        <v>53.957651837952668</v>
      </c>
      <c r="M208" s="95">
        <f t="shared" si="124"/>
        <v>-7605.4546946078663</v>
      </c>
      <c r="N208" s="95">
        <f t="shared" si="124"/>
        <v>206.6218543715857</v>
      </c>
      <c r="O208" s="95">
        <f t="shared" si="124"/>
        <v>11645.273556343242</v>
      </c>
      <c r="Q208" s="18">
        <v>16150</v>
      </c>
      <c r="R208" s="93">
        <f t="shared" si="108"/>
        <v>0</v>
      </c>
      <c r="S208" s="93">
        <f t="shared" si="118"/>
        <v>96</v>
      </c>
      <c r="T208" s="93">
        <f t="shared" si="119"/>
        <v>0</v>
      </c>
      <c r="U208" s="109">
        <f t="shared" si="109"/>
        <v>0.96970493240804956</v>
      </c>
      <c r="V208" s="112">
        <f t="shared" si="121"/>
        <v>55.56</v>
      </c>
      <c r="W208" s="93">
        <f t="shared" si="110"/>
        <v>1.980948701013564</v>
      </c>
      <c r="X208" s="112">
        <f t="shared" si="122"/>
        <v>113.5</v>
      </c>
      <c r="Y208" s="110"/>
      <c r="Z208" s="86">
        <f t="shared" si="107"/>
        <v>1</v>
      </c>
      <c r="AA208" s="108">
        <f t="shared" si="111"/>
        <v>0</v>
      </c>
      <c r="AB208" s="108">
        <f t="shared" si="112"/>
        <v>0</v>
      </c>
      <c r="AC208" s="108">
        <f t="shared" si="113"/>
        <v>0</v>
      </c>
      <c r="AD208" s="110">
        <f t="shared" si="114"/>
        <v>-7576.0627714065249</v>
      </c>
      <c r="AE208" s="110">
        <f t="shared" si="115"/>
        <v>132.87475987402144</v>
      </c>
      <c r="AF208" s="110">
        <f t="shared" si="116"/>
        <v>11591.315904505289</v>
      </c>
    </row>
    <row r="209" spans="1:32" x14ac:dyDescent="0.2">
      <c r="A209" s="3">
        <v>16342</v>
      </c>
      <c r="B209" s="3">
        <v>56.39</v>
      </c>
      <c r="C209" s="3">
        <v>107.29</v>
      </c>
      <c r="E209" s="93">
        <f t="shared" si="99"/>
        <v>0.98419116519960248</v>
      </c>
      <c r="F209" s="93">
        <f t="shared" si="99"/>
        <v>1.8725637544647162</v>
      </c>
      <c r="H209" s="86">
        <f t="shared" si="100"/>
        <v>3.9303578813872253E-2</v>
      </c>
      <c r="I209" s="86">
        <f t="shared" si="101"/>
        <v>1.0001287508313939</v>
      </c>
      <c r="J209" s="108">
        <f t="shared" si="102"/>
        <v>-25.484646401805289</v>
      </c>
      <c r="K209" s="108">
        <f t="shared" si="103"/>
        <v>75.606388986330984</v>
      </c>
      <c r="L209" s="108">
        <f t="shared" si="104"/>
        <v>53.376215854502185</v>
      </c>
      <c r="M209" s="95">
        <f t="shared" si="124"/>
        <v>-7630.9393410096718</v>
      </c>
      <c r="N209" s="95">
        <f t="shared" si="124"/>
        <v>282.22824335791665</v>
      </c>
      <c r="O209" s="95">
        <f t="shared" si="124"/>
        <v>11698.649772197743</v>
      </c>
      <c r="Q209" s="18">
        <f t="shared" si="117"/>
        <v>16256</v>
      </c>
      <c r="R209" s="93">
        <f t="shared" si="108"/>
        <v>10</v>
      </c>
      <c r="S209" s="93">
        <f t="shared" si="118"/>
        <v>96</v>
      </c>
      <c r="T209" s="93">
        <f t="shared" si="119"/>
        <v>4.094122793111693E-3</v>
      </c>
      <c r="U209" s="109">
        <f t="shared" si="109"/>
        <v>0.97898423248904654</v>
      </c>
      <c r="V209" s="112">
        <f t="shared" si="121"/>
        <v>56.091664731476534</v>
      </c>
      <c r="W209" s="93">
        <f t="shared" si="110"/>
        <v>1.9144497319536955</v>
      </c>
      <c r="X209" s="112">
        <f t="shared" si="122"/>
        <v>109.68988973089849</v>
      </c>
      <c r="Y209" s="110"/>
      <c r="Z209" s="86">
        <f t="shared" si="107"/>
        <v>1.0000013968224617</v>
      </c>
      <c r="AA209" s="108">
        <f t="shared" si="111"/>
        <v>-2.8148410071601706</v>
      </c>
      <c r="AB209" s="108">
        <f t="shared" si="112"/>
        <v>7.8057302506067794</v>
      </c>
      <c r="AC209" s="108">
        <f t="shared" si="113"/>
        <v>5.5809592076306886</v>
      </c>
      <c r="AD209" s="110">
        <f t="shared" si="114"/>
        <v>-7608.2695356150261</v>
      </c>
      <c r="AE209" s="110">
        <f t="shared" si="115"/>
        <v>214.42758462219248</v>
      </c>
      <c r="AF209" s="110">
        <f t="shared" si="116"/>
        <v>11650.854515550873</v>
      </c>
    </row>
    <row r="210" spans="1:32" x14ac:dyDescent="0.2">
      <c r="A210" s="3">
        <v>16438</v>
      </c>
      <c r="B210" s="3">
        <v>56.75</v>
      </c>
      <c r="C210" s="3">
        <v>104.49</v>
      </c>
      <c r="E210" s="93">
        <f t="shared" si="99"/>
        <v>0.99047435050678201</v>
      </c>
      <c r="F210" s="93">
        <f t="shared" si="99"/>
        <v>1.8236945354088749</v>
      </c>
      <c r="H210" s="86">
        <f t="shared" si="100"/>
        <v>4.126405381893461E-2</v>
      </c>
      <c r="I210" s="86">
        <f t="shared" si="101"/>
        <v>1.0001419176761503</v>
      </c>
      <c r="J210" s="108">
        <f t="shared" si="102"/>
        <v>-21.928088706053625</v>
      </c>
      <c r="K210" s="108">
        <f t="shared" si="103"/>
        <v>77.045006241563257</v>
      </c>
      <c r="L210" s="108">
        <f t="shared" si="104"/>
        <v>52.895352561015578</v>
      </c>
      <c r="M210" s="95">
        <f t="shared" si="124"/>
        <v>-7652.8674297157258</v>
      </c>
      <c r="N210" s="95">
        <f t="shared" si="124"/>
        <v>359.27324959947993</v>
      </c>
      <c r="O210" s="95">
        <f t="shared" si="124"/>
        <v>11751.545124758759</v>
      </c>
      <c r="Q210" s="18">
        <f t="shared" si="117"/>
        <v>16352</v>
      </c>
      <c r="R210" s="93">
        <f t="shared" si="108"/>
        <v>10</v>
      </c>
      <c r="S210" s="93">
        <f t="shared" si="118"/>
        <v>96</v>
      </c>
      <c r="T210" s="93">
        <f t="shared" si="119"/>
        <v>4.2983389394723555E-3</v>
      </c>
      <c r="U210" s="109">
        <f t="shared" si="109"/>
        <v>0.98479427758375482</v>
      </c>
      <c r="V210" s="112">
        <f t="shared" si="121"/>
        <v>56.424555794184009</v>
      </c>
      <c r="W210" s="93">
        <f t="shared" si="110"/>
        <v>1.8674546773499741</v>
      </c>
      <c r="X210" s="112">
        <f t="shared" si="122"/>
        <v>106.9972714441184</v>
      </c>
      <c r="Y210" s="110"/>
      <c r="Z210" s="86">
        <f t="shared" si="107"/>
        <v>1.0000015396459812</v>
      </c>
      <c r="AA210" s="108">
        <f t="shared" si="111"/>
        <v>-2.4553853786568696</v>
      </c>
      <c r="AB210" s="108">
        <f t="shared" si="112"/>
        <v>7.9597943252986854</v>
      </c>
      <c r="AC210" s="108">
        <f t="shared" si="113"/>
        <v>5.5328657110942121</v>
      </c>
      <c r="AD210" s="110">
        <f t="shared" si="114"/>
        <v>-7633.3947263883283</v>
      </c>
      <c r="AE210" s="110">
        <f t="shared" si="115"/>
        <v>290.18803768321533</v>
      </c>
      <c r="AF210" s="110">
        <f t="shared" si="116"/>
        <v>11704.182637908838</v>
      </c>
    </row>
    <row r="211" spans="1:32" x14ac:dyDescent="0.2">
      <c r="A211" s="3">
        <v>16534</v>
      </c>
      <c r="B211" s="3">
        <v>57.45</v>
      </c>
      <c r="C211" s="3">
        <v>101.25</v>
      </c>
      <c r="E211" s="93">
        <f t="shared" si="99"/>
        <v>1.0026916552707423</v>
      </c>
      <c r="F211" s="93">
        <f t="shared" si="99"/>
        <v>1.7671458676442586</v>
      </c>
      <c r="H211" s="86">
        <f t="shared" si="100"/>
        <v>4.9023606497185179E-2</v>
      </c>
      <c r="I211" s="86">
        <f t="shared" si="101"/>
        <v>1.0002003243105255</v>
      </c>
      <c r="J211" s="108">
        <f t="shared" si="102"/>
        <v>-17.940904765308087</v>
      </c>
      <c r="K211" s="108">
        <f t="shared" si="103"/>
        <v>78.563450023610486</v>
      </c>
      <c r="L211" s="108">
        <f t="shared" si="104"/>
        <v>52.154219956774142</v>
      </c>
      <c r="M211" s="95">
        <f t="shared" si="124"/>
        <v>-7670.8083344810339</v>
      </c>
      <c r="N211" s="95">
        <f t="shared" si="124"/>
        <v>437.8366996230904</v>
      </c>
      <c r="O211" s="95">
        <f t="shared" si="124"/>
        <v>11803.699344715533</v>
      </c>
      <c r="Q211" s="18">
        <f t="shared" si="117"/>
        <v>16448</v>
      </c>
      <c r="R211" s="93">
        <f t="shared" si="108"/>
        <v>10</v>
      </c>
      <c r="S211" s="93">
        <f t="shared" si="118"/>
        <v>96</v>
      </c>
      <c r="T211" s="93">
        <f t="shared" si="119"/>
        <v>5.1066256767901231E-3</v>
      </c>
      <c r="U211" s="109">
        <f t="shared" si="109"/>
        <v>0.99167854868136129</v>
      </c>
      <c r="V211" s="112">
        <f t="shared" si="121"/>
        <v>56.818995473100749</v>
      </c>
      <c r="W211" s="93">
        <f t="shared" si="110"/>
        <v>1.8177627631599265</v>
      </c>
      <c r="X211" s="112">
        <f t="shared" si="122"/>
        <v>104.15013448510243</v>
      </c>
      <c r="Y211" s="110"/>
      <c r="Z211" s="86">
        <f t="shared" si="107"/>
        <v>1.0000021731411506</v>
      </c>
      <c r="AA211" s="108">
        <f t="shared" si="111"/>
        <v>-2.0692583705091678</v>
      </c>
      <c r="AB211" s="108">
        <f t="shared" si="112"/>
        <v>8.1062005909862709</v>
      </c>
      <c r="AC211" s="108">
        <f t="shared" si="113"/>
        <v>5.4779069416531803</v>
      </c>
      <c r="AD211" s="110">
        <f t="shared" si="114"/>
        <v>-7654.9366880862353</v>
      </c>
      <c r="AE211" s="110">
        <f t="shared" si="115"/>
        <v>367.37945019046617</v>
      </c>
      <c r="AF211" s="110">
        <f t="shared" si="116"/>
        <v>11757.023031700412</v>
      </c>
    </row>
    <row r="212" spans="1:32" x14ac:dyDescent="0.2">
      <c r="A212" s="3">
        <v>16630</v>
      </c>
      <c r="B212" s="3">
        <v>58.44</v>
      </c>
      <c r="C212" s="3">
        <v>98.76</v>
      </c>
      <c r="E212" s="93">
        <f t="shared" ref="E212:F233" si="125">RADIANS(B212)</f>
        <v>1.0199704148654862</v>
      </c>
      <c r="F212" s="93">
        <f t="shared" si="125"/>
        <v>1.7236871692695999</v>
      </c>
      <c r="H212" s="86">
        <f t="shared" si="100"/>
        <v>4.06827675910435E-2</v>
      </c>
      <c r="I212" s="86">
        <f t="shared" si="101"/>
        <v>1.0001379467963536</v>
      </c>
      <c r="J212" s="108">
        <f t="shared" si="102"/>
        <v>-14.12432378083151</v>
      </c>
      <c r="K212" s="108">
        <f t="shared" si="103"/>
        <v>80.117221228448003</v>
      </c>
      <c r="L212" s="108">
        <f t="shared" si="104"/>
        <v>50.955503169235605</v>
      </c>
      <c r="M212" s="95">
        <f t="shared" si="124"/>
        <v>-7684.9326582618651</v>
      </c>
      <c r="N212" s="95">
        <f t="shared" si="124"/>
        <v>517.95392085153844</v>
      </c>
      <c r="O212" s="95">
        <f t="shared" si="124"/>
        <v>11854.654847884769</v>
      </c>
      <c r="Q212" s="18">
        <f t="shared" si="117"/>
        <v>16544</v>
      </c>
      <c r="R212" s="93">
        <f t="shared" si="108"/>
        <v>10</v>
      </c>
      <c r="S212" s="93">
        <f t="shared" si="118"/>
        <v>96</v>
      </c>
      <c r="T212" s="93">
        <f t="shared" si="119"/>
        <v>4.2377882907336985E-3</v>
      </c>
      <c r="U212" s="109">
        <f t="shared" si="109"/>
        <v>1.0044515691918561</v>
      </c>
      <c r="V212" s="112">
        <f t="shared" si="121"/>
        <v>57.55083563998614</v>
      </c>
      <c r="W212" s="93">
        <f t="shared" si="110"/>
        <v>1.7625749740098102</v>
      </c>
      <c r="X212" s="112">
        <f t="shared" si="122"/>
        <v>100.98810708614289</v>
      </c>
      <c r="Y212" s="110"/>
      <c r="Z212" s="86">
        <f t="shared" si="107"/>
        <v>1.0000014965734876</v>
      </c>
      <c r="AA212" s="108">
        <f t="shared" si="111"/>
        <v>-1.6264604227501365</v>
      </c>
      <c r="AB212" s="108">
        <f t="shared" si="112"/>
        <v>8.2756260655651452</v>
      </c>
      <c r="AC212" s="108">
        <f t="shared" si="113"/>
        <v>5.3729405411911886</v>
      </c>
      <c r="AD212" s="110">
        <f t="shared" si="114"/>
        <v>-7672.4347949037838</v>
      </c>
      <c r="AE212" s="110">
        <f t="shared" si="115"/>
        <v>446.11232568865552</v>
      </c>
      <c r="AF212" s="110">
        <f t="shared" si="116"/>
        <v>11809.072285256723</v>
      </c>
    </row>
    <row r="213" spans="1:32" x14ac:dyDescent="0.2">
      <c r="A213" s="3">
        <v>16727</v>
      </c>
      <c r="B213" s="3">
        <v>59.52</v>
      </c>
      <c r="C213" s="3">
        <v>96.56</v>
      </c>
      <c r="E213" s="93">
        <f t="shared" si="125"/>
        <v>1.0388199707870249</v>
      </c>
      <c r="F213" s="93">
        <f t="shared" si="125"/>
        <v>1.6852899257257246</v>
      </c>
      <c r="H213" s="86">
        <f t="shared" si="100"/>
        <v>3.7921043655376074E-2</v>
      </c>
      <c r="I213" s="86">
        <f t="shared" si="101"/>
        <v>1.000119851030667</v>
      </c>
      <c r="J213" s="108">
        <f t="shared" si="102"/>
        <v>-11.070290231322739</v>
      </c>
      <c r="K213" s="108">
        <f t="shared" si="103"/>
        <v>82.378229708758894</v>
      </c>
      <c r="L213" s="108">
        <f t="shared" si="104"/>
        <v>49.991484095825427</v>
      </c>
      <c r="M213" s="95">
        <f t="shared" si="124"/>
        <v>-7696.0029484931874</v>
      </c>
      <c r="N213" s="95">
        <f t="shared" si="124"/>
        <v>600.33215056029735</v>
      </c>
      <c r="O213" s="95">
        <f t="shared" si="124"/>
        <v>11904.646331980595</v>
      </c>
      <c r="Q213" s="18">
        <f t="shared" si="117"/>
        <v>16640</v>
      </c>
      <c r="R213" s="93">
        <f t="shared" si="108"/>
        <v>10</v>
      </c>
      <c r="S213" s="93">
        <f t="shared" si="118"/>
        <v>97</v>
      </c>
      <c r="T213" s="93">
        <f t="shared" si="119"/>
        <v>3.9093859438532035E-3</v>
      </c>
      <c r="U213" s="109">
        <f t="shared" si="109"/>
        <v>1.0218833015903055</v>
      </c>
      <c r="V213" s="112">
        <f t="shared" si="121"/>
        <v>58.549600336018749</v>
      </c>
      <c r="W213" s="93">
        <f t="shared" si="110"/>
        <v>1.7196882795151016</v>
      </c>
      <c r="X213" s="112">
        <f t="shared" si="122"/>
        <v>98.530880494329153</v>
      </c>
      <c r="Y213" s="110"/>
      <c r="Z213" s="86">
        <f t="shared" si="107"/>
        <v>1.0000012736101513</v>
      </c>
      <c r="AA213" s="108">
        <f t="shared" si="111"/>
        <v>-1.2816014197419621</v>
      </c>
      <c r="AB213" s="108">
        <f t="shared" si="112"/>
        <v>8.429042900374359</v>
      </c>
      <c r="AC213" s="108">
        <f t="shared" si="113"/>
        <v>5.2257636976626127</v>
      </c>
      <c r="AD213" s="110">
        <f t="shared" si="114"/>
        <v>-7686.2142596816075</v>
      </c>
      <c r="AE213" s="110">
        <f t="shared" si="115"/>
        <v>526.38296375191283</v>
      </c>
      <c r="AF213" s="110">
        <f t="shared" si="116"/>
        <v>11859.880611582432</v>
      </c>
    </row>
    <row r="214" spans="1:32" x14ac:dyDescent="0.2">
      <c r="A214" s="3">
        <v>16824</v>
      </c>
      <c r="B214" s="3">
        <v>60.59</v>
      </c>
      <c r="C214" s="3">
        <v>93.99</v>
      </c>
      <c r="E214" s="93">
        <f t="shared" si="125"/>
        <v>1.0574949937833644</v>
      </c>
      <c r="F214" s="93">
        <f t="shared" si="125"/>
        <v>1.6404349639494702</v>
      </c>
      <c r="H214" s="86">
        <f t="shared" si="100"/>
        <v>4.3119057443010922E-2</v>
      </c>
      <c r="I214" s="86">
        <f t="shared" si="101"/>
        <v>1.0001549665718366</v>
      </c>
      <c r="J214" s="108">
        <f t="shared" si="102"/>
        <v>-7.7161400675014642</v>
      </c>
      <c r="K214" s="108">
        <f t="shared" si="103"/>
        <v>83.68422103699379</v>
      </c>
      <c r="L214" s="108">
        <f t="shared" si="104"/>
        <v>48.424731417483514</v>
      </c>
      <c r="M214" s="95">
        <f t="shared" si="124"/>
        <v>-7703.7190885606888</v>
      </c>
      <c r="N214" s="95">
        <f t="shared" si="124"/>
        <v>684.01637159729114</v>
      </c>
      <c r="O214" s="95">
        <f t="shared" si="124"/>
        <v>11953.071063398078</v>
      </c>
      <c r="Q214" s="18">
        <f t="shared" si="117"/>
        <v>16737</v>
      </c>
      <c r="R214" s="93">
        <f t="shared" si="108"/>
        <v>10</v>
      </c>
      <c r="S214" s="93">
        <f t="shared" si="118"/>
        <v>97</v>
      </c>
      <c r="T214" s="93">
        <f t="shared" si="119"/>
        <v>4.4452636539186515E-3</v>
      </c>
      <c r="U214" s="109">
        <f t="shared" si="109"/>
        <v>1.0407046479055411</v>
      </c>
      <c r="V214" s="112">
        <f t="shared" si="121"/>
        <v>59.627984044635852</v>
      </c>
      <c r="W214" s="93">
        <f t="shared" si="110"/>
        <v>1.6806209725642329</v>
      </c>
      <c r="X214" s="112">
        <f t="shared" si="122"/>
        <v>96.292488689102271</v>
      </c>
      <c r="Y214" s="110"/>
      <c r="Z214" s="86">
        <f t="shared" si="107"/>
        <v>1.0000016467006667</v>
      </c>
      <c r="AA214" s="108">
        <f t="shared" si="111"/>
        <v>-0.96509107025901808</v>
      </c>
      <c r="AB214" s="108">
        <f t="shared" si="112"/>
        <v>8.5686475989239366</v>
      </c>
      <c r="AC214" s="108">
        <f t="shared" si="113"/>
        <v>5.0642583743257577</v>
      </c>
      <c r="AD214" s="110">
        <f t="shared" si="114"/>
        <v>-7696.9680395634468</v>
      </c>
      <c r="AE214" s="110">
        <f t="shared" si="115"/>
        <v>608.90079815922127</v>
      </c>
      <c r="AF214" s="110">
        <f t="shared" si="116"/>
        <v>11909.710590354922</v>
      </c>
    </row>
    <row r="215" spans="1:32" x14ac:dyDescent="0.2">
      <c r="A215" s="3">
        <v>16920</v>
      </c>
      <c r="B215" s="3">
        <v>61.17</v>
      </c>
      <c r="C215" s="3">
        <v>91.47</v>
      </c>
      <c r="E215" s="93">
        <f t="shared" si="125"/>
        <v>1.0676179034449313</v>
      </c>
      <c r="F215" s="93">
        <f t="shared" si="125"/>
        <v>1.5964526667992132</v>
      </c>
      <c r="H215" s="86">
        <f t="shared" ref="H215:H229" si="126">ACOS(MAX(-1,MIN(1, COS(E215-E214)-SIN(E214)*SIN(E215)*(1-COS(F215-F214)))))</f>
        <v>3.973314284590157E-2</v>
      </c>
      <c r="I215" s="86">
        <f t="shared" ref="I215:I229" si="127">IF(H215=0, 1, 2*TAN(H215/2)/H215)</f>
        <v>1.0001315809930629</v>
      </c>
      <c r="J215" s="108">
        <f t="shared" ref="J215:J229" si="128">0.5*(A215-A214)*I215 * (SIN(E214)*COS(F214) + SIN(E215)*COS(F215))</f>
        <v>-3.9887985213027433</v>
      </c>
      <c r="K215" s="108">
        <f t="shared" ref="K215:K229" si="129">0.5*(A215-A214)*I215 * (SIN(E214)*SIN(F214) + SIN(E215)*SIN(F215))</f>
        <v>83.760588825261124</v>
      </c>
      <c r="L215" s="108">
        <f t="shared" ref="L215:L229" si="130">0.5*(A215-A214)*I215 * (COS(E214) + COS(E215))</f>
        <v>46.723022706337254</v>
      </c>
      <c r="M215" s="95">
        <f t="shared" ref="M215:O229" si="131">M214+J215</f>
        <v>-7707.7078870819914</v>
      </c>
      <c r="N215" s="95">
        <f t="shared" si="131"/>
        <v>767.77696042255229</v>
      </c>
      <c r="O215" s="95">
        <f t="shared" si="131"/>
        <v>11999.794086104415</v>
      </c>
      <c r="Q215" s="18">
        <f t="shared" si="117"/>
        <v>16834</v>
      </c>
      <c r="R215" s="93">
        <f t="shared" si="108"/>
        <v>10</v>
      </c>
      <c r="S215" s="93">
        <f t="shared" si="118"/>
        <v>96</v>
      </c>
      <c r="T215" s="93">
        <f t="shared" si="119"/>
        <v>4.1388690464480805E-3</v>
      </c>
      <c r="U215" s="109">
        <f t="shared" si="109"/>
        <v>1.058510910413295</v>
      </c>
      <c r="V215" s="112">
        <f t="shared" si="121"/>
        <v>60.648207735232191</v>
      </c>
      <c r="W215" s="93">
        <f t="shared" si="110"/>
        <v>1.6358304710691307</v>
      </c>
      <c r="X215" s="112">
        <f t="shared" si="122"/>
        <v>93.726181991158498</v>
      </c>
      <c r="Y215" s="110"/>
      <c r="Z215" s="86">
        <f t="shared" si="107"/>
        <v>1.000001427522194</v>
      </c>
      <c r="AA215" s="108">
        <f t="shared" si="111"/>
        <v>-0.58630429376044657</v>
      </c>
      <c r="AB215" s="108">
        <f t="shared" si="112"/>
        <v>8.6940155702756545</v>
      </c>
      <c r="AC215" s="108">
        <f t="shared" si="113"/>
        <v>4.9061387859526757</v>
      </c>
      <c r="AD215" s="110">
        <f t="shared" si="114"/>
        <v>-7704.3053928544496</v>
      </c>
      <c r="AE215" s="110">
        <f t="shared" si="115"/>
        <v>692.71038716756675</v>
      </c>
      <c r="AF215" s="110">
        <f t="shared" si="116"/>
        <v>11957.977202184031</v>
      </c>
    </row>
    <row r="216" spans="1:32" x14ac:dyDescent="0.2">
      <c r="A216" s="3">
        <v>17016</v>
      </c>
      <c r="B216" s="3">
        <v>62</v>
      </c>
      <c r="C216" s="3">
        <v>88.38</v>
      </c>
      <c r="E216" s="93">
        <f t="shared" si="125"/>
        <v>1.0821041362364843</v>
      </c>
      <c r="F216" s="93">
        <f t="shared" si="125"/>
        <v>1.5425219929125884</v>
      </c>
      <c r="H216" s="86">
        <f t="shared" si="126"/>
        <v>4.959408930814635E-2</v>
      </c>
      <c r="I216" s="86">
        <f t="shared" si="127"/>
        <v>1.0002050148995985</v>
      </c>
      <c r="J216" s="108">
        <f t="shared" si="128"/>
        <v>0.11942674877092914</v>
      </c>
      <c r="K216" s="108">
        <f t="shared" si="129"/>
        <v>84.41861641489551</v>
      </c>
      <c r="L216" s="108">
        <f t="shared" si="130"/>
        <v>45.69019744003802</v>
      </c>
      <c r="M216" s="95">
        <f t="shared" si="131"/>
        <v>-7707.5884603332206</v>
      </c>
      <c r="N216" s="95">
        <f t="shared" si="131"/>
        <v>852.19557683744779</v>
      </c>
      <c r="O216" s="95">
        <f t="shared" si="131"/>
        <v>12045.484283544454</v>
      </c>
      <c r="Q216" s="18">
        <f t="shared" si="117"/>
        <v>16930</v>
      </c>
      <c r="R216" s="93">
        <f t="shared" si="108"/>
        <v>10</v>
      </c>
      <c r="S216" s="93">
        <f t="shared" si="118"/>
        <v>96</v>
      </c>
      <c r="T216" s="93">
        <f t="shared" si="119"/>
        <v>5.1660509695985787E-3</v>
      </c>
      <c r="U216" s="109">
        <f t="shared" si="109"/>
        <v>1.0690697025690135</v>
      </c>
      <c r="V216" s="112">
        <f t="shared" si="121"/>
        <v>61.253181962510695</v>
      </c>
      <c r="W216" s="93">
        <f t="shared" si="110"/>
        <v>1.5907956179043288</v>
      </c>
      <c r="X216" s="112">
        <f t="shared" si="122"/>
        <v>91.145874973823979</v>
      </c>
      <c r="Y216" s="110"/>
      <c r="Z216" s="86">
        <f t="shared" si="107"/>
        <v>1.0000022240128206</v>
      </c>
      <c r="AA216" s="108">
        <f t="shared" si="111"/>
        <v>-0.20003624761140165</v>
      </c>
      <c r="AB216" s="108">
        <f t="shared" si="112"/>
        <v>8.7617401547065619</v>
      </c>
      <c r="AC216" s="108">
        <f t="shared" si="113"/>
        <v>4.8157733086757251</v>
      </c>
      <c r="AD216" s="110">
        <f t="shared" si="114"/>
        <v>-7707.9079233296025</v>
      </c>
      <c r="AE216" s="110">
        <f t="shared" si="115"/>
        <v>776.53870057725885</v>
      </c>
      <c r="AF216" s="110">
        <f t="shared" si="116"/>
        <v>12004.609859413091</v>
      </c>
    </row>
    <row r="217" spans="1:32" x14ac:dyDescent="0.2">
      <c r="A217" s="3">
        <v>17113</v>
      </c>
      <c r="B217" s="3">
        <v>62.87</v>
      </c>
      <c r="C217" s="3">
        <v>85.72</v>
      </c>
      <c r="E217" s="93">
        <f t="shared" si="125"/>
        <v>1.0972885007288349</v>
      </c>
      <c r="F217" s="93">
        <f t="shared" si="125"/>
        <v>1.4960962348095392</v>
      </c>
      <c r="H217" s="86">
        <f t="shared" si="126"/>
        <v>4.3866169727856619E-2</v>
      </c>
      <c r="I217" s="86">
        <f t="shared" si="127"/>
        <v>1.0001603842657489</v>
      </c>
      <c r="J217" s="108">
        <f t="shared" si="128"/>
        <v>4.4326781196947618</v>
      </c>
      <c r="K217" s="108">
        <f t="shared" si="129"/>
        <v>85.86298475820152</v>
      </c>
      <c r="L217" s="108">
        <f t="shared" si="130"/>
        <v>44.893101304029187</v>
      </c>
      <c r="M217" s="95">
        <f t="shared" si="131"/>
        <v>-7703.1557822135255</v>
      </c>
      <c r="N217" s="95">
        <f t="shared" si="131"/>
        <v>938.05856159564928</v>
      </c>
      <c r="O217" s="95">
        <f t="shared" si="131"/>
        <v>12090.377384848483</v>
      </c>
      <c r="Q217" s="18">
        <f t="shared" si="117"/>
        <v>17026</v>
      </c>
      <c r="R217" s="93">
        <f t="shared" si="108"/>
        <v>10</v>
      </c>
      <c r="S217" s="93">
        <f t="shared" si="118"/>
        <v>97</v>
      </c>
      <c r="T217" s="93">
        <f t="shared" si="119"/>
        <v>4.5222855389542901E-3</v>
      </c>
      <c r="U217" s="109">
        <f t="shared" si="109"/>
        <v>1.0836283650539102</v>
      </c>
      <c r="V217" s="112">
        <f t="shared" si="121"/>
        <v>62.087331878250723</v>
      </c>
      <c r="W217" s="93">
        <f t="shared" si="110"/>
        <v>1.5377018281303696</v>
      </c>
      <c r="X217" s="112">
        <f t="shared" si="122"/>
        <v>88.103824901421262</v>
      </c>
      <c r="Y217" s="110"/>
      <c r="Z217" s="86">
        <f t="shared" si="107"/>
        <v>1.0000017042590266</v>
      </c>
      <c r="AA217" s="108">
        <f t="shared" si="111"/>
        <v>0.27100269529689086</v>
      </c>
      <c r="AB217" s="108">
        <f t="shared" si="112"/>
        <v>8.8288798715812966</v>
      </c>
      <c r="AC217" s="108">
        <f t="shared" si="113"/>
        <v>4.6879918224001278</v>
      </c>
      <c r="AD217" s="110">
        <f t="shared" si="114"/>
        <v>-7707.3174576379233</v>
      </c>
      <c r="AE217" s="110">
        <f t="shared" si="115"/>
        <v>861.0244567090291</v>
      </c>
      <c r="AF217" s="110">
        <f t="shared" si="116"/>
        <v>12050.172275366855</v>
      </c>
    </row>
    <row r="218" spans="1:32" x14ac:dyDescent="0.2">
      <c r="A218" s="3">
        <v>17209</v>
      </c>
      <c r="B218" s="3">
        <v>63.91</v>
      </c>
      <c r="C218" s="3">
        <v>83.05</v>
      </c>
      <c r="E218" s="93">
        <f t="shared" si="125"/>
        <v>1.1154399249495759</v>
      </c>
      <c r="F218" s="93">
        <f t="shared" si="125"/>
        <v>1.4494959437812907</v>
      </c>
      <c r="H218" s="86">
        <f t="shared" si="126"/>
        <v>4.5444841452454421E-2</v>
      </c>
      <c r="I218" s="86">
        <f t="shared" si="127"/>
        <v>1.0001721383518982</v>
      </c>
      <c r="J218" s="108">
        <f t="shared" si="128"/>
        <v>8.4059003425770324</v>
      </c>
      <c r="K218" s="108">
        <f t="shared" si="129"/>
        <v>85.40657573542552</v>
      </c>
      <c r="L218" s="108">
        <f t="shared" si="130"/>
        <v>43.005484189211025</v>
      </c>
      <c r="M218" s="95">
        <f t="shared" si="131"/>
        <v>-7694.7498818709482</v>
      </c>
      <c r="N218" s="95">
        <f t="shared" si="131"/>
        <v>1023.4651373310749</v>
      </c>
      <c r="O218" s="95">
        <f t="shared" si="131"/>
        <v>12133.382869037694</v>
      </c>
      <c r="Q218" s="18">
        <f t="shared" si="117"/>
        <v>17123</v>
      </c>
      <c r="R218" s="93">
        <f t="shared" si="108"/>
        <v>10</v>
      </c>
      <c r="S218" s="93">
        <f t="shared" si="118"/>
        <v>96</v>
      </c>
      <c r="T218" s="93">
        <f t="shared" si="119"/>
        <v>4.7338376512973358E-3</v>
      </c>
      <c r="U218" s="109">
        <f t="shared" si="109"/>
        <v>1.0991383511806554</v>
      </c>
      <c r="V218" s="112">
        <f t="shared" si="121"/>
        <v>62.975988623619678</v>
      </c>
      <c r="W218" s="93">
        <f t="shared" si="110"/>
        <v>1.4912024090193405</v>
      </c>
      <c r="X218" s="112">
        <f t="shared" si="122"/>
        <v>85.439604436549331</v>
      </c>
      <c r="Y218" s="110"/>
      <c r="Z218" s="86">
        <f t="shared" si="107"/>
        <v>1.0000018674390938</v>
      </c>
      <c r="AA218" s="108">
        <f t="shared" si="111"/>
        <v>0.68624153062378002</v>
      </c>
      <c r="AB218" s="108">
        <f t="shared" si="112"/>
        <v>8.8774574411385867</v>
      </c>
      <c r="AC218" s="108">
        <f t="shared" si="113"/>
        <v>4.5518825994382661</v>
      </c>
      <c r="AD218" s="110">
        <f t="shared" si="114"/>
        <v>-7702.4695406829014</v>
      </c>
      <c r="AE218" s="110">
        <f t="shared" si="115"/>
        <v>946.93601903678791</v>
      </c>
      <c r="AF218" s="110">
        <f t="shared" si="116"/>
        <v>12094.929267447922</v>
      </c>
    </row>
    <row r="219" spans="1:32" x14ac:dyDescent="0.2">
      <c r="A219" s="3">
        <v>17305</v>
      </c>
      <c r="B219" s="3">
        <v>64.89</v>
      </c>
      <c r="C219" s="3">
        <v>80.17</v>
      </c>
      <c r="E219" s="93">
        <f t="shared" si="125"/>
        <v>1.1325441516191204</v>
      </c>
      <c r="F219" s="93">
        <f t="shared" si="125"/>
        <v>1.399230461323854</v>
      </c>
      <c r="H219" s="86">
        <f t="shared" si="126"/>
        <v>4.8448869945328488E-2</v>
      </c>
      <c r="I219" s="86">
        <f t="shared" si="127"/>
        <v>1.0001956536756935</v>
      </c>
      <c r="J219" s="108">
        <f t="shared" si="128"/>
        <v>12.639164933671152</v>
      </c>
      <c r="K219" s="108">
        <f t="shared" si="129"/>
        <v>85.634641522778921</v>
      </c>
      <c r="L219" s="108">
        <f t="shared" si="130"/>
        <v>41.486830453361407</v>
      </c>
      <c r="M219" s="95">
        <f t="shared" si="131"/>
        <v>-7682.1107169372772</v>
      </c>
      <c r="N219" s="95">
        <f t="shared" si="131"/>
        <v>1109.0997788538539</v>
      </c>
      <c r="O219" s="95">
        <f t="shared" si="131"/>
        <v>12174.869699491055</v>
      </c>
      <c r="Q219" s="18">
        <f t="shared" si="117"/>
        <v>17219</v>
      </c>
      <c r="R219" s="93">
        <f t="shared" si="108"/>
        <v>10</v>
      </c>
      <c r="S219" s="93">
        <f t="shared" si="118"/>
        <v>96</v>
      </c>
      <c r="T219" s="93">
        <f t="shared" si="119"/>
        <v>5.0467572859717175E-3</v>
      </c>
      <c r="U219" s="109">
        <f t="shared" si="109"/>
        <v>1.117175304494715</v>
      </c>
      <c r="V219" s="112">
        <f t="shared" si="121"/>
        <v>64.009429923789796</v>
      </c>
      <c r="W219" s="93">
        <f t="shared" si="110"/>
        <v>1.4442214995520117</v>
      </c>
      <c r="X219" s="112">
        <f t="shared" si="122"/>
        <v>82.74779660638518</v>
      </c>
      <c r="Y219" s="110"/>
      <c r="Z219" s="86">
        <f t="shared" si="107"/>
        <v>1.000002122485331</v>
      </c>
      <c r="AA219" s="108">
        <f t="shared" si="111"/>
        <v>1.110720956502826</v>
      </c>
      <c r="AB219" s="108">
        <f t="shared" si="112"/>
        <v>8.9159215566551744</v>
      </c>
      <c r="AC219" s="108">
        <f t="shared" si="113"/>
        <v>4.3900375288310052</v>
      </c>
      <c r="AD219" s="110">
        <f t="shared" si="114"/>
        <v>-7693.6391609144457</v>
      </c>
      <c r="AE219" s="110">
        <f t="shared" si="115"/>
        <v>1032.38105888773</v>
      </c>
      <c r="AF219" s="110">
        <f t="shared" si="116"/>
        <v>12137.772906566524</v>
      </c>
    </row>
    <row r="220" spans="1:32" x14ac:dyDescent="0.2">
      <c r="A220" s="3">
        <v>17400</v>
      </c>
      <c r="B220" s="3">
        <v>65.31</v>
      </c>
      <c r="C220" s="3">
        <v>79.86</v>
      </c>
      <c r="E220" s="93">
        <f t="shared" si="125"/>
        <v>1.1398745344774968</v>
      </c>
      <c r="F220" s="93">
        <f t="shared" si="125"/>
        <v>1.3938199406426717</v>
      </c>
      <c r="H220" s="86">
        <f t="shared" si="126"/>
        <v>8.8214891168711951E-3</v>
      </c>
      <c r="I220" s="86">
        <f t="shared" si="127"/>
        <v>1.0000064849396515</v>
      </c>
      <c r="J220" s="108">
        <f t="shared" si="128"/>
        <v>14.941236937991594</v>
      </c>
      <c r="K220" s="108">
        <f t="shared" si="129"/>
        <v>84.863593317147703</v>
      </c>
      <c r="L220" s="108">
        <f t="shared" si="130"/>
        <v>39.998392993862431</v>
      </c>
      <c r="M220" s="95">
        <f t="shared" si="131"/>
        <v>-7667.1694799992856</v>
      </c>
      <c r="N220" s="95">
        <f t="shared" si="131"/>
        <v>1193.9633721710015</v>
      </c>
      <c r="O220" s="95">
        <f t="shared" si="131"/>
        <v>12214.868092484918</v>
      </c>
      <c r="Q220" s="18">
        <f t="shared" si="117"/>
        <v>17315</v>
      </c>
      <c r="R220" s="93">
        <f t="shared" si="108"/>
        <v>10</v>
      </c>
      <c r="S220" s="93">
        <f t="shared" si="118"/>
        <v>95</v>
      </c>
      <c r="T220" s="93">
        <f t="shared" si="119"/>
        <v>9.2857780177591517E-4</v>
      </c>
      <c r="U220" s="109">
        <f t="shared" si="109"/>
        <v>1.1333152426007018</v>
      </c>
      <c r="V220" s="112">
        <f t="shared" si="121"/>
        <v>64.934180258865211</v>
      </c>
      <c r="W220" s="93">
        <f t="shared" si="110"/>
        <v>1.398659193309741</v>
      </c>
      <c r="X220" s="112">
        <f t="shared" si="122"/>
        <v>80.137268753820507</v>
      </c>
      <c r="Y220" s="110"/>
      <c r="Z220" s="86">
        <f t="shared" si="107"/>
        <v>1.0000000718547342</v>
      </c>
      <c r="AA220" s="108">
        <f t="shared" si="111"/>
        <v>1.5487382675066117</v>
      </c>
      <c r="AB220" s="108">
        <f t="shared" si="112"/>
        <v>8.9231774919791214</v>
      </c>
      <c r="AC220" s="108">
        <f t="shared" si="113"/>
        <v>4.2400832586076946</v>
      </c>
      <c r="AD220" s="110">
        <f t="shared" si="114"/>
        <v>-7680.5619786697707</v>
      </c>
      <c r="AE220" s="110">
        <f t="shared" si="115"/>
        <v>1118.0229563458331</v>
      </c>
      <c r="AF220" s="110">
        <f t="shared" si="116"/>
        <v>12179.109782749663</v>
      </c>
    </row>
    <row r="221" spans="1:32" x14ac:dyDescent="0.2">
      <c r="A221" s="3">
        <v>17497</v>
      </c>
      <c r="B221" s="3">
        <v>65.739999999999995</v>
      </c>
      <c r="C221" s="3">
        <v>78.05</v>
      </c>
      <c r="E221" s="93">
        <f t="shared" si="125"/>
        <v>1.1473794502610721</v>
      </c>
      <c r="F221" s="93">
        <f t="shared" si="125"/>
        <v>1.3622294811815741</v>
      </c>
      <c r="H221" s="86">
        <f t="shared" si="126"/>
        <v>2.9714846988893928E-2</v>
      </c>
      <c r="I221" s="86">
        <f t="shared" si="127"/>
        <v>1.0000735875085431</v>
      </c>
      <c r="J221" s="108">
        <f t="shared" si="128"/>
        <v>16.914752817856922</v>
      </c>
      <c r="K221" s="108">
        <f t="shared" si="129"/>
        <v>86.643007993543861</v>
      </c>
      <c r="L221" s="108">
        <f t="shared" si="130"/>
        <v>40.189401582827294</v>
      </c>
      <c r="M221" s="95">
        <f t="shared" si="131"/>
        <v>-7650.2547271814283</v>
      </c>
      <c r="N221" s="95">
        <f t="shared" si="131"/>
        <v>1280.6063801645455</v>
      </c>
      <c r="O221" s="95">
        <f t="shared" si="131"/>
        <v>12255.057494067745</v>
      </c>
      <c r="Q221" s="18">
        <f t="shared" si="117"/>
        <v>17410</v>
      </c>
      <c r="R221" s="93">
        <f t="shared" si="108"/>
        <v>10</v>
      </c>
      <c r="S221" s="93">
        <f t="shared" si="118"/>
        <v>97</v>
      </c>
      <c r="T221" s="93">
        <f t="shared" si="119"/>
        <v>3.0633862875148379E-3</v>
      </c>
      <c r="U221" s="109">
        <f t="shared" si="109"/>
        <v>1.14063077724406</v>
      </c>
      <c r="V221" s="112">
        <f t="shared" si="121"/>
        <v>65.353329518811378</v>
      </c>
      <c r="W221" s="93">
        <f t="shared" si="110"/>
        <v>1.3905532440799746</v>
      </c>
      <c r="X221" s="112">
        <f t="shared" si="122"/>
        <v>79.672832074007573</v>
      </c>
      <c r="Y221" s="110"/>
      <c r="Z221" s="86">
        <f t="shared" si="107"/>
        <v>1.000000782028696</v>
      </c>
      <c r="AA221" s="108">
        <f t="shared" si="111"/>
        <v>1.6144817039921202</v>
      </c>
      <c r="AB221" s="108">
        <f t="shared" si="112"/>
        <v>8.942818252915286</v>
      </c>
      <c r="AC221" s="108">
        <f t="shared" si="113"/>
        <v>4.1736521560892106</v>
      </c>
      <c r="AD221" s="110">
        <f t="shared" si="114"/>
        <v>-7665.5549982952934</v>
      </c>
      <c r="AE221" s="110">
        <f t="shared" si="115"/>
        <v>1202.9061904239168</v>
      </c>
      <c r="AF221" s="110">
        <f t="shared" si="116"/>
        <v>12219.041744641007</v>
      </c>
    </row>
    <row r="222" spans="1:32" x14ac:dyDescent="0.2">
      <c r="A222" s="3">
        <v>17594</v>
      </c>
      <c r="B222" s="3">
        <v>66.790000000000006</v>
      </c>
      <c r="C222" s="3">
        <v>75.69</v>
      </c>
      <c r="E222" s="93">
        <f t="shared" si="125"/>
        <v>1.1657054074070128</v>
      </c>
      <c r="F222" s="93">
        <f t="shared" si="125"/>
        <v>1.321039710834508</v>
      </c>
      <c r="H222" s="86">
        <f t="shared" si="126"/>
        <v>4.1922231246045882E-2</v>
      </c>
      <c r="I222" s="86">
        <f t="shared" si="127"/>
        <v>1.000146481866574</v>
      </c>
      <c r="J222" s="108">
        <f t="shared" si="128"/>
        <v>20.175888029923875</v>
      </c>
      <c r="K222" s="108">
        <f t="shared" si="129"/>
        <v>86.463095185882707</v>
      </c>
      <c r="L222" s="108">
        <f t="shared" si="130"/>
        <v>39.047263516752309</v>
      </c>
      <c r="M222" s="95">
        <f t="shared" si="131"/>
        <v>-7630.0788391515043</v>
      </c>
      <c r="N222" s="95">
        <f t="shared" si="131"/>
        <v>1367.0694753504281</v>
      </c>
      <c r="O222" s="95">
        <f t="shared" si="131"/>
        <v>12294.104757584497</v>
      </c>
      <c r="Q222" s="18">
        <f t="shared" si="117"/>
        <v>17507</v>
      </c>
      <c r="R222" s="93">
        <f t="shared" si="108"/>
        <v>10</v>
      </c>
      <c r="S222" s="93">
        <f t="shared" si="118"/>
        <v>97</v>
      </c>
      <c r="T222" s="93">
        <f t="shared" si="119"/>
        <v>4.3218795099016372E-3</v>
      </c>
      <c r="U222" s="109">
        <f t="shared" si="109"/>
        <v>1.1492395669954378</v>
      </c>
      <c r="V222" s="112">
        <f t="shared" si="121"/>
        <v>65.846576838280811</v>
      </c>
      <c r="W222" s="93">
        <f t="shared" si="110"/>
        <v>1.3579522920189857</v>
      </c>
      <c r="X222" s="112">
        <f t="shared" si="122"/>
        <v>77.804935112804586</v>
      </c>
      <c r="Y222" s="110"/>
      <c r="Z222" s="86">
        <f t="shared" si="107"/>
        <v>1.0000015565564488</v>
      </c>
      <c r="AA222" s="108">
        <f t="shared" si="111"/>
        <v>1.9076026241101978</v>
      </c>
      <c r="AB222" s="108">
        <f t="shared" si="112"/>
        <v>8.9189914706180016</v>
      </c>
      <c r="AC222" s="108">
        <f t="shared" si="113"/>
        <v>4.1003033692976878</v>
      </c>
      <c r="AD222" s="110">
        <f t="shared" si="114"/>
        <v>-7648.3471245573182</v>
      </c>
      <c r="AE222" s="110">
        <f t="shared" si="115"/>
        <v>1289.5253716351635</v>
      </c>
      <c r="AF222" s="110">
        <f t="shared" si="116"/>
        <v>12259.157797437043</v>
      </c>
    </row>
    <row r="223" spans="1:32" x14ac:dyDescent="0.2">
      <c r="A223" s="3">
        <v>17690</v>
      </c>
      <c r="B223" s="3">
        <v>68.010000000000005</v>
      </c>
      <c r="C223" s="3">
        <v>72.87</v>
      </c>
      <c r="E223" s="93">
        <f t="shared" si="125"/>
        <v>1.1869984242813436</v>
      </c>
      <c r="F223" s="93">
        <f t="shared" si="125"/>
        <v>1.2718214259282681</v>
      </c>
      <c r="H223" s="86">
        <f t="shared" si="126"/>
        <v>5.0178671902148198E-2</v>
      </c>
      <c r="I223" s="86">
        <f t="shared" si="127"/>
        <v>1.0002098777714192</v>
      </c>
      <c r="J223" s="108">
        <f t="shared" si="128"/>
        <v>24.018318485418163</v>
      </c>
      <c r="K223" s="108">
        <f t="shared" si="129"/>
        <v>85.297855758307023</v>
      </c>
      <c r="L223" s="108">
        <f t="shared" si="130"/>
        <v>36.898002600962229</v>
      </c>
      <c r="M223" s="95">
        <f t="shared" si="131"/>
        <v>-7606.0605206660857</v>
      </c>
      <c r="N223" s="95">
        <f t="shared" si="131"/>
        <v>1452.367331108735</v>
      </c>
      <c r="O223" s="95">
        <f t="shared" si="131"/>
        <v>12331.00276018546</v>
      </c>
      <c r="Q223" s="18">
        <f t="shared" si="117"/>
        <v>17604</v>
      </c>
      <c r="R223" s="93">
        <f t="shared" si="108"/>
        <v>10</v>
      </c>
      <c r="S223" s="93">
        <f t="shared" si="118"/>
        <v>96</v>
      </c>
      <c r="T223" s="93">
        <f t="shared" si="119"/>
        <v>5.2269449898071042E-3</v>
      </c>
      <c r="U223" s="109">
        <f t="shared" si="109"/>
        <v>1.1678829103014858</v>
      </c>
      <c r="V223" s="112">
        <f t="shared" si="121"/>
        <v>66.914761725730827</v>
      </c>
      <c r="W223" s="93">
        <f t="shared" si="110"/>
        <v>1.3158718915017527</v>
      </c>
      <c r="X223" s="112">
        <f t="shared" si="122"/>
        <v>75.393905762947</v>
      </c>
      <c r="Y223" s="110"/>
      <c r="Z223" s="86">
        <f t="shared" si="107"/>
        <v>1.0000022767523808</v>
      </c>
      <c r="AA223" s="108">
        <f t="shared" si="111"/>
        <v>2.2957199359055704</v>
      </c>
      <c r="AB223" s="108">
        <f t="shared" si="112"/>
        <v>8.9037360079329435</v>
      </c>
      <c r="AC223" s="108">
        <f t="shared" si="113"/>
        <v>3.9310211653608982</v>
      </c>
      <c r="AD223" s="110">
        <f t="shared" si="114"/>
        <v>-7627.7831192155991</v>
      </c>
      <c r="AE223" s="110">
        <f t="shared" si="115"/>
        <v>1375.9732113583611</v>
      </c>
      <c r="AF223" s="110">
        <f t="shared" si="116"/>
        <v>12298.035778749858</v>
      </c>
    </row>
    <row r="224" spans="1:32" x14ac:dyDescent="0.2">
      <c r="A224" s="3">
        <v>17786</v>
      </c>
      <c r="B224" s="3">
        <v>69.260000000000005</v>
      </c>
      <c r="C224" s="3">
        <v>70.42</v>
      </c>
      <c r="E224" s="93">
        <f t="shared" si="125"/>
        <v>1.2088150399312727</v>
      </c>
      <c r="F224" s="93">
        <f t="shared" si="125"/>
        <v>1.229060859254407</v>
      </c>
      <c r="H224" s="86">
        <f t="shared" si="126"/>
        <v>4.540520204103915E-2</v>
      </c>
      <c r="I224" s="86">
        <f t="shared" si="127"/>
        <v>1.00017183812449</v>
      </c>
      <c r="J224" s="108">
        <f t="shared" si="128"/>
        <v>28.157722462470321</v>
      </c>
      <c r="K224" s="108">
        <f t="shared" si="129"/>
        <v>84.841819821451466</v>
      </c>
      <c r="L224" s="108">
        <f t="shared" si="130"/>
        <v>34.977493481569816</v>
      </c>
      <c r="M224" s="95">
        <f t="shared" si="131"/>
        <v>-7577.902798203615</v>
      </c>
      <c r="N224" s="95">
        <f t="shared" si="131"/>
        <v>1537.2091509301865</v>
      </c>
      <c r="O224" s="95">
        <f t="shared" si="131"/>
        <v>12365.98025366703</v>
      </c>
      <c r="Q224" s="18">
        <f t="shared" si="117"/>
        <v>17700</v>
      </c>
      <c r="R224" s="93">
        <f t="shared" si="108"/>
        <v>10</v>
      </c>
      <c r="S224" s="93">
        <f t="shared" si="118"/>
        <v>96</v>
      </c>
      <c r="T224" s="93">
        <f t="shared" si="119"/>
        <v>4.7297085459415784E-3</v>
      </c>
      <c r="U224" s="109">
        <f t="shared" si="109"/>
        <v>1.189241728443871</v>
      </c>
      <c r="V224" s="112">
        <f t="shared" si="121"/>
        <v>68.138531860676949</v>
      </c>
      <c r="W224" s="93">
        <f t="shared" si="110"/>
        <v>1.267332903260374</v>
      </c>
      <c r="X224" s="112">
        <f t="shared" si="122"/>
        <v>72.612826594880872</v>
      </c>
      <c r="Y224" s="110"/>
      <c r="Z224" s="86">
        <f t="shared" si="107"/>
        <v>1.0000018641827477</v>
      </c>
      <c r="AA224" s="108">
        <f t="shared" si="111"/>
        <v>2.7522563225223098</v>
      </c>
      <c r="AB224" s="108">
        <f t="shared" si="112"/>
        <v>8.8589939559166222</v>
      </c>
      <c r="AC224" s="108">
        <f t="shared" si="113"/>
        <v>3.7340493845756786</v>
      </c>
      <c r="AD224" s="110">
        <f t="shared" si="114"/>
        <v>-7603.3082643435637</v>
      </c>
      <c r="AE224" s="110">
        <f t="shared" si="115"/>
        <v>1461.2263250646517</v>
      </c>
      <c r="AF224" s="110">
        <f t="shared" si="116"/>
        <v>12334.736809570035</v>
      </c>
    </row>
    <row r="225" spans="1:32" x14ac:dyDescent="0.2">
      <c r="A225" s="3">
        <v>17882</v>
      </c>
      <c r="B225" s="3">
        <v>70.39</v>
      </c>
      <c r="C225" s="3">
        <v>67.86</v>
      </c>
      <c r="E225" s="93">
        <f t="shared" si="125"/>
        <v>1.2285372604788085</v>
      </c>
      <c r="F225" s="93">
        <f t="shared" si="125"/>
        <v>1.1843804304033521</v>
      </c>
      <c r="H225" s="86">
        <f t="shared" si="126"/>
        <v>4.6343615093361157E-2</v>
      </c>
      <c r="I225" s="86">
        <f t="shared" si="127"/>
        <v>1.0001790160029076</v>
      </c>
      <c r="J225" s="108">
        <f t="shared" si="128"/>
        <v>32.089799714142117</v>
      </c>
      <c r="K225" s="108">
        <f t="shared" si="129"/>
        <v>84.19075340383084</v>
      </c>
      <c r="L225" s="108">
        <f t="shared" si="130"/>
        <v>33.113629467887748</v>
      </c>
      <c r="M225" s="95">
        <f t="shared" si="131"/>
        <v>-7545.8129984894731</v>
      </c>
      <c r="N225" s="95">
        <f t="shared" si="131"/>
        <v>1621.3999043340173</v>
      </c>
      <c r="O225" s="95">
        <f t="shared" si="131"/>
        <v>12399.093883134918</v>
      </c>
      <c r="Q225" s="18">
        <f t="shared" si="117"/>
        <v>17796</v>
      </c>
      <c r="R225" s="93">
        <f t="shared" si="108"/>
        <v>10</v>
      </c>
      <c r="S225" s="93">
        <f t="shared" si="118"/>
        <v>96</v>
      </c>
      <c r="T225" s="93">
        <f t="shared" si="119"/>
        <v>4.8274599055584538E-3</v>
      </c>
      <c r="U225" s="109">
        <f t="shared" si="109"/>
        <v>1.210838978671591</v>
      </c>
      <c r="V225" s="112">
        <f t="shared" si="121"/>
        <v>69.375963147813266</v>
      </c>
      <c r="W225" s="93">
        <f t="shared" si="110"/>
        <v>1.2243762604054258</v>
      </c>
      <c r="X225" s="112">
        <f t="shared" si="122"/>
        <v>70.151592257241546</v>
      </c>
      <c r="Y225" s="110"/>
      <c r="Z225" s="86">
        <f t="shared" si="107"/>
        <v>1.0000019420352875</v>
      </c>
      <c r="AA225" s="108">
        <f t="shared" si="111"/>
        <v>3.1558984446395875</v>
      </c>
      <c r="AB225" s="108">
        <f t="shared" si="112"/>
        <v>8.8071775092262197</v>
      </c>
      <c r="AC225" s="108">
        <f t="shared" si="113"/>
        <v>3.5318175384886397</v>
      </c>
      <c r="AD225" s="110">
        <f t="shared" si="114"/>
        <v>-7574.7468997589758</v>
      </c>
      <c r="AE225" s="110">
        <f t="shared" si="115"/>
        <v>1546.0163284394127</v>
      </c>
      <c r="AF225" s="110">
        <f t="shared" si="116"/>
        <v>12369.51207120552</v>
      </c>
    </row>
    <row r="226" spans="1:32" x14ac:dyDescent="0.2">
      <c r="A226" s="3">
        <v>17978</v>
      </c>
      <c r="B226" s="3">
        <v>71.650000000000006</v>
      </c>
      <c r="C226" s="3">
        <v>65.5</v>
      </c>
      <c r="E226" s="93">
        <f t="shared" si="125"/>
        <v>1.2505284090539373</v>
      </c>
      <c r="F226" s="93">
        <f t="shared" si="125"/>
        <v>1.1431906600562858</v>
      </c>
      <c r="H226" s="86">
        <f t="shared" si="126"/>
        <v>4.4728475581411908E-2</v>
      </c>
      <c r="I226" s="86">
        <f t="shared" si="127"/>
        <v>1.0001667530719611</v>
      </c>
      <c r="J226" s="108">
        <f t="shared" si="128"/>
        <v>35.939685997895033</v>
      </c>
      <c r="K226" s="108">
        <f t="shared" si="129"/>
        <v>83.3530357952082</v>
      </c>
      <c r="L226" s="108">
        <f t="shared" si="130"/>
        <v>31.226175041198932</v>
      </c>
      <c r="M226" s="95">
        <f t="shared" si="131"/>
        <v>-7509.873312491578</v>
      </c>
      <c r="N226" s="95">
        <f t="shared" si="131"/>
        <v>1704.7529401292254</v>
      </c>
      <c r="O226" s="95">
        <f t="shared" si="131"/>
        <v>12430.320058176116</v>
      </c>
      <c r="Q226" s="18">
        <f t="shared" si="117"/>
        <v>17892</v>
      </c>
      <c r="R226" s="93">
        <f t="shared" si="108"/>
        <v>10</v>
      </c>
      <c r="S226" s="93">
        <f t="shared" si="118"/>
        <v>96</v>
      </c>
      <c r="T226" s="93">
        <f t="shared" si="119"/>
        <v>4.6592162063970738E-3</v>
      </c>
      <c r="U226" s="109">
        <f t="shared" si="109"/>
        <v>1.2308033765730424</v>
      </c>
      <c r="V226" s="112">
        <f t="shared" si="121"/>
        <v>70.519838888086269</v>
      </c>
      <c r="W226" s="93">
        <f t="shared" si="110"/>
        <v>1.1800605123193577</v>
      </c>
      <c r="X226" s="112">
        <f t="shared" si="122"/>
        <v>67.612486925944879</v>
      </c>
      <c r="Y226" s="110"/>
      <c r="Z226" s="86">
        <f t="shared" si="107"/>
        <v>1.0000018090285652</v>
      </c>
      <c r="AA226" s="108">
        <f t="shared" si="111"/>
        <v>3.5704008432812269</v>
      </c>
      <c r="AB226" s="108">
        <f t="shared" si="112"/>
        <v>8.7212250048679767</v>
      </c>
      <c r="AC226" s="108">
        <f t="shared" si="113"/>
        <v>3.3454882050949348</v>
      </c>
      <c r="AD226" s="110">
        <f t="shared" si="114"/>
        <v>-7542.2425976461918</v>
      </c>
      <c r="AE226" s="110">
        <f t="shared" si="115"/>
        <v>1630.1211293388853</v>
      </c>
      <c r="AF226" s="110">
        <f t="shared" si="116"/>
        <v>12402.439371340013</v>
      </c>
    </row>
    <row r="227" spans="1:32" x14ac:dyDescent="0.2">
      <c r="A227" s="3">
        <v>18074</v>
      </c>
      <c r="B227" s="3">
        <v>71.12</v>
      </c>
      <c r="C227" s="3">
        <v>62.38</v>
      </c>
      <c r="E227" s="93">
        <f t="shared" si="125"/>
        <v>1.2412781640183672</v>
      </c>
      <c r="F227" s="93">
        <f t="shared" si="125"/>
        <v>1.0887363873940628</v>
      </c>
      <c r="H227" s="86">
        <f t="shared" si="126"/>
        <v>5.2427103310159096E-2</v>
      </c>
      <c r="I227" s="86">
        <f t="shared" si="127"/>
        <v>1.0002291130710426</v>
      </c>
      <c r="J227" s="108">
        <f t="shared" si="128"/>
        <v>39.958073295224246</v>
      </c>
      <c r="K227" s="108">
        <f t="shared" si="129"/>
        <v>81.717697065924867</v>
      </c>
      <c r="L227" s="108">
        <f t="shared" si="130"/>
        <v>30.650605744043567</v>
      </c>
      <c r="M227" s="95">
        <f t="shared" si="131"/>
        <v>-7469.9152391963535</v>
      </c>
      <c r="N227" s="95">
        <f t="shared" si="131"/>
        <v>1786.4706371951502</v>
      </c>
      <c r="O227" s="95">
        <f t="shared" si="131"/>
        <v>12460.970663920159</v>
      </c>
      <c r="Q227" s="18">
        <f t="shared" si="117"/>
        <v>17988</v>
      </c>
      <c r="R227" s="93">
        <f t="shared" si="108"/>
        <v>10</v>
      </c>
      <c r="S227" s="93">
        <f t="shared" si="118"/>
        <v>96</v>
      </c>
      <c r="T227" s="93">
        <f t="shared" si="119"/>
        <v>5.4611565948082391E-3</v>
      </c>
      <c r="U227" s="109">
        <f t="shared" si="109"/>
        <v>1.2495231824015598</v>
      </c>
      <c r="V227" s="112">
        <f t="shared" si="121"/>
        <v>71.592404755364711</v>
      </c>
      <c r="W227" s="93">
        <f t="shared" si="110"/>
        <v>1.1375342995235156</v>
      </c>
      <c r="X227" s="112">
        <f t="shared" si="122"/>
        <v>65.17591441406789</v>
      </c>
      <c r="Y227" s="110"/>
      <c r="Z227" s="86">
        <f t="shared" ref="Z227:Z229" si="132">IF(T227=0, 1, 2*TAN(T227/2)/T227)</f>
        <v>1.0000024853600251</v>
      </c>
      <c r="AA227" s="108">
        <f t="shared" si="111"/>
        <v>3.9598051363745026</v>
      </c>
      <c r="AB227" s="108">
        <f t="shared" si="112"/>
        <v>8.6242896733257854</v>
      </c>
      <c r="AC227" s="108">
        <f t="shared" si="113"/>
        <v>3.1529862634483719</v>
      </c>
      <c r="AD227" s="110">
        <f t="shared" si="114"/>
        <v>-7505.9135073552034</v>
      </c>
      <c r="AE227" s="110">
        <f t="shared" si="115"/>
        <v>1713.3772298025513</v>
      </c>
      <c r="AF227" s="110">
        <f t="shared" si="116"/>
        <v>12433.473044439565</v>
      </c>
    </row>
    <row r="228" spans="1:32" x14ac:dyDescent="0.2">
      <c r="A228" s="3">
        <v>18171</v>
      </c>
      <c r="B228" s="3">
        <v>68.849999999999994</v>
      </c>
      <c r="C228" s="3">
        <v>61.45</v>
      </c>
      <c r="E228" s="93">
        <f t="shared" si="125"/>
        <v>1.2016591899980957</v>
      </c>
      <c r="F228" s="93">
        <f t="shared" si="125"/>
        <v>1.0725048253505156</v>
      </c>
      <c r="H228" s="86">
        <f t="shared" si="126"/>
        <v>4.2452559804807777E-2</v>
      </c>
      <c r="I228" s="86">
        <f t="shared" si="127"/>
        <v>1.0001502120577381</v>
      </c>
      <c r="J228" s="108">
        <f t="shared" si="128"/>
        <v>42.899580670156531</v>
      </c>
      <c r="K228" s="108">
        <f t="shared" si="129"/>
        <v>80.405762516932654</v>
      </c>
      <c r="L228" s="108">
        <f t="shared" si="130"/>
        <v>33.198288009290387</v>
      </c>
      <c r="M228" s="95">
        <f t="shared" si="131"/>
        <v>-7427.0156585261966</v>
      </c>
      <c r="N228" s="95">
        <f t="shared" si="131"/>
        <v>1866.8763997120827</v>
      </c>
      <c r="O228" s="95">
        <f t="shared" si="131"/>
        <v>12494.16895192945</v>
      </c>
      <c r="Q228" s="18">
        <f t="shared" si="117"/>
        <v>18084</v>
      </c>
      <c r="R228" s="93">
        <f t="shared" ref="R228:R230" si="133">IF(OR(Q228&lt;A227, Q228&gt;A228), "error", Q228-A227)</f>
        <v>10</v>
      </c>
      <c r="S228" s="93">
        <f t="shared" si="118"/>
        <v>97</v>
      </c>
      <c r="T228" s="93">
        <f t="shared" si="119"/>
        <v>4.3765525571966774E-3</v>
      </c>
      <c r="U228" s="109">
        <f t="shared" ref="U228:U230" si="134">IF(T228=0, E227, ACOS( (SIN(H228-T228)/SIN(H228))*COS(E227) + (SIN(T228)/SIN(H228))*COS(E228)  ))</f>
        <v>1.2371898946776674</v>
      </c>
      <c r="V228" s="112">
        <f t="shared" si="121"/>
        <v>70.885759421265178</v>
      </c>
      <c r="W228" s="93">
        <f t="shared" ref="W228:W230" si="135">IF(T228=0, F227, ATAN2( SIN(E227)*COS(F227)*SIN(H228-T228) + SIN(E228)*COS(F228)*SIN(T228), SIN(E227)*SIN(F227)*SIN(H228-T228) + SIN(E228)*SIN(F228)*SIN(T228) ))</f>
        <v>1.0870842680110253</v>
      </c>
      <c r="X228" s="112">
        <f t="shared" si="122"/>
        <v>62.2853405321002</v>
      </c>
      <c r="Y228" s="110"/>
      <c r="Z228" s="86">
        <f t="shared" si="132"/>
        <v>1.0000015961874145</v>
      </c>
      <c r="AA228" s="108">
        <f t="shared" ref="AA228:AA230" si="136">0.5*R228*Z228 * (SIN(E227)*COS(F227) + SIN(U228)*COS(W228))</f>
        <v>4.3904611239640676</v>
      </c>
      <c r="AB228" s="108">
        <f t="shared" ref="AB228:AB230" si="137">0.5*R228*Z228 * (SIN(E227)*SIN(F227) + SIN(U228)*SIN(W228))</f>
        <v>8.3742064562755285</v>
      </c>
      <c r="AC228" s="108">
        <f t="shared" ref="AC228:AC230" si="138">0.5*R228*Z228 * (COS(E227) + COS(U228))</f>
        <v>3.2552047137314739</v>
      </c>
      <c r="AD228" s="110">
        <f t="shared" ref="AD228:AD230" si="139">M227+AA228</f>
        <v>-7465.5247780723894</v>
      </c>
      <c r="AE228" s="110">
        <f t="shared" ref="AE228:AE230" si="140">N227+AB228</f>
        <v>1794.8448436514257</v>
      </c>
      <c r="AF228" s="110">
        <f t="shared" ref="AF228:AF230" si="141">O227+AC228</f>
        <v>12464.225868633892</v>
      </c>
    </row>
    <row r="229" spans="1:32" x14ac:dyDescent="0.2">
      <c r="A229" s="3">
        <v>18267</v>
      </c>
      <c r="B229" s="3">
        <v>67.02</v>
      </c>
      <c r="C229" s="3">
        <v>61.89</v>
      </c>
      <c r="E229" s="93">
        <f t="shared" si="125"/>
        <v>1.1697196646865995</v>
      </c>
      <c r="F229" s="93">
        <f t="shared" si="125"/>
        <v>1.0801842740592906</v>
      </c>
      <c r="H229" s="86">
        <f t="shared" si="126"/>
        <v>3.2722750466674055E-2</v>
      </c>
      <c r="I229" s="86">
        <f t="shared" si="127"/>
        <v>1.0000892410889306</v>
      </c>
      <c r="J229" s="108">
        <f t="shared" si="128"/>
        <v>42.220085988397344</v>
      </c>
      <c r="K229" s="108">
        <f t="shared" si="129"/>
        <v>78.308288564484386</v>
      </c>
      <c r="L229" s="108">
        <f t="shared" si="130"/>
        <v>36.061807397516468</v>
      </c>
      <c r="M229" s="95">
        <f t="shared" si="131"/>
        <v>-7384.7955725377997</v>
      </c>
      <c r="N229" s="95">
        <f t="shared" si="131"/>
        <v>1945.1846882765672</v>
      </c>
      <c r="O229" s="95">
        <f t="shared" si="131"/>
        <v>12530.230759326967</v>
      </c>
      <c r="Q229" s="18">
        <f t="shared" ref="Q229:Q231" si="142">A228+10</f>
        <v>18181</v>
      </c>
      <c r="R229" s="93">
        <f t="shared" si="133"/>
        <v>10</v>
      </c>
      <c r="S229" s="93">
        <f t="shared" ref="S229:S231" si="143">A229-A228</f>
        <v>96</v>
      </c>
      <c r="T229" s="93">
        <f t="shared" ref="T229:T231" si="144">H229 * (R229/S229)</f>
        <v>3.4086198402785476E-3</v>
      </c>
      <c r="U229" s="109">
        <f t="shared" si="134"/>
        <v>1.198331212933752</v>
      </c>
      <c r="V229" s="112">
        <f t="shared" si="121"/>
        <v>68.65932095989676</v>
      </c>
      <c r="W229" s="93">
        <f t="shared" si="135"/>
        <v>1.0732956314181166</v>
      </c>
      <c r="X229" s="112">
        <f t="shared" si="122"/>
        <v>61.495309850086876</v>
      </c>
      <c r="Y229" s="110"/>
      <c r="Z229" s="86">
        <f t="shared" si="132"/>
        <v>1.0000009682252262</v>
      </c>
      <c r="AA229" s="108">
        <f t="shared" si="136"/>
        <v>4.4512064421263382</v>
      </c>
      <c r="AB229" s="108">
        <f t="shared" si="137"/>
        <v>8.1887750591477761</v>
      </c>
      <c r="AC229" s="108">
        <f t="shared" si="138"/>
        <v>3.6236207607694961</v>
      </c>
      <c r="AD229" s="110">
        <f t="shared" si="139"/>
        <v>-7422.5644520840706</v>
      </c>
      <c r="AE229" s="110">
        <f t="shared" si="140"/>
        <v>1875.0651747712304</v>
      </c>
      <c r="AF229" s="110">
        <f t="shared" si="141"/>
        <v>12497.792572690219</v>
      </c>
    </row>
    <row r="230" spans="1:32" x14ac:dyDescent="0.2">
      <c r="A230" s="3">
        <v>18363</v>
      </c>
      <c r="B230" s="3">
        <v>64.69</v>
      </c>
      <c r="C230" s="3">
        <v>62.47</v>
      </c>
      <c r="E230" s="93">
        <f t="shared" si="125"/>
        <v>1.1290534931151317</v>
      </c>
      <c r="F230" s="93">
        <f t="shared" si="125"/>
        <v>1.0903071837208576</v>
      </c>
      <c r="H230" s="86">
        <f t="shared" ref="H230:H233" si="145">ACOS(MAX(-1,MIN(1, COS(E230-E229)-SIN(E229)*SIN(E230)*(1-COS(F230-F229)))))</f>
        <v>4.1701870945969333E-2</v>
      </c>
      <c r="I230" s="86">
        <f t="shared" ref="I230:I233" si="146">IF(H230=0, 1, 2*TAN(H230/2)/H230)</f>
        <v>1.0001449457101446</v>
      </c>
      <c r="J230" s="108">
        <f t="shared" ref="J230:J233" si="147">0.5*(A230-A229)*I230 * (SIN(E229)*COS(F229) + SIN(E230)*COS(F230))</f>
        <v>40.883631671580289</v>
      </c>
      <c r="K230" s="108">
        <f t="shared" ref="K230:K233" si="148">0.5*(A230-A229)*I230 * (SIN(E229)*SIN(F229) + SIN(E230)*SIN(F230))</f>
        <v>77.468481533069252</v>
      </c>
      <c r="L230" s="108">
        <f t="shared" ref="L230:L233" si="149">0.5*(A230-A229)*I230 * (COS(E229) + COS(E230))</f>
        <v>39.266111602286657</v>
      </c>
      <c r="M230" s="95">
        <f t="shared" ref="M230:M233" si="150">M229+J230</f>
        <v>-7343.9119408662191</v>
      </c>
      <c r="N230" s="95">
        <f t="shared" ref="N230:N233" si="151">N229+K230</f>
        <v>2022.6531698096364</v>
      </c>
      <c r="O230" s="95">
        <f t="shared" ref="O230:O233" si="152">O229+L230</f>
        <v>12569.496870929253</v>
      </c>
      <c r="Q230" s="18">
        <f t="shared" si="142"/>
        <v>18277</v>
      </c>
      <c r="R230" s="93">
        <f t="shared" si="133"/>
        <v>10</v>
      </c>
      <c r="S230" s="93">
        <f t="shared" si="143"/>
        <v>96</v>
      </c>
      <c r="T230" s="93">
        <f t="shared" si="144"/>
        <v>4.3439448902051394E-3</v>
      </c>
      <c r="U230" s="109">
        <f t="shared" si="134"/>
        <v>1.1654818544885759</v>
      </c>
      <c r="V230" s="112">
        <f t="shared" ref="V230:V233" si="153">DEGREES(U230)</f>
        <v>66.77719136127574</v>
      </c>
      <c r="W230" s="93">
        <f t="shared" si="135"/>
        <v>1.0812218460296426</v>
      </c>
      <c r="X230" s="112">
        <f t="shared" ref="X230:X233" si="154">MOD(DEGREES(W230), 360)</f>
        <v>61.949448494842244</v>
      </c>
      <c r="Y230" s="110"/>
      <c r="Z230" s="86">
        <f t="shared" ref="Z230:Z233" si="155">IF(T230=0, 1, 2*TAN(T230/2)/T230)</f>
        <v>1.000001572491068</v>
      </c>
      <c r="AA230" s="108">
        <f t="shared" si="136"/>
        <v>4.3296300610303682</v>
      </c>
      <c r="AB230" s="108">
        <f t="shared" si="137"/>
        <v>8.1153901080703541</v>
      </c>
      <c r="AC230" s="108">
        <f t="shared" si="138"/>
        <v>3.9235939748838482</v>
      </c>
      <c r="AD230" s="110">
        <f t="shared" si="139"/>
        <v>-7380.4659424767697</v>
      </c>
      <c r="AE230" s="110">
        <f t="shared" si="140"/>
        <v>1953.3000783846376</v>
      </c>
      <c r="AF230" s="110">
        <f t="shared" si="141"/>
        <v>12534.15435330185</v>
      </c>
    </row>
    <row r="231" spans="1:32" x14ac:dyDescent="0.2">
      <c r="A231" s="3">
        <v>18457</v>
      </c>
      <c r="B231" s="3">
        <v>61.75</v>
      </c>
      <c r="C231" s="3">
        <v>62.95</v>
      </c>
      <c r="E231" s="93">
        <f t="shared" si="125"/>
        <v>1.0777408131064985</v>
      </c>
      <c r="F231" s="93">
        <f t="shared" si="125"/>
        <v>1.0986847641304305</v>
      </c>
      <c r="H231" s="86">
        <f t="shared" si="145"/>
        <v>5.1854655156562179E-2</v>
      </c>
      <c r="I231" s="86">
        <f t="shared" si="146"/>
        <v>1.0002241357066115</v>
      </c>
      <c r="J231" s="108">
        <f t="shared" si="147"/>
        <v>38.475537987671267</v>
      </c>
      <c r="K231" s="108">
        <f t="shared" si="148"/>
        <v>74.566994243472323</v>
      </c>
      <c r="L231" s="108">
        <f t="shared" si="149"/>
        <v>42.34874960293498</v>
      </c>
      <c r="M231" s="95">
        <f t="shared" si="150"/>
        <v>-7305.4364028785476</v>
      </c>
      <c r="N231" s="95">
        <f t="shared" si="151"/>
        <v>2097.2201640531089</v>
      </c>
      <c r="O231" s="95">
        <f t="shared" si="152"/>
        <v>12611.845620532189</v>
      </c>
      <c r="Q231" s="18">
        <f t="shared" si="142"/>
        <v>18373</v>
      </c>
      <c r="R231" s="93">
        <f t="shared" ref="R231:R233" si="156">IF(OR(Q231&lt;A230, Q231&gt;A231), "error", Q231-A230)</f>
        <v>10</v>
      </c>
      <c r="S231" s="93">
        <f t="shared" si="143"/>
        <v>94</v>
      </c>
      <c r="T231" s="93">
        <f t="shared" si="144"/>
        <v>5.5164526762300188E-3</v>
      </c>
      <c r="U231" s="109">
        <f t="shared" ref="U231:U233" si="157">IF(T231=0, E230, ACOS( (SIN(H231-T231)/SIN(H231))*COS(E230) + (SIN(T231)/SIN(H231))*COS(E231)  ))</f>
        <v>1.1235933867789469</v>
      </c>
      <c r="V231" s="112">
        <f t="shared" si="153"/>
        <v>64.37715895124397</v>
      </c>
      <c r="W231" s="93">
        <f t="shared" ref="W231:W233" si="158">IF(T231=0, F230, ATAN2( SIN(E230)*COS(F230)*SIN(H231-T231) + SIN(E231)*COS(F231)*SIN(T231), SIN(E230)*SIN(F230)*SIN(H231-T231) + SIN(E231)*SIN(F231)*SIN(T231) ))</f>
        <v>1.0911782622571746</v>
      </c>
      <c r="X231" s="112">
        <f t="shared" si="154"/>
        <v>62.519909123755397</v>
      </c>
      <c r="Y231" s="110"/>
      <c r="Z231" s="86">
        <f t="shared" si="155"/>
        <v>1.000002535945228</v>
      </c>
      <c r="AA231" s="108">
        <f t="shared" ref="AA231:AA233" si="159">0.5*R231*Z231 * (SIN(E230)*COS(F230) + SIN(U231)*COS(W231))</f>
        <v>4.169543721593814</v>
      </c>
      <c r="AB231" s="108">
        <f t="shared" ref="AB231:AB233" si="160">0.5*R231*Z231 * (SIN(E230)*SIN(F230) + SIN(U231)*SIN(W231))</f>
        <v>8.0078861064478666</v>
      </c>
      <c r="AC231" s="108">
        <f t="shared" ref="AC231:AC233" si="161">0.5*R231*Z231 * (COS(E230) + COS(U231))</f>
        <v>4.2998153060780435</v>
      </c>
      <c r="AD231" s="110">
        <f t="shared" ref="AD231:AD233" si="162">M230+AA231</f>
        <v>-7339.7423971446251</v>
      </c>
      <c r="AE231" s="110">
        <f t="shared" ref="AE231:AE233" si="163">N230+AB231</f>
        <v>2030.6610559160843</v>
      </c>
      <c r="AF231" s="110">
        <f t="shared" ref="AF231:AF233" si="164">O230+AC231</f>
        <v>12573.796686235331</v>
      </c>
    </row>
    <row r="232" spans="1:32" x14ac:dyDescent="0.2">
      <c r="A232" s="3">
        <v>18545</v>
      </c>
      <c r="B232" s="3">
        <v>58.84</v>
      </c>
      <c r="C232" s="3">
        <v>63.02</v>
      </c>
      <c r="E232" s="93">
        <f t="shared" si="125"/>
        <v>1.0269517318734636</v>
      </c>
      <c r="F232" s="93">
        <f t="shared" si="125"/>
        <v>1.0999064946068264</v>
      </c>
      <c r="H232" s="86">
        <f t="shared" si="145"/>
        <v>5.0800161403158572E-2</v>
      </c>
      <c r="I232" s="86">
        <f t="shared" si="146"/>
        <v>1.0002151102126073</v>
      </c>
      <c r="J232" s="108">
        <f t="shared" si="147"/>
        <v>34.715809176663015</v>
      </c>
      <c r="K232" s="108">
        <f t="shared" si="148"/>
        <v>68.088048690614244</v>
      </c>
      <c r="L232" s="108">
        <f t="shared" si="149"/>
        <v>43.602350606028111</v>
      </c>
      <c r="M232" s="95">
        <f t="shared" si="150"/>
        <v>-7270.7205937018844</v>
      </c>
      <c r="N232" s="95">
        <f t="shared" si="151"/>
        <v>2165.3082127437233</v>
      </c>
      <c r="O232" s="95">
        <f t="shared" si="152"/>
        <v>12655.447971138217</v>
      </c>
      <c r="Q232" s="18">
        <f t="shared" ref="Q232:Q233" si="165">A231+10</f>
        <v>18467</v>
      </c>
      <c r="R232" s="93">
        <f t="shared" si="156"/>
        <v>10</v>
      </c>
      <c r="S232" s="93">
        <f t="shared" ref="S232:S233" si="166">A232-A231</f>
        <v>88</v>
      </c>
      <c r="T232" s="93">
        <f t="shared" ref="T232:T233" si="167">H232 * (R232/S232)</f>
        <v>5.7727456139952922E-3</v>
      </c>
      <c r="U232" s="109">
        <f t="shared" si="157"/>
        <v>1.0719692949756285</v>
      </c>
      <c r="V232" s="112">
        <f t="shared" si="153"/>
        <v>61.419316369717919</v>
      </c>
      <c r="W232" s="93">
        <f t="shared" si="158"/>
        <v>1.0988201102199544</v>
      </c>
      <c r="X232" s="112">
        <f t="shared" si="154"/>
        <v>62.95775475970332</v>
      </c>
      <c r="Y232" s="110"/>
      <c r="Z232" s="86">
        <f t="shared" si="155"/>
        <v>1.0000027770585813</v>
      </c>
      <c r="AA232" s="108">
        <f t="shared" si="159"/>
        <v>3.999244994425974</v>
      </c>
      <c r="AB232" s="108">
        <f t="shared" si="160"/>
        <v>7.833363019054147</v>
      </c>
      <c r="AC232" s="108">
        <f t="shared" si="161"/>
        <v>4.7585907138195278</v>
      </c>
      <c r="AD232" s="110">
        <f t="shared" si="162"/>
        <v>-7301.4371578841219</v>
      </c>
      <c r="AE232" s="110">
        <f t="shared" si="163"/>
        <v>2105.053527072163</v>
      </c>
      <c r="AF232" s="110">
        <f t="shared" si="164"/>
        <v>12616.604211246009</v>
      </c>
    </row>
    <row r="233" spans="1:32" x14ac:dyDescent="0.2">
      <c r="A233" s="3">
        <v>18587</v>
      </c>
      <c r="B233" s="3">
        <v>58.84</v>
      </c>
      <c r="C233" s="3">
        <v>63.02</v>
      </c>
      <c r="E233" s="93">
        <f t="shared" si="125"/>
        <v>1.0269517318734636</v>
      </c>
      <c r="F233" s="93">
        <f t="shared" si="125"/>
        <v>1.0999064946068264</v>
      </c>
      <c r="H233" s="86">
        <f t="shared" si="145"/>
        <v>0</v>
      </c>
      <c r="I233" s="86">
        <f t="shared" si="146"/>
        <v>1</v>
      </c>
      <c r="J233" s="108">
        <f t="shared" si="147"/>
        <v>16.305457056349624</v>
      </c>
      <c r="K233" s="108">
        <f t="shared" si="148"/>
        <v>32.028895360616602</v>
      </c>
      <c r="L233" s="108">
        <f t="shared" si="149"/>
        <v>21.732048503585908</v>
      </c>
      <c r="M233" s="95">
        <f t="shared" si="150"/>
        <v>-7254.4151366455344</v>
      </c>
      <c r="N233" s="95">
        <f t="shared" si="151"/>
        <v>2197.3371081043397</v>
      </c>
      <c r="O233" s="95">
        <f t="shared" si="152"/>
        <v>12677.180019641803</v>
      </c>
      <c r="Q233" s="18">
        <f t="shared" si="165"/>
        <v>18555</v>
      </c>
      <c r="R233" s="93">
        <f t="shared" si="156"/>
        <v>10</v>
      </c>
      <c r="S233" s="93">
        <f t="shared" si="166"/>
        <v>42</v>
      </c>
      <c r="T233" s="93">
        <f t="shared" si="167"/>
        <v>0</v>
      </c>
      <c r="U233" s="109">
        <f t="shared" si="157"/>
        <v>1.0269517318734636</v>
      </c>
      <c r="V233" s="112">
        <f t="shared" si="153"/>
        <v>58.84</v>
      </c>
      <c r="W233" s="93">
        <f t="shared" si="158"/>
        <v>1.0999064946068264</v>
      </c>
      <c r="X233" s="112">
        <f t="shared" si="154"/>
        <v>63.019999999999996</v>
      </c>
      <c r="Y233" s="110"/>
      <c r="Z233" s="86">
        <f t="shared" si="155"/>
        <v>1</v>
      </c>
      <c r="AA233" s="108">
        <f t="shared" si="159"/>
        <v>3.8822516800832441</v>
      </c>
      <c r="AB233" s="108">
        <f t="shared" si="160"/>
        <v>7.6259274668134767</v>
      </c>
      <c r="AC233" s="108">
        <f t="shared" si="161"/>
        <v>5.1742972627585493</v>
      </c>
      <c r="AD233" s="110">
        <f t="shared" si="162"/>
        <v>-7266.8383420218015</v>
      </c>
      <c r="AE233" s="110">
        <f t="shared" si="163"/>
        <v>2172.934140210537</v>
      </c>
      <c r="AF233" s="110">
        <f t="shared" si="164"/>
        <v>12660.622268400975</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A4BE-1B3F-4778-8318-D2E2A1E8E7D8}">
  <dimension ref="A1:AO46"/>
  <sheetViews>
    <sheetView topLeftCell="S1" zoomScale="80" zoomScaleNormal="80" workbookViewId="0">
      <pane ySplit="8" topLeftCell="A9" activePane="bottomLeft" state="frozen"/>
      <selection pane="bottomLeft" activeCell="AO15" sqref="AO15"/>
    </sheetView>
  </sheetViews>
  <sheetFormatPr defaultRowHeight="14.4" x14ac:dyDescent="0.3"/>
  <cols>
    <col min="5" max="9" width="8.88671875" style="107"/>
    <col min="23" max="23" width="9.21875" bestFit="1" customWidth="1"/>
    <col min="33" max="38" width="8.88671875" style="107"/>
    <col min="39" max="39" width="18.109375" customWidth="1"/>
    <col min="40" max="40" width="14.5546875" bestFit="1" customWidth="1"/>
  </cols>
  <sheetData>
    <row r="1" spans="1:41" x14ac:dyDescent="0.3">
      <c r="A1" t="s">
        <v>305</v>
      </c>
    </row>
    <row r="2" spans="1:41" x14ac:dyDescent="0.3">
      <c r="A2" t="s">
        <v>304</v>
      </c>
      <c r="Z2" s="107" t="s">
        <v>323</v>
      </c>
      <c r="AG2" s="107" t="s">
        <v>317</v>
      </c>
    </row>
    <row r="3" spans="1:41" x14ac:dyDescent="0.3">
      <c r="E3" s="149" t="s">
        <v>328</v>
      </c>
      <c r="AB3" s="107" t="s">
        <v>324</v>
      </c>
      <c r="AJ3" s="107" t="s">
        <v>325</v>
      </c>
    </row>
    <row r="4" spans="1:41" x14ac:dyDescent="0.3">
      <c r="E4" s="149" t="s">
        <v>327</v>
      </c>
      <c r="M4" s="29" t="s">
        <v>299</v>
      </c>
    </row>
    <row r="5" spans="1:41" x14ac:dyDescent="0.3">
      <c r="A5" s="93"/>
      <c r="B5" s="93" t="s">
        <v>320</v>
      </c>
      <c r="C5" s="145" t="s">
        <v>31</v>
      </c>
      <c r="D5" s="93"/>
      <c r="E5" s="149" t="s">
        <v>318</v>
      </c>
      <c r="F5" s="93"/>
      <c r="G5" s="110">
        <f>MAX(S9:S46)</f>
        <v>287.42035100674531</v>
      </c>
      <c r="H5" s="93" t="str">
        <f>C5</f>
        <v>m</v>
      </c>
      <c r="I5" s="93"/>
      <c r="K5" s="93"/>
      <c r="L5" s="93"/>
      <c r="M5" s="136" t="s">
        <v>322</v>
      </c>
      <c r="N5" s="93"/>
      <c r="P5" s="93"/>
      <c r="Q5" s="93"/>
      <c r="R5" s="93"/>
      <c r="S5" s="93"/>
      <c r="T5" s="93"/>
      <c r="U5" s="93"/>
      <c r="W5" s="136" t="s">
        <v>300</v>
      </c>
      <c r="AG5" s="136" t="s">
        <v>326</v>
      </c>
    </row>
    <row r="6" spans="1:41" x14ac:dyDescent="0.3">
      <c r="A6" s="93"/>
      <c r="B6" s="93"/>
      <c r="C6" s="93"/>
      <c r="D6" s="93"/>
      <c r="E6" s="149" t="s">
        <v>319</v>
      </c>
      <c r="F6" s="93"/>
      <c r="G6" s="110">
        <f>MAX(E9:E46)-MAX(A9:A46)</f>
        <v>-14.866264916368891</v>
      </c>
      <c r="H6" s="93" t="str">
        <f>C5</f>
        <v>m</v>
      </c>
      <c r="I6" s="93"/>
      <c r="J6" s="93"/>
      <c r="K6" s="93"/>
      <c r="L6" s="93"/>
      <c r="M6" s="93"/>
      <c r="N6" s="93"/>
      <c r="O6" s="93"/>
      <c r="P6" s="93"/>
      <c r="Q6" s="93"/>
      <c r="R6" s="93"/>
      <c r="S6" s="93"/>
      <c r="T6" s="93"/>
      <c r="U6" s="93"/>
      <c r="W6" t="s">
        <v>306</v>
      </c>
      <c r="Y6" t="s">
        <v>307</v>
      </c>
    </row>
    <row r="7" spans="1:41" x14ac:dyDescent="0.3">
      <c r="A7" s="17" t="s">
        <v>315</v>
      </c>
      <c r="B7" s="18"/>
      <c r="C7" s="18"/>
      <c r="D7" s="127"/>
      <c r="E7" s="146" t="s">
        <v>316</v>
      </c>
      <c r="F7" s="146"/>
      <c r="G7" s="146"/>
      <c r="H7" s="127"/>
      <c r="I7" s="127"/>
      <c r="J7" s="147" t="s">
        <v>321</v>
      </c>
      <c r="K7" s="148"/>
      <c r="L7" s="93"/>
      <c r="M7" s="13" t="s">
        <v>9</v>
      </c>
      <c r="N7" s="13"/>
      <c r="O7" s="14"/>
      <c r="P7" s="14"/>
      <c r="Q7" s="14"/>
      <c r="R7" s="14"/>
      <c r="S7" s="14"/>
      <c r="T7" s="14"/>
      <c r="U7" s="14"/>
      <c r="W7" s="137" t="s">
        <v>297</v>
      </c>
      <c r="X7" s="137"/>
      <c r="Y7" s="137"/>
      <c r="Z7" s="137"/>
      <c r="AA7" s="137"/>
      <c r="AB7" s="137"/>
      <c r="AC7" s="137"/>
      <c r="AD7" s="137"/>
      <c r="AE7" s="137"/>
      <c r="AG7" s="138" t="s">
        <v>297</v>
      </c>
      <c r="AH7" s="138"/>
      <c r="AI7" s="138"/>
      <c r="AJ7" s="138" t="s">
        <v>298</v>
      </c>
      <c r="AK7" s="138"/>
      <c r="AL7" s="138"/>
      <c r="AM7" s="138"/>
      <c r="AN7" s="138"/>
      <c r="AO7" s="156">
        <f>SUM(AO9:AO46)</f>
        <v>14.770496541384794</v>
      </c>
    </row>
    <row r="8" spans="1:41" x14ac:dyDescent="0.3">
      <c r="A8" s="11" t="str">
        <f>CONCATENATE("MD [",$C5,"]")</f>
        <v>MD [m]</v>
      </c>
      <c r="B8" s="12" t="s">
        <v>2</v>
      </c>
      <c r="C8" s="12" t="s">
        <v>3</v>
      </c>
      <c r="D8" s="2"/>
      <c r="E8" s="11" t="str">
        <f>CONCATENATE("MD [",$C5,"]")</f>
        <v>MD [m]</v>
      </c>
      <c r="F8" s="12" t="s">
        <v>2</v>
      </c>
      <c r="G8" s="12" t="s">
        <v>3</v>
      </c>
      <c r="H8" s="2"/>
      <c r="I8" s="2"/>
      <c r="J8" s="2" t="s">
        <v>1</v>
      </c>
      <c r="K8" s="2" t="s">
        <v>0</v>
      </c>
      <c r="L8" s="2"/>
      <c r="M8" s="12" t="s">
        <v>5</v>
      </c>
      <c r="N8" s="125" t="str">
        <f>IF(LEFT(C$5,1)="m", "DLS [deg/30m]", "DLS [deg/100ft]")</f>
        <v>DLS [deg/30m]</v>
      </c>
      <c r="O8" s="2" t="s">
        <v>4</v>
      </c>
      <c r="P8" s="2" t="str">
        <f>CONCATENATE("dn [",$C5,"]")</f>
        <v>dn [m]</v>
      </c>
      <c r="Q8" s="2" t="str">
        <f>CONCATENATE("de [",$C5,"]")</f>
        <v>de [m]</v>
      </c>
      <c r="R8" s="2" t="str">
        <f>CONCATENATE("dd [",$C5,"]")</f>
        <v>dd [m]</v>
      </c>
      <c r="S8" s="7" t="str">
        <f>CONCATENATE("n [",$C5,"]")</f>
        <v>n [m]</v>
      </c>
      <c r="T8" s="7" t="str">
        <f>CONCATENATE("e [",$C5,"]")</f>
        <v>e [m]</v>
      </c>
      <c r="U8" s="7" t="str">
        <f>CONCATENATE("d [",$C5,"]")</f>
        <v>d [m]</v>
      </c>
      <c r="W8" s="12" t="s">
        <v>5</v>
      </c>
      <c r="X8" s="125" t="str">
        <f>IF(LEFT(T$5,1)="m", "DLS [deg/30m]", "DLS [deg/100ft]")</f>
        <v>DLS [deg/100ft]</v>
      </c>
      <c r="Y8" s="2" t="s">
        <v>4</v>
      </c>
      <c r="Z8" s="2" t="str">
        <f>CONCATENATE("dn [",$C5,"]")</f>
        <v>dn [m]</v>
      </c>
      <c r="AA8" s="2" t="str">
        <f>CONCATENATE("de [",$C5,"]")</f>
        <v>de [m]</v>
      </c>
      <c r="AB8" s="2" t="str">
        <f>CONCATENATE("dd [",$C5,"]")</f>
        <v>dd [m]</v>
      </c>
      <c r="AC8" s="7" t="str">
        <f>CONCATENATE("n [",$C5,"]")</f>
        <v>n [m]</v>
      </c>
      <c r="AD8" s="7" t="str">
        <f>CONCATENATE("e [",$C5,"]")</f>
        <v>e [m]</v>
      </c>
      <c r="AE8" s="7" t="str">
        <f>CONCATENATE("d [",$C5,"]")</f>
        <v>d [m]</v>
      </c>
      <c r="AG8" s="2" t="str">
        <f>CONCATENATE("dn [",$C5,"]")</f>
        <v>dn [m]</v>
      </c>
      <c r="AH8" s="7" t="str">
        <f>CONCATENATE("n [",$C5,"]")</f>
        <v>n [m]</v>
      </c>
      <c r="AI8" s="7"/>
      <c r="AJ8" s="2" t="str">
        <f>CONCATENATE("dd [",$C5,"]")</f>
        <v>dd [m]</v>
      </c>
      <c r="AK8" s="7"/>
      <c r="AL8" s="7" t="str">
        <f>CONCATENATE("d [",$C5,"]")</f>
        <v>d [m]</v>
      </c>
      <c r="AM8" s="7" t="s">
        <v>303</v>
      </c>
      <c r="AN8" s="7" t="s">
        <v>301</v>
      </c>
      <c r="AO8" t="s">
        <v>331</v>
      </c>
    </row>
    <row r="9" spans="1:41" x14ac:dyDescent="0.3">
      <c r="A9" s="3">
        <v>0</v>
      </c>
      <c r="B9" s="3">
        <v>0</v>
      </c>
      <c r="C9" s="3">
        <v>0</v>
      </c>
      <c r="D9" s="93"/>
      <c r="E9" s="143">
        <f>U9</f>
        <v>0</v>
      </c>
      <c r="F9" s="144">
        <f>0</f>
        <v>0</v>
      </c>
      <c r="G9" s="144">
        <f>B9</f>
        <v>0</v>
      </c>
      <c r="H9" s="93"/>
      <c r="I9" s="93"/>
      <c r="J9" s="93">
        <f>RADIANS(B9)</f>
        <v>0</v>
      </c>
      <c r="K9" s="93">
        <f>RADIANS(C9)</f>
        <v>0</v>
      </c>
      <c r="L9" s="93"/>
      <c r="M9" s="93"/>
      <c r="N9" s="29"/>
      <c r="O9" s="93"/>
      <c r="P9" s="93"/>
      <c r="Q9" s="93"/>
      <c r="R9" s="93"/>
      <c r="S9" s="8">
        <v>0</v>
      </c>
      <c r="T9" s="8">
        <v>0</v>
      </c>
      <c r="U9" s="8">
        <v>0</v>
      </c>
      <c r="AI9" s="107" t="s">
        <v>302</v>
      </c>
      <c r="AK9" s="107" t="s">
        <v>302</v>
      </c>
    </row>
    <row r="10" spans="1:41" x14ac:dyDescent="0.3">
      <c r="A10" s="3">
        <v>990</v>
      </c>
      <c r="B10" s="3">
        <v>0</v>
      </c>
      <c r="C10" s="3">
        <v>0</v>
      </c>
      <c r="D10" s="93"/>
      <c r="E10" s="143">
        <f t="shared" ref="E10:E46" si="0">U10</f>
        <v>990</v>
      </c>
      <c r="F10" s="144">
        <f>0</f>
        <v>0</v>
      </c>
      <c r="G10" s="144">
        <f t="shared" ref="G10:G46" si="1">B10</f>
        <v>0</v>
      </c>
      <c r="H10" s="93"/>
      <c r="I10" s="93"/>
      <c r="J10" s="93">
        <f>RADIANS(B10)</f>
        <v>0</v>
      </c>
      <c r="K10" s="93">
        <f>RADIANS(C10)</f>
        <v>0</v>
      </c>
      <c r="L10" s="93"/>
      <c r="M10" s="86">
        <f>ACOS(MAX(-1,MIN(1, COS(J10-J9)-SIN(J9)*SIN(J10)*(1-COS(K10-K9)))))</f>
        <v>0</v>
      </c>
      <c r="N10" s="126">
        <f>IF(LEFT(C$5,1)="m", 30*DEGREES(M10)/(A10-A9), 100*DEGREES(M10)/(A10-A9))</f>
        <v>0</v>
      </c>
      <c r="O10" s="86">
        <f>IF(M10=0, 1, 2*TAN(M10/2)/M10)</f>
        <v>1</v>
      </c>
      <c r="P10" s="108">
        <f>0.5*(A10-A9)*O10 * (SIN(J9)*COS(K9) + SIN(J10)*COS(K10))</f>
        <v>0</v>
      </c>
      <c r="Q10" s="108">
        <f>0.5*(A10-A9)*O10 * (SIN(J9)*SIN(K9) + SIN(J10)*SIN(K10))</f>
        <v>0</v>
      </c>
      <c r="R10" s="108">
        <f>0.5*(A10-A9)*O10 * (COS(J9) + COS(J10))</f>
        <v>990</v>
      </c>
      <c r="S10" s="95">
        <f>S9+P10</f>
        <v>0</v>
      </c>
      <c r="T10" s="95">
        <f t="shared" ref="T10:U25" si="2">T9+Q10</f>
        <v>0</v>
      </c>
      <c r="U10" s="95">
        <f t="shared" si="2"/>
        <v>990</v>
      </c>
      <c r="W10" s="86">
        <f t="shared" ref="W10:W32" si="3">J10-J9</f>
        <v>0</v>
      </c>
      <c r="X10" s="126">
        <f>IF(LEFT(C$5,1)="m", 30*DEGREES(W10)/(A10-A9), 100*DEGREES(W10)/(A10-A9))</f>
        <v>0</v>
      </c>
      <c r="Y10" s="86">
        <f>IF(W10=0, 1, 2*TAN(W10/2)/W10)</f>
        <v>1</v>
      </c>
      <c r="Z10" s="108">
        <f t="shared" ref="Z10:Z32" si="4">0.5*(A10-A9)*Y10 * (SIN(J9)+SIN(J10))</f>
        <v>0</v>
      </c>
      <c r="AA10" s="108">
        <v>0</v>
      </c>
      <c r="AB10" s="108">
        <f t="shared" ref="AB10:AB32" si="5">0.5*(A10-A9)*Y10 * (COS(J9)+COS(J10))</f>
        <v>990</v>
      </c>
      <c r="AC10" s="95">
        <f>AC9+Z10</f>
        <v>0</v>
      </c>
      <c r="AD10" s="95">
        <f t="shared" ref="AD10" si="6">AD9+AA10</f>
        <v>0</v>
      </c>
      <c r="AE10" s="95">
        <f t="shared" ref="AE10" si="7">AE9+AB10</f>
        <v>990</v>
      </c>
      <c r="AG10" s="95">
        <f>(A10-A9)*SIN(AVERAGE(J9,J10))</f>
        <v>0</v>
      </c>
      <c r="AH10" s="95">
        <f>AH9+AG10</f>
        <v>0</v>
      </c>
      <c r="AI10" s="108">
        <f>(A10-A9) - 0.5 * (A10-A9) * SIN(AVERAGE(J9,J10)) * TAN(AVERAGE(J9,J10))</f>
        <v>990</v>
      </c>
      <c r="AJ10" s="108">
        <f t="shared" ref="AJ10:AJ32" si="8">(A10-A9) - 0.5*AG10*TAN(AVERAGE(J9,J10))</f>
        <v>990</v>
      </c>
      <c r="AK10" s="108">
        <f t="shared" ref="AK10:AK32" si="9">(A10-A9) * (2 - 1/COS(AVERAGE(J9,J10)))</f>
        <v>990</v>
      </c>
      <c r="AL10" s="95">
        <f>AL9+AJ10</f>
        <v>990</v>
      </c>
      <c r="AM10" s="139">
        <f t="shared" ref="AM10:AM32" si="10">AH10-AC10</f>
        <v>0</v>
      </c>
      <c r="AN10" s="139">
        <f t="shared" ref="AN10:AN32" si="11">AL10-AE10</f>
        <v>0</v>
      </c>
      <c r="AO10" s="118">
        <f>0.5*AG10*TAN(AVERAGE(J9,J10))</f>
        <v>0</v>
      </c>
    </row>
    <row r="11" spans="1:41" x14ac:dyDescent="0.3">
      <c r="A11" s="3">
        <v>998</v>
      </c>
      <c r="B11" s="3">
        <v>8</v>
      </c>
      <c r="C11" s="3">
        <v>0</v>
      </c>
      <c r="D11" s="93"/>
      <c r="E11" s="143">
        <f t="shared" si="0"/>
        <v>997.9740313067598</v>
      </c>
      <c r="F11" s="144">
        <f>0</f>
        <v>0</v>
      </c>
      <c r="G11" s="144">
        <f t="shared" si="1"/>
        <v>8</v>
      </c>
      <c r="H11" s="93"/>
      <c r="I11" s="93"/>
      <c r="J11" s="93">
        <f>RADIANS(B11)</f>
        <v>0.13962634015954636</v>
      </c>
      <c r="K11" s="93">
        <f>RADIANS(C11)</f>
        <v>0</v>
      </c>
      <c r="L11" s="93"/>
      <c r="M11" s="86">
        <f t="shared" ref="M11:M28" si="12">ACOS(MAX(-1,MIN(1, COS(J11-J10)-SIN(J10)*SIN(J11)*(1-COS(K11-K10)))))</f>
        <v>0.13962634015954589</v>
      </c>
      <c r="N11" s="126">
        <f>IF(LEFT(C$5,1)="m", 30*DEGREES(M11)/(A11-A10), 100*DEGREES(M11)/(A11-A10))</f>
        <v>29.999999999999901</v>
      </c>
      <c r="O11" s="86">
        <f t="shared" ref="O11:O28" si="13">IF(M11=0, 1, 2*TAN(M11/2)/M11)</f>
        <v>1.001627799792036</v>
      </c>
      <c r="P11" s="108">
        <f t="shared" ref="P11:P28" si="14">0.5*(A11-A10)*O11 * (SIN(J10)*COS(K10) + SIN(J11)*COS(K11))</f>
        <v>0.55759858761946091</v>
      </c>
      <c r="Q11" s="108">
        <f t="shared" ref="Q11:Q28" si="15">0.5*(A11-A10)*O11 * (SIN(J10)*SIN(K10) + SIN(J11)*SIN(K11))</f>
        <v>0</v>
      </c>
      <c r="R11" s="108">
        <f t="shared" ref="R11:R28" si="16">0.5*(A11-A10)*O11 * (COS(J10) + COS(J11))</f>
        <v>7.9740313067598549</v>
      </c>
      <c r="S11" s="95">
        <f t="shared" ref="S11:U26" si="17">S10+P11</f>
        <v>0.55759858761946091</v>
      </c>
      <c r="T11" s="95">
        <f t="shared" si="2"/>
        <v>0</v>
      </c>
      <c r="U11" s="95">
        <f t="shared" si="2"/>
        <v>997.9740313067598</v>
      </c>
      <c r="W11" s="86">
        <f t="shared" si="3"/>
        <v>0.13962634015954636</v>
      </c>
      <c r="X11" s="126">
        <f>IF(LEFT(C$5,1)="m", 30*DEGREES(W11)/(A11-A10), 100*DEGREES(W11)/(A11-A10))</f>
        <v>30</v>
      </c>
      <c r="Y11" s="86">
        <f t="shared" ref="Y11:Y32" si="18">IF(W11=0, 1, 2*TAN(W11/2)/W11)</f>
        <v>1.001627799792036</v>
      </c>
      <c r="Z11" s="108">
        <f t="shared" si="4"/>
        <v>0.55759858761946091</v>
      </c>
      <c r="AA11" s="108">
        <v>0</v>
      </c>
      <c r="AB11" s="108">
        <f t="shared" si="5"/>
        <v>7.9740313067598549</v>
      </c>
      <c r="AC11" s="95">
        <f t="shared" ref="AC11:AC32" si="19">AC10+Z11</f>
        <v>0.55759858761946091</v>
      </c>
      <c r="AD11" s="95">
        <f t="shared" ref="AD11:AD32" si="20">AD10+AA11</f>
        <v>0</v>
      </c>
      <c r="AE11" s="95">
        <f t="shared" ref="AE11:AE32" si="21">AE10+AB11</f>
        <v>997.9740313067598</v>
      </c>
      <c r="AG11" s="95">
        <f t="shared" ref="AG11:AG32" si="22">(A11-A10)*SIN(AVERAGE(J10,J11))</f>
        <v>0.55805178995300242</v>
      </c>
      <c r="AH11" s="95">
        <f t="shared" ref="AH11:AH17" si="23">AH10+AG11</f>
        <v>0.55805178995300242</v>
      </c>
      <c r="AI11" s="108">
        <f t="shared" ref="AI11:AI32" si="24">(A11-A10) - 0.5 * (A11-A10) * SIN(AVERAGE(J10,J11)) * TAN(AVERAGE(J10,J11))</f>
        <v>7.9804886087146087</v>
      </c>
      <c r="AJ11" s="108">
        <f t="shared" si="8"/>
        <v>7.9804886087146087</v>
      </c>
      <c r="AK11" s="108">
        <f t="shared" si="9"/>
        <v>7.9804648153506221</v>
      </c>
      <c r="AL11" s="95">
        <f t="shared" ref="AL11:AL17" si="25">AL10+AJ11</f>
        <v>997.98048860871461</v>
      </c>
      <c r="AM11" s="139">
        <f t="shared" si="10"/>
        <v>4.5320233354151362E-4</v>
      </c>
      <c r="AN11" s="139">
        <f t="shared" si="11"/>
        <v>6.4573019548106458E-3</v>
      </c>
      <c r="AO11" s="118">
        <f t="shared" ref="AO11:AO46" si="26">0.5*AG11*TAN(AVERAGE(J10,J11))</f>
        <v>1.9511391285391488E-2</v>
      </c>
    </row>
    <row r="12" spans="1:41" x14ac:dyDescent="0.3">
      <c r="A12" s="3">
        <v>1242</v>
      </c>
      <c r="B12" s="3">
        <v>3.25</v>
      </c>
      <c r="C12" s="3">
        <v>0</v>
      </c>
      <c r="D12" s="93"/>
      <c r="E12" s="143">
        <f t="shared" si="0"/>
        <v>1240.7295722611516</v>
      </c>
      <c r="F12" s="144">
        <f>0</f>
        <v>0</v>
      </c>
      <c r="G12" s="144">
        <f t="shared" si="1"/>
        <v>3.25</v>
      </c>
      <c r="H12" s="93"/>
      <c r="I12" s="93"/>
      <c r="J12" s="93">
        <f>RADIANS(B12)</f>
        <v>5.6723200689815713E-2</v>
      </c>
      <c r="K12" s="93">
        <f>RADIANS(C12)</f>
        <v>0</v>
      </c>
      <c r="L12" s="93"/>
      <c r="M12" s="86">
        <f t="shared" si="12"/>
        <v>8.290313946973038E-2</v>
      </c>
      <c r="N12" s="126">
        <f>IF(LEFT(C$5,1)="m", 30*DEGREES(M12)/(A12-A11), 100*DEGREES(M12)/(A12-A11))</f>
        <v>0.58401639344262102</v>
      </c>
      <c r="O12" s="86">
        <f t="shared" si="13"/>
        <v>1.0005731381282388</v>
      </c>
      <c r="P12" s="108">
        <f t="shared" si="14"/>
        <v>23.909333901325606</v>
      </c>
      <c r="Q12" s="108">
        <f t="shared" si="15"/>
        <v>0</v>
      </c>
      <c r="R12" s="108">
        <f t="shared" si="16"/>
        <v>242.75554095439179</v>
      </c>
      <c r="S12" s="95">
        <f t="shared" si="17"/>
        <v>24.466932488945066</v>
      </c>
      <c r="T12" s="95">
        <f t="shared" si="2"/>
        <v>0</v>
      </c>
      <c r="U12" s="95">
        <f t="shared" si="2"/>
        <v>1240.7295722611516</v>
      </c>
      <c r="W12" s="86">
        <f t="shared" si="3"/>
        <v>-8.2903139469730658E-2</v>
      </c>
      <c r="X12" s="126">
        <f>IF(LEFT(C$5,1)="m", 30*DEGREES(W12)/(A12-A11), 100*DEGREES(W12)/(A12-A11))</f>
        <v>-0.58401639344262291</v>
      </c>
      <c r="Y12" s="86">
        <f t="shared" si="18"/>
        <v>1.0005731381282388</v>
      </c>
      <c r="Z12" s="108">
        <f t="shared" si="4"/>
        <v>23.909333901325606</v>
      </c>
      <c r="AA12" s="108">
        <v>0</v>
      </c>
      <c r="AB12" s="108">
        <f t="shared" si="5"/>
        <v>242.75554095439179</v>
      </c>
      <c r="AC12" s="95">
        <f t="shared" si="19"/>
        <v>24.466932488945066</v>
      </c>
      <c r="AD12" s="95">
        <f t="shared" si="20"/>
        <v>0</v>
      </c>
      <c r="AE12" s="95">
        <f t="shared" si="21"/>
        <v>1240.7295722611516</v>
      </c>
      <c r="AG12" s="95">
        <f t="shared" si="22"/>
        <v>23.916182240412788</v>
      </c>
      <c r="AH12" s="95">
        <f t="shared" si="23"/>
        <v>24.474234030365789</v>
      </c>
      <c r="AI12" s="112">
        <f>(A12-A11) - 0.5 * (A12-A11) * SIN(AVERAGE(J11,J12)) * TAN(AVERAGE(J11,J12))</f>
        <v>242.82223082409803</v>
      </c>
      <c r="AJ12" s="112">
        <f t="shared" si="8"/>
        <v>242.82223082409803</v>
      </c>
      <c r="AK12" s="108">
        <f t="shared" si="9"/>
        <v>242.81938834018004</v>
      </c>
      <c r="AL12" s="95">
        <f t="shared" si="25"/>
        <v>1240.8027194328126</v>
      </c>
      <c r="AM12" s="139">
        <f t="shared" si="10"/>
        <v>7.3015414207233675E-3</v>
      </c>
      <c r="AN12" s="139">
        <f t="shared" si="11"/>
        <v>7.314717166104856E-2</v>
      </c>
      <c r="AO12" s="118">
        <f t="shared" si="26"/>
        <v>1.1777691759019719</v>
      </c>
    </row>
    <row r="13" spans="1:41" x14ac:dyDescent="0.3">
      <c r="A13" s="3">
        <v>1404</v>
      </c>
      <c r="B13" s="3">
        <v>6.5</v>
      </c>
      <c r="C13" s="3">
        <v>0</v>
      </c>
      <c r="D13" s="93"/>
      <c r="E13" s="143">
        <f t="shared" si="0"/>
        <v>1402.1218938121708</v>
      </c>
      <c r="F13" s="144">
        <f>0</f>
        <v>0</v>
      </c>
      <c r="G13" s="144">
        <f t="shared" si="1"/>
        <v>6.5</v>
      </c>
      <c r="H13" s="93"/>
      <c r="I13" s="93"/>
      <c r="J13" s="93">
        <f>RADIANS(B13)</f>
        <v>0.11344640137963143</v>
      </c>
      <c r="K13" s="93">
        <f>RADIANS(C13)</f>
        <v>0</v>
      </c>
      <c r="L13" s="93"/>
      <c r="M13" s="86">
        <f t="shared" si="12"/>
        <v>5.67232006898164E-2</v>
      </c>
      <c r="N13" s="126">
        <f>IF(LEFT(C$5,1)="m", 30*DEGREES(M13)/(A13-A12), 100*DEGREES(M13)/(A13-A12))</f>
        <v>0.60185185185185919</v>
      </c>
      <c r="O13" s="86">
        <f t="shared" si="13"/>
        <v>1.0002682130898435</v>
      </c>
      <c r="P13" s="108">
        <f t="shared" si="14"/>
        <v>13.765267142683022</v>
      </c>
      <c r="Q13" s="108">
        <f t="shared" si="15"/>
        <v>0</v>
      </c>
      <c r="R13" s="108">
        <f t="shared" si="16"/>
        <v>161.39232155101919</v>
      </c>
      <c r="S13" s="95">
        <f>S12+P13</f>
        <v>38.232199631628092</v>
      </c>
      <c r="T13" s="95">
        <f t="shared" si="2"/>
        <v>0</v>
      </c>
      <c r="U13" s="95">
        <f t="shared" si="2"/>
        <v>1402.1218938121708</v>
      </c>
      <c r="W13" s="86">
        <f t="shared" si="3"/>
        <v>5.6723200689815713E-2</v>
      </c>
      <c r="X13" s="126">
        <f>IF(LEFT(C$5,1)="m", 30*DEGREES(W13)/(A13-A12), 100*DEGREES(W13)/(A13-A12))</f>
        <v>0.60185185185185186</v>
      </c>
      <c r="Y13" s="86">
        <f t="shared" si="18"/>
        <v>1.0002682130898435</v>
      </c>
      <c r="Z13" s="108">
        <f t="shared" si="4"/>
        <v>13.765267142683022</v>
      </c>
      <c r="AA13" s="108">
        <v>0</v>
      </c>
      <c r="AB13" s="108">
        <f t="shared" si="5"/>
        <v>161.39232155101919</v>
      </c>
      <c r="AC13" s="95">
        <f t="shared" si="19"/>
        <v>38.232199631628092</v>
      </c>
      <c r="AD13" s="95">
        <f t="shared" si="20"/>
        <v>0</v>
      </c>
      <c r="AE13" s="95">
        <f t="shared" si="21"/>
        <v>1402.1218938121708</v>
      </c>
      <c r="AG13" s="95">
        <f t="shared" si="22"/>
        <v>13.76711273433555</v>
      </c>
      <c r="AH13" s="95">
        <f t="shared" si="23"/>
        <v>38.241346764701341</v>
      </c>
      <c r="AI13" s="108">
        <f t="shared" si="24"/>
        <v>161.41289652831577</v>
      </c>
      <c r="AJ13" s="108">
        <f t="shared" si="8"/>
        <v>161.41289652831577</v>
      </c>
      <c r="AK13" s="108">
        <f t="shared" si="9"/>
        <v>161.4118326722828</v>
      </c>
      <c r="AL13" s="95">
        <f t="shared" si="25"/>
        <v>1402.2156159611284</v>
      </c>
      <c r="AM13" s="139">
        <f t="shared" si="10"/>
        <v>9.1471330732488809E-3</v>
      </c>
      <c r="AN13" s="139">
        <f t="shared" si="11"/>
        <v>9.3722148957567697E-2</v>
      </c>
      <c r="AO13" s="118">
        <f t="shared" si="26"/>
        <v>0.58710347168423083</v>
      </c>
    </row>
    <row r="14" spans="1:41" x14ac:dyDescent="0.3">
      <c r="A14" s="3">
        <v>1489</v>
      </c>
      <c r="B14" s="3">
        <v>4</v>
      </c>
      <c r="C14" s="3">
        <v>0</v>
      </c>
      <c r="D14" s="93"/>
      <c r="E14" s="143">
        <f t="shared" si="0"/>
        <v>1486.7585982689736</v>
      </c>
      <c r="F14" s="144">
        <f>0</f>
        <v>0</v>
      </c>
      <c r="G14" s="144">
        <f t="shared" si="1"/>
        <v>4</v>
      </c>
      <c r="H14" s="93"/>
      <c r="I14" s="93"/>
      <c r="J14" s="93">
        <f>RADIANS(B14)</f>
        <v>6.9813170079773182E-2</v>
      </c>
      <c r="K14" s="93">
        <f>RADIANS(C14)</f>
        <v>0</v>
      </c>
      <c r="L14" s="93"/>
      <c r="M14" s="86">
        <f t="shared" si="12"/>
        <v>4.36332312998573E-2</v>
      </c>
      <c r="N14" s="126">
        <f>IF(LEFT(C$5,1)="m", 30*DEGREES(M14)/(A14-A13), 100*DEGREES(M14)/(A14-A13))</f>
        <v>0.88235294117645169</v>
      </c>
      <c r="O14" s="86">
        <f t="shared" si="13"/>
        <v>1.0001586851176143</v>
      </c>
      <c r="P14" s="108">
        <f t="shared" si="14"/>
        <v>7.7770206208914496</v>
      </c>
      <c r="Q14" s="108">
        <f t="shared" si="15"/>
        <v>0</v>
      </c>
      <c r="R14" s="108">
        <f t="shared" si="16"/>
        <v>84.636704456802818</v>
      </c>
      <c r="S14" s="134">
        <f t="shared" si="17"/>
        <v>46.00922025251954</v>
      </c>
      <c r="T14" s="95">
        <f t="shared" si="2"/>
        <v>0</v>
      </c>
      <c r="U14" s="135">
        <f t="shared" si="2"/>
        <v>1486.7585982689736</v>
      </c>
      <c r="W14" s="86">
        <f t="shared" si="3"/>
        <v>-4.3633231299858244E-2</v>
      </c>
      <c r="X14" s="126">
        <f>IF(LEFT(C$5,1)="m", 30*DEGREES(W14)/(A14-A13), 100*DEGREES(W14)/(A14-A13))</f>
        <v>-0.88235294117647078</v>
      </c>
      <c r="Y14" s="86">
        <f t="shared" si="18"/>
        <v>1.0001586851176143</v>
      </c>
      <c r="Z14" s="108">
        <f t="shared" si="4"/>
        <v>7.7770206208914496</v>
      </c>
      <c r="AA14" s="108">
        <v>0</v>
      </c>
      <c r="AB14" s="108">
        <f t="shared" si="5"/>
        <v>84.636704456802818</v>
      </c>
      <c r="AC14" s="134">
        <f t="shared" si="19"/>
        <v>46.00922025251954</v>
      </c>
      <c r="AD14" s="95">
        <f t="shared" si="20"/>
        <v>0</v>
      </c>
      <c r="AE14" s="135">
        <f t="shared" si="21"/>
        <v>1486.7585982689736</v>
      </c>
      <c r="AG14" s="95">
        <f t="shared" si="22"/>
        <v>7.7776375863892024</v>
      </c>
      <c r="AH14" s="134">
        <f t="shared" si="23"/>
        <v>46.018984351090545</v>
      </c>
      <c r="AI14" s="108">
        <f t="shared" si="24"/>
        <v>84.642667751069865</v>
      </c>
      <c r="AJ14" s="108">
        <f t="shared" si="8"/>
        <v>84.642667751069865</v>
      </c>
      <c r="AK14" s="108">
        <f t="shared" si="9"/>
        <v>84.641916658293482</v>
      </c>
      <c r="AL14" s="135">
        <f t="shared" si="25"/>
        <v>1486.8582837121983</v>
      </c>
      <c r="AM14" s="139">
        <f t="shared" si="10"/>
        <v>9.7640985710043537E-3</v>
      </c>
      <c r="AN14" s="139">
        <f t="shared" si="11"/>
        <v>9.9685443224643677E-2</v>
      </c>
      <c r="AO14" s="118">
        <f t="shared" si="26"/>
        <v>0.35733224893013599</v>
      </c>
    </row>
    <row r="15" spans="1:41" x14ac:dyDescent="0.3">
      <c r="A15" s="3">
        <v>1573</v>
      </c>
      <c r="B15" s="3">
        <v>4.75</v>
      </c>
      <c r="C15" s="3">
        <v>0</v>
      </c>
      <c r="D15" s="93"/>
      <c r="E15" s="143">
        <f t="shared" si="0"/>
        <v>1570.5132354157761</v>
      </c>
      <c r="F15" s="144">
        <f>0</f>
        <v>0</v>
      </c>
      <c r="G15" s="144">
        <f t="shared" si="1"/>
        <v>4.75</v>
      </c>
      <c r="H15" s="93"/>
      <c r="I15" s="93"/>
      <c r="J15" s="93">
        <f>RADIANS(B15)</f>
        <v>8.2903139469730658E-2</v>
      </c>
      <c r="K15" s="93">
        <f>RADIANS(C15)</f>
        <v>0</v>
      </c>
      <c r="L15" s="93"/>
      <c r="M15" s="86">
        <f t="shared" si="12"/>
        <v>1.3089969389959766E-2</v>
      </c>
      <c r="N15" s="126">
        <f>IF(LEFT(C$5,1)="m", 30*DEGREES(M15)/(A15-A14), 100*DEGREES(M15)/(A15-A14))</f>
        <v>0.26785714285718981</v>
      </c>
      <c r="O15" s="86">
        <f t="shared" si="13"/>
        <v>1.0000142791862225</v>
      </c>
      <c r="P15" s="108">
        <f t="shared" si="14"/>
        <v>6.4078081097446207</v>
      </c>
      <c r="Q15" s="108">
        <f t="shared" si="15"/>
        <v>0</v>
      </c>
      <c r="R15" s="108">
        <f t="shared" si="16"/>
        <v>83.754637146802494</v>
      </c>
      <c r="S15" s="95">
        <f t="shared" si="17"/>
        <v>52.417028362264162</v>
      </c>
      <c r="T15" s="95">
        <f t="shared" si="2"/>
        <v>0</v>
      </c>
      <c r="U15" s="95">
        <f t="shared" si="2"/>
        <v>1570.5132354157761</v>
      </c>
      <c r="W15" s="86">
        <f t="shared" si="3"/>
        <v>1.3089969389957476E-2</v>
      </c>
      <c r="X15" s="126">
        <f>IF(LEFT(C$5,1)="m", 30*DEGREES(W15)/(A15-A14), 100*DEGREES(W15)/(A15-A14))</f>
        <v>0.26785714285714296</v>
      </c>
      <c r="Y15" s="86">
        <f t="shared" si="18"/>
        <v>1.0000142791862225</v>
      </c>
      <c r="Z15" s="108">
        <f t="shared" si="4"/>
        <v>6.4078081097446207</v>
      </c>
      <c r="AA15" s="108">
        <v>0</v>
      </c>
      <c r="AB15" s="108">
        <f t="shared" si="5"/>
        <v>83.754637146802494</v>
      </c>
      <c r="AC15" s="95">
        <f t="shared" si="19"/>
        <v>52.417028362264162</v>
      </c>
      <c r="AD15" s="95">
        <f t="shared" si="20"/>
        <v>0</v>
      </c>
      <c r="AE15" s="95">
        <f t="shared" si="21"/>
        <v>1570.5132354157761</v>
      </c>
      <c r="AG15" s="95">
        <f t="shared" si="22"/>
        <v>6.4078538583319933</v>
      </c>
      <c r="AH15" s="95">
        <f t="shared" si="23"/>
        <v>52.426838209422542</v>
      </c>
      <c r="AI15" s="108">
        <f t="shared" si="24"/>
        <v>83.754877465187334</v>
      </c>
      <c r="AJ15" s="108">
        <f t="shared" si="8"/>
        <v>83.754877465187334</v>
      </c>
      <c r="AK15" s="108">
        <f t="shared" si="9"/>
        <v>83.754519816799473</v>
      </c>
      <c r="AL15" s="95">
        <f t="shared" si="25"/>
        <v>1570.6131611773856</v>
      </c>
      <c r="AM15" s="139">
        <f t="shared" si="10"/>
        <v>9.8098471583796254E-3</v>
      </c>
      <c r="AN15" s="139">
        <f t="shared" si="11"/>
        <v>9.9925761609483743E-2</v>
      </c>
      <c r="AO15" s="118">
        <f t="shared" si="26"/>
        <v>0.24512253481266294</v>
      </c>
    </row>
    <row r="16" spans="1:41" x14ac:dyDescent="0.3">
      <c r="A16" s="3">
        <v>1714</v>
      </c>
      <c r="B16" s="3">
        <v>4</v>
      </c>
      <c r="C16" s="3">
        <v>0</v>
      </c>
      <c r="D16" s="93"/>
      <c r="E16" s="143">
        <f t="shared" si="0"/>
        <v>1711.1013763407659</v>
      </c>
      <c r="F16" s="144">
        <f>0</f>
        <v>0</v>
      </c>
      <c r="G16" s="144">
        <f t="shared" si="1"/>
        <v>4</v>
      </c>
      <c r="H16" s="93"/>
      <c r="I16" s="93"/>
      <c r="J16" s="93">
        <f>RADIANS(B16)</f>
        <v>6.9813170079773182E-2</v>
      </c>
      <c r="K16" s="93">
        <f>RADIANS(C16)</f>
        <v>0</v>
      </c>
      <c r="L16" s="93"/>
      <c r="M16" s="86">
        <f t="shared" si="12"/>
        <v>1.3089969389959766E-2</v>
      </c>
      <c r="N16" s="126">
        <f>IF(LEFT(C$5,1)="m", 30*DEGREES(M16)/(A16-A15), 100*DEGREES(M16)/(A16-A15))</f>
        <v>0.15957446808513434</v>
      </c>
      <c r="O16" s="86">
        <f t="shared" si="13"/>
        <v>1.0000142791862225</v>
      </c>
      <c r="P16" s="108">
        <f t="shared" si="14"/>
        <v>10.755963612785612</v>
      </c>
      <c r="Q16" s="108">
        <f t="shared" si="15"/>
        <v>0</v>
      </c>
      <c r="R16" s="108">
        <f t="shared" si="16"/>
        <v>140.58814092498989</v>
      </c>
      <c r="S16" s="95">
        <f t="shared" si="17"/>
        <v>63.172991975049776</v>
      </c>
      <c r="T16" s="95">
        <f t="shared" si="2"/>
        <v>0</v>
      </c>
      <c r="U16" s="95">
        <f t="shared" si="2"/>
        <v>1711.1013763407659</v>
      </c>
      <c r="W16" s="86">
        <f t="shared" si="3"/>
        <v>-1.3089969389957476E-2</v>
      </c>
      <c r="X16" s="126">
        <f>IF(LEFT(C$5,1)="m", 30*DEGREES(W16)/(A16-A15), 100*DEGREES(W16)/(A16-A15))</f>
        <v>-0.15957446808510645</v>
      </c>
      <c r="Y16" s="86">
        <f t="shared" si="18"/>
        <v>1.0000142791862225</v>
      </c>
      <c r="Z16" s="108">
        <f t="shared" si="4"/>
        <v>10.755963612785612</v>
      </c>
      <c r="AA16" s="108">
        <v>0</v>
      </c>
      <c r="AB16" s="108">
        <f t="shared" si="5"/>
        <v>140.58814092498989</v>
      </c>
      <c r="AC16" s="95">
        <f t="shared" si="19"/>
        <v>63.172991975049776</v>
      </c>
      <c r="AD16" s="95">
        <f t="shared" si="20"/>
        <v>0</v>
      </c>
      <c r="AE16" s="95">
        <f t="shared" si="21"/>
        <v>1711.1013763407659</v>
      </c>
      <c r="AG16" s="95">
        <f t="shared" si="22"/>
        <v>10.756040405057274</v>
      </c>
      <c r="AH16" s="95">
        <f t="shared" si="23"/>
        <v>63.182878614479819</v>
      </c>
      <c r="AI16" s="108">
        <f t="shared" si="24"/>
        <v>140.58854431656445</v>
      </c>
      <c r="AJ16" s="108">
        <f t="shared" si="8"/>
        <v>140.58854431656445</v>
      </c>
      <c r="AK16" s="108">
        <f t="shared" si="9"/>
        <v>140.58794397819912</v>
      </c>
      <c r="AL16" s="95">
        <f t="shared" si="25"/>
        <v>1711.2017054939499</v>
      </c>
      <c r="AM16" s="139">
        <f t="shared" si="10"/>
        <v>9.8866394300429761E-3</v>
      </c>
      <c r="AN16" s="139">
        <f t="shared" si="11"/>
        <v>0.10032915318402047</v>
      </c>
      <c r="AO16" s="118">
        <f t="shared" si="26"/>
        <v>0.41145568343554134</v>
      </c>
    </row>
    <row r="17" spans="1:41" x14ac:dyDescent="0.3">
      <c r="A17" s="3">
        <v>1763</v>
      </c>
      <c r="B17" s="3">
        <v>5.75</v>
      </c>
      <c r="C17" s="3">
        <v>0</v>
      </c>
      <c r="D17" s="93"/>
      <c r="E17" s="143">
        <f t="shared" si="0"/>
        <v>1759.9222197047891</v>
      </c>
      <c r="F17" s="144">
        <f>0</f>
        <v>0</v>
      </c>
      <c r="G17" s="144">
        <f t="shared" si="1"/>
        <v>5.75</v>
      </c>
      <c r="H17" s="93"/>
      <c r="I17" s="93"/>
      <c r="J17" s="93">
        <f>RADIANS(B17)</f>
        <v>0.10035643198967395</v>
      </c>
      <c r="K17" s="93">
        <f>RADIANS(C17)</f>
        <v>0</v>
      </c>
      <c r="L17" s="93"/>
      <c r="M17" s="86">
        <f t="shared" si="12"/>
        <v>3.0543261909902419E-2</v>
      </c>
      <c r="N17" s="126">
        <f>IF(LEFT(C$5,1)="m", 30*DEGREES(M17)/(A17-A16), 100*DEGREES(M17)/(A17-A16))</f>
        <v>1.0714285714286294</v>
      </c>
      <c r="O17" s="86">
        <f t="shared" si="13"/>
        <v>1.0000777481570706</v>
      </c>
      <c r="P17" s="108">
        <f t="shared" si="14"/>
        <v>4.1639648316504285</v>
      </c>
      <c r="Q17" s="108">
        <f t="shared" si="15"/>
        <v>0</v>
      </c>
      <c r="R17" s="108">
        <f t="shared" si="16"/>
        <v>48.820843364023098</v>
      </c>
      <c r="S17" s="95">
        <f t="shared" si="17"/>
        <v>67.336956806700201</v>
      </c>
      <c r="T17" s="95">
        <f t="shared" si="2"/>
        <v>0</v>
      </c>
      <c r="U17" s="95">
        <f t="shared" si="2"/>
        <v>1759.9222197047891</v>
      </c>
      <c r="W17" s="86">
        <f t="shared" si="3"/>
        <v>3.0543261909900768E-2</v>
      </c>
      <c r="X17" s="126">
        <f>IF(LEFT(C$5,1)="m", 30*DEGREES(W17)/(A17-A16), 100*DEGREES(W17)/(A17-A16))</f>
        <v>1.0714285714285714</v>
      </c>
      <c r="Y17" s="86">
        <f t="shared" si="18"/>
        <v>1.0000777481570706</v>
      </c>
      <c r="Z17" s="108">
        <f t="shared" si="4"/>
        <v>4.1639648316504285</v>
      </c>
      <c r="AA17" s="108">
        <v>0</v>
      </c>
      <c r="AB17" s="108">
        <f t="shared" si="5"/>
        <v>48.820843364023098</v>
      </c>
      <c r="AC17" s="95">
        <f t="shared" si="19"/>
        <v>67.336956806700201</v>
      </c>
      <c r="AD17" s="95">
        <f t="shared" si="20"/>
        <v>0</v>
      </c>
      <c r="AE17" s="95">
        <f t="shared" si="21"/>
        <v>1759.9222197047891</v>
      </c>
      <c r="AG17" s="95">
        <f t="shared" si="22"/>
        <v>4.164126691249642</v>
      </c>
      <c r="AH17" s="95">
        <f t="shared" si="23"/>
        <v>67.347005305729454</v>
      </c>
      <c r="AI17" s="108">
        <f t="shared" si="24"/>
        <v>48.822419320293044</v>
      </c>
      <c r="AJ17" s="108">
        <f t="shared" si="8"/>
        <v>48.822419320293044</v>
      </c>
      <c r="AK17" s="108">
        <f t="shared" si="9"/>
        <v>48.822097536678136</v>
      </c>
      <c r="AL17" s="95">
        <f t="shared" si="25"/>
        <v>1760.0241248142429</v>
      </c>
      <c r="AM17" s="139">
        <f t="shared" si="10"/>
        <v>1.0048499029252866E-2</v>
      </c>
      <c r="AN17" s="139">
        <f t="shared" si="11"/>
        <v>0.10190510945380993</v>
      </c>
      <c r="AO17" s="118">
        <f t="shared" si="26"/>
        <v>0.17758067970695871</v>
      </c>
    </row>
    <row r="18" spans="1:41" x14ac:dyDescent="0.3">
      <c r="A18" s="3">
        <v>1804</v>
      </c>
      <c r="B18" s="3">
        <v>5</v>
      </c>
      <c r="C18" s="3">
        <v>0</v>
      </c>
      <c r="D18" s="93"/>
      <c r="E18" s="143">
        <f t="shared" si="0"/>
        <v>1800.7416484997161</v>
      </c>
      <c r="F18" s="144">
        <f>0</f>
        <v>0</v>
      </c>
      <c r="G18" s="144">
        <f t="shared" si="1"/>
        <v>5</v>
      </c>
      <c r="H18" s="93"/>
      <c r="I18" s="93"/>
      <c r="J18" s="93">
        <f>RADIANS(B18)</f>
        <v>8.7266462599716474E-2</v>
      </c>
      <c r="K18" s="93">
        <f>RADIANS(C18)</f>
        <v>0</v>
      </c>
      <c r="L18" s="93"/>
      <c r="M18" s="86">
        <f t="shared" si="12"/>
        <v>1.3089969389959766E-2</v>
      </c>
      <c r="N18" s="126">
        <f>IF(LEFT(C$5,1)="m", 30*DEGREES(M18)/(A18-A17), 100*DEGREES(M18)/(A18-A17))</f>
        <v>0.54878048780497424</v>
      </c>
      <c r="O18" s="86">
        <f t="shared" si="13"/>
        <v>1.0000142791862225</v>
      </c>
      <c r="P18" s="108">
        <f t="shared" si="14"/>
        <v>3.8406028292744931</v>
      </c>
      <c r="Q18" s="108">
        <f t="shared" si="15"/>
        <v>0</v>
      </c>
      <c r="R18" s="108">
        <f t="shared" si="16"/>
        <v>40.819428794926971</v>
      </c>
      <c r="S18" s="95">
        <f t="shared" si="17"/>
        <v>71.177559635974688</v>
      </c>
      <c r="T18" s="95">
        <f t="shared" si="2"/>
        <v>0</v>
      </c>
      <c r="U18" s="95">
        <f t="shared" si="2"/>
        <v>1800.7416484997161</v>
      </c>
      <c r="W18" s="86">
        <f t="shared" si="3"/>
        <v>-1.3089969389957476E-2</v>
      </c>
      <c r="X18" s="126">
        <f>IF(LEFT(C$5,1)="m", 30*DEGREES(W18)/(A18-A17), 100*DEGREES(W18)/(A18-A17))</f>
        <v>-0.5487804878048782</v>
      </c>
      <c r="Y18" s="86">
        <f t="shared" si="18"/>
        <v>1.0000142791862225</v>
      </c>
      <c r="Z18" s="108">
        <f t="shared" si="4"/>
        <v>3.8406028292744931</v>
      </c>
      <c r="AA18" s="108">
        <v>0</v>
      </c>
      <c r="AB18" s="108">
        <f t="shared" si="5"/>
        <v>40.819428794926971</v>
      </c>
      <c r="AC18" s="95">
        <f t="shared" si="19"/>
        <v>71.177559635974688</v>
      </c>
      <c r="AD18" s="95">
        <f t="shared" si="20"/>
        <v>0</v>
      </c>
      <c r="AE18" s="95">
        <f t="shared" si="21"/>
        <v>1800.7416484997161</v>
      </c>
      <c r="AG18" s="95">
        <f t="shared" si="22"/>
        <v>3.840630249283191</v>
      </c>
      <c r="AH18" s="95">
        <f t="shared" ref="AH18:AH32" si="27">AH17+AG18</f>
        <v>71.187635555012648</v>
      </c>
      <c r="AI18" s="108">
        <f t="shared" si="24"/>
        <v>40.819322123838397</v>
      </c>
      <c r="AJ18" s="108">
        <f t="shared" si="8"/>
        <v>40.819322123838397</v>
      </c>
      <c r="AK18" s="108">
        <f t="shared" si="9"/>
        <v>40.818924022174379</v>
      </c>
      <c r="AL18" s="95">
        <f t="shared" ref="AL18:AL32" si="28">AL17+AJ18</f>
        <v>1800.8434469380813</v>
      </c>
      <c r="AM18" s="139">
        <f t="shared" si="10"/>
        <v>1.0075919037959125E-2</v>
      </c>
      <c r="AN18" s="139">
        <f t="shared" si="11"/>
        <v>0.10179843836522195</v>
      </c>
      <c r="AO18" s="118">
        <f t="shared" si="26"/>
        <v>0.18067787616160119</v>
      </c>
    </row>
    <row r="19" spans="1:41" x14ac:dyDescent="0.3">
      <c r="A19" s="3">
        <v>1876</v>
      </c>
      <c r="B19" s="3">
        <v>5.75</v>
      </c>
      <c r="C19" s="3">
        <v>0</v>
      </c>
      <c r="D19" s="93"/>
      <c r="E19" s="143">
        <f t="shared" si="0"/>
        <v>1872.4245478469049</v>
      </c>
      <c r="F19" s="144">
        <f>0</f>
        <v>0</v>
      </c>
      <c r="G19" s="144">
        <f t="shared" si="1"/>
        <v>5.75</v>
      </c>
      <c r="H19" s="93"/>
      <c r="I19" s="93"/>
      <c r="J19" s="93">
        <f>RADIANS(B19)</f>
        <v>0.10035643198967395</v>
      </c>
      <c r="K19" s="93">
        <f>RADIANS(C19)</f>
        <v>0</v>
      </c>
      <c r="L19" s="93"/>
      <c r="M19" s="86">
        <f t="shared" si="12"/>
        <v>1.3089969389959766E-2</v>
      </c>
      <c r="N19" s="126">
        <f>IF(LEFT(C$5,1)="m", 30*DEGREES(M19)/(A19-A18), 100*DEGREES(M19)/(A19-A18))</f>
        <v>0.31250000000005479</v>
      </c>
      <c r="O19" s="86">
        <f t="shared" si="13"/>
        <v>1.0000142791862225</v>
      </c>
      <c r="P19" s="108">
        <f t="shared" si="14"/>
        <v>6.7444732611649645</v>
      </c>
      <c r="Q19" s="108">
        <f t="shared" si="15"/>
        <v>0</v>
      </c>
      <c r="R19" s="108">
        <f t="shared" si="16"/>
        <v>71.682899347188823</v>
      </c>
      <c r="S19" s="95">
        <f t="shared" si="17"/>
        <v>77.922032897139658</v>
      </c>
      <c r="T19" s="95">
        <f t="shared" si="2"/>
        <v>0</v>
      </c>
      <c r="U19" s="95">
        <f t="shared" si="2"/>
        <v>1872.4245478469049</v>
      </c>
      <c r="W19" s="86">
        <f t="shared" si="3"/>
        <v>1.3089969389957476E-2</v>
      </c>
      <c r="X19" s="126">
        <f>IF(LEFT(C$5,1)="m", 30*DEGREES(W19)/(A19-A18), 100*DEGREES(W19)/(A19-A18))</f>
        <v>0.31250000000000011</v>
      </c>
      <c r="Y19" s="86">
        <f t="shared" si="18"/>
        <v>1.0000142791862225</v>
      </c>
      <c r="Z19" s="108">
        <f t="shared" si="4"/>
        <v>6.7444732611649645</v>
      </c>
      <c r="AA19" s="108">
        <v>0</v>
      </c>
      <c r="AB19" s="108">
        <f t="shared" si="5"/>
        <v>71.682899347188823</v>
      </c>
      <c r="AC19" s="95">
        <f t="shared" si="19"/>
        <v>77.922032897139658</v>
      </c>
      <c r="AD19" s="95">
        <f t="shared" si="20"/>
        <v>0</v>
      </c>
      <c r="AE19" s="95">
        <f t="shared" si="21"/>
        <v>1872.4245478469049</v>
      </c>
      <c r="AG19" s="95">
        <f t="shared" si="22"/>
        <v>6.7445214133753595</v>
      </c>
      <c r="AH19" s="95">
        <f t="shared" si="27"/>
        <v>77.932156968388</v>
      </c>
      <c r="AI19" s="108">
        <f t="shared" si="24"/>
        <v>71.682712022350358</v>
      </c>
      <c r="AJ19" s="108">
        <f t="shared" si="8"/>
        <v>71.682712022350358</v>
      </c>
      <c r="AK19" s="108">
        <f t="shared" si="9"/>
        <v>71.682012916989152</v>
      </c>
      <c r="AL19" s="95">
        <f t="shared" si="28"/>
        <v>1872.5261589604318</v>
      </c>
      <c r="AM19" s="139">
        <f t="shared" si="10"/>
        <v>1.0124071248341693E-2</v>
      </c>
      <c r="AN19" s="139">
        <f t="shared" si="11"/>
        <v>0.10161111352681473</v>
      </c>
      <c r="AO19" s="118">
        <f t="shared" si="26"/>
        <v>0.31728797764964106</v>
      </c>
    </row>
    <row r="20" spans="1:41" x14ac:dyDescent="0.3">
      <c r="A20" s="3">
        <v>1926</v>
      </c>
      <c r="B20" s="3">
        <v>4.75</v>
      </c>
      <c r="C20" s="3">
        <v>0</v>
      </c>
      <c r="D20" s="93"/>
      <c r="E20" s="143">
        <f t="shared" si="0"/>
        <v>1922.2141622706952</v>
      </c>
      <c r="F20" s="144">
        <f>0</f>
        <v>0</v>
      </c>
      <c r="G20" s="144">
        <f t="shared" si="1"/>
        <v>4.75</v>
      </c>
      <c r="H20" s="93"/>
      <c r="I20" s="93"/>
      <c r="J20" s="93">
        <f>RADIANS(B20)</f>
        <v>8.2903139469730658E-2</v>
      </c>
      <c r="K20" s="93">
        <f>RADIANS(C20)</f>
        <v>0</v>
      </c>
      <c r="L20" s="93"/>
      <c r="M20" s="86">
        <f t="shared" si="12"/>
        <v>1.7453292519941543E-2</v>
      </c>
      <c r="N20" s="126">
        <f>IF(LEFT(C$5,1)="m", 30*DEGREES(M20)/(A20-A19), 100*DEGREES(M20)/(A20-A19))</f>
        <v>0.59999999999993969</v>
      </c>
      <c r="O20" s="86">
        <f t="shared" si="13"/>
        <v>1.0000253855582708</v>
      </c>
      <c r="P20" s="108">
        <f t="shared" si="14"/>
        <v>4.5750228646683455</v>
      </c>
      <c r="Q20" s="108">
        <f t="shared" si="15"/>
        <v>0</v>
      </c>
      <c r="R20" s="108">
        <f t="shared" si="16"/>
        <v>49.789614423790134</v>
      </c>
      <c r="S20" s="95">
        <f t="shared" si="17"/>
        <v>82.497055761807999</v>
      </c>
      <c r="T20" s="95">
        <f t="shared" si="2"/>
        <v>0</v>
      </c>
      <c r="U20" s="95">
        <f t="shared" si="2"/>
        <v>1922.2141622706952</v>
      </c>
      <c r="W20" s="86">
        <f t="shared" si="3"/>
        <v>-1.7453292519943292E-2</v>
      </c>
      <c r="X20" s="126">
        <f>IF(LEFT(C$5,1)="m", 30*DEGREES(W20)/(A20-A19), 100*DEGREES(W20)/(A20-A19))</f>
        <v>-0.59999999999999987</v>
      </c>
      <c r="Y20" s="86">
        <f t="shared" si="18"/>
        <v>1.0000253855582708</v>
      </c>
      <c r="Z20" s="108">
        <f t="shared" si="4"/>
        <v>4.5750228646683455</v>
      </c>
      <c r="AA20" s="108">
        <v>0</v>
      </c>
      <c r="AB20" s="108">
        <f t="shared" si="5"/>
        <v>49.789614423790134</v>
      </c>
      <c r="AC20" s="95">
        <f t="shared" si="19"/>
        <v>82.497055761807999</v>
      </c>
      <c r="AD20" s="95">
        <f t="shared" si="20"/>
        <v>0</v>
      </c>
      <c r="AE20" s="95">
        <f t="shared" si="21"/>
        <v>1922.2141622706952</v>
      </c>
      <c r="AG20" s="95">
        <f t="shared" si="22"/>
        <v>4.5750809331701188</v>
      </c>
      <c r="AH20" s="95">
        <f t="shared" si="27"/>
        <v>82.507237901558113</v>
      </c>
      <c r="AI20" s="108">
        <f t="shared" si="24"/>
        <v>49.789804559452861</v>
      </c>
      <c r="AJ20" s="108">
        <f t="shared" si="8"/>
        <v>49.789804559452861</v>
      </c>
      <c r="AK20" s="108">
        <f t="shared" si="9"/>
        <v>49.789362740172635</v>
      </c>
      <c r="AL20" s="95">
        <f t="shared" si="28"/>
        <v>1922.3159635198847</v>
      </c>
      <c r="AM20" s="139">
        <f t="shared" si="10"/>
        <v>1.0182139750114061E-2</v>
      </c>
      <c r="AN20" s="139">
        <f t="shared" si="11"/>
        <v>0.1018012491895206</v>
      </c>
      <c r="AO20" s="118">
        <f t="shared" si="26"/>
        <v>0.21019544054713879</v>
      </c>
    </row>
    <row r="21" spans="1:41" x14ac:dyDescent="0.3">
      <c r="A21" s="3">
        <v>1981</v>
      </c>
      <c r="B21" s="3">
        <v>6</v>
      </c>
      <c r="C21" s="3">
        <v>0</v>
      </c>
      <c r="D21" s="93"/>
      <c r="E21" s="143">
        <f t="shared" si="0"/>
        <v>1976.9712375989018</v>
      </c>
      <c r="F21" s="144">
        <f>0</f>
        <v>0</v>
      </c>
      <c r="G21" s="144">
        <f t="shared" si="1"/>
        <v>6</v>
      </c>
      <c r="H21" s="93"/>
      <c r="I21" s="93"/>
      <c r="J21" s="93">
        <f>RADIANS(B21)</f>
        <v>0.10471975511965978</v>
      </c>
      <c r="K21" s="93">
        <f>RADIANS(C21)</f>
        <v>0</v>
      </c>
      <c r="L21" s="93"/>
      <c r="M21" s="86">
        <f t="shared" si="12"/>
        <v>2.1816615649927318E-2</v>
      </c>
      <c r="N21" s="126">
        <f>IF(LEFT(C$5,1)="m", 30*DEGREES(M21)/(A21-A20), 100*DEGREES(M21)/(A21-A20))</f>
        <v>0.68181818181812548</v>
      </c>
      <c r="O21" s="86">
        <f t="shared" si="13"/>
        <v>1.0000396656144792</v>
      </c>
      <c r="P21" s="108">
        <f t="shared" si="14"/>
        <v>5.1519627941105171</v>
      </c>
      <c r="Q21" s="108">
        <f t="shared" si="15"/>
        <v>0</v>
      </c>
      <c r="R21" s="108">
        <f t="shared" si="16"/>
        <v>54.757075328206703</v>
      </c>
      <c r="S21" s="95">
        <f t="shared" si="17"/>
        <v>87.649018555918516</v>
      </c>
      <c r="T21" s="95">
        <f t="shared" si="2"/>
        <v>0</v>
      </c>
      <c r="U21" s="95">
        <f t="shared" si="2"/>
        <v>1976.9712375989018</v>
      </c>
      <c r="W21" s="86">
        <f t="shared" si="3"/>
        <v>2.1816615649929122E-2</v>
      </c>
      <c r="X21" s="126">
        <f>IF(LEFT(C$5,1)="m", 30*DEGREES(W21)/(A21-A20), 100*DEGREES(W21)/(A21-A20))</f>
        <v>0.68181818181818199</v>
      </c>
      <c r="Y21" s="86">
        <f t="shared" si="18"/>
        <v>1.0000396656144792</v>
      </c>
      <c r="Z21" s="108">
        <f t="shared" si="4"/>
        <v>5.1519627941105171</v>
      </c>
      <c r="AA21" s="108">
        <v>0</v>
      </c>
      <c r="AB21" s="108">
        <f t="shared" si="5"/>
        <v>54.757075328206703</v>
      </c>
      <c r="AC21" s="95">
        <f t="shared" si="19"/>
        <v>87.649018555918516</v>
      </c>
      <c r="AD21" s="95">
        <f t="shared" si="20"/>
        <v>0</v>
      </c>
      <c r="AE21" s="95">
        <f t="shared" si="21"/>
        <v>1976.9712375989018</v>
      </c>
      <c r="AG21" s="95">
        <f t="shared" si="22"/>
        <v>5.1520649685506221</v>
      </c>
      <c r="AH21" s="95">
        <f t="shared" si="27"/>
        <v>87.659302870108732</v>
      </c>
      <c r="AI21" s="108">
        <f t="shared" si="24"/>
        <v>54.75762723929541</v>
      </c>
      <c r="AJ21" s="108">
        <f t="shared" si="8"/>
        <v>54.75762723929541</v>
      </c>
      <c r="AK21" s="108">
        <f t="shared" si="9"/>
        <v>54.757093200477826</v>
      </c>
      <c r="AL21" s="95">
        <f t="shared" si="28"/>
        <v>1977.0735907591802</v>
      </c>
      <c r="AM21" s="139">
        <f t="shared" si="10"/>
        <v>1.0284314190215582E-2</v>
      </c>
      <c r="AN21" s="139">
        <f t="shared" si="11"/>
        <v>0.102353160278426</v>
      </c>
      <c r="AO21" s="118">
        <f t="shared" si="26"/>
        <v>0.24237276070458699</v>
      </c>
    </row>
    <row r="22" spans="1:41" x14ac:dyDescent="0.3">
      <c r="A22" s="3">
        <v>2034</v>
      </c>
      <c r="B22" s="3">
        <v>5.75</v>
      </c>
      <c r="C22" s="3">
        <v>0</v>
      </c>
      <c r="D22" s="93"/>
      <c r="E22" s="143">
        <f t="shared" si="0"/>
        <v>2029.6928172052094</v>
      </c>
      <c r="F22" s="144">
        <f>0</f>
        <v>0</v>
      </c>
      <c r="G22" s="144">
        <f t="shared" si="1"/>
        <v>5.75</v>
      </c>
      <c r="H22" s="93"/>
      <c r="I22" s="93"/>
      <c r="J22" s="93">
        <f>RADIANS(B22)</f>
        <v>0.10035643198967395</v>
      </c>
      <c r="K22" s="93">
        <f>RADIANS(C22)</f>
        <v>0</v>
      </c>
      <c r="L22" s="93"/>
      <c r="M22" s="86">
        <f t="shared" si="12"/>
        <v>4.3633231299848863E-3</v>
      </c>
      <c r="N22" s="126">
        <f>IF(LEFT(C$5,1)="m", 30*DEGREES(M22)/(A22-A21), 100*DEGREES(M22)/(A22-A21))</f>
        <v>0.14150943396223375</v>
      </c>
      <c r="O22" s="86">
        <f t="shared" si="13"/>
        <v>1.0000015865520819</v>
      </c>
      <c r="P22" s="108">
        <f t="shared" si="14"/>
        <v>5.4249965163386999</v>
      </c>
      <c r="Q22" s="108">
        <f t="shared" si="15"/>
        <v>0</v>
      </c>
      <c r="R22" s="108">
        <f t="shared" si="16"/>
        <v>52.721579606307586</v>
      </c>
      <c r="S22" s="95">
        <f t="shared" si="17"/>
        <v>93.074015072257211</v>
      </c>
      <c r="T22" s="95">
        <f t="shared" si="2"/>
        <v>0</v>
      </c>
      <c r="U22" s="95">
        <f t="shared" si="2"/>
        <v>2029.6928172052094</v>
      </c>
      <c r="W22" s="86">
        <f t="shared" si="3"/>
        <v>-4.3633231299858299E-3</v>
      </c>
      <c r="X22" s="126">
        <f>IF(LEFT(C$5,1)="m", 30*DEGREES(W22)/(A22-A21), 100*DEGREES(W22)/(A22-A21))</f>
        <v>-0.14150943396226434</v>
      </c>
      <c r="Y22" s="86">
        <f t="shared" si="18"/>
        <v>1.0000015865520819</v>
      </c>
      <c r="Z22" s="108">
        <f t="shared" si="4"/>
        <v>5.4249965163386999</v>
      </c>
      <c r="AA22" s="108">
        <v>0</v>
      </c>
      <c r="AB22" s="108">
        <f t="shared" si="5"/>
        <v>52.721579606307586</v>
      </c>
      <c r="AC22" s="95">
        <f t="shared" si="19"/>
        <v>93.074015072257211</v>
      </c>
      <c r="AD22" s="95">
        <f t="shared" si="20"/>
        <v>0</v>
      </c>
      <c r="AE22" s="95">
        <f t="shared" si="21"/>
        <v>2029.6928172052094</v>
      </c>
      <c r="AG22" s="95">
        <f t="shared" si="22"/>
        <v>5.4250008198526558</v>
      </c>
      <c r="AH22" s="95">
        <f t="shared" si="27"/>
        <v>93.084303689961388</v>
      </c>
      <c r="AI22" s="108">
        <f t="shared" si="24"/>
        <v>52.720886487387091</v>
      </c>
      <c r="AJ22" s="108">
        <f t="shared" si="8"/>
        <v>52.720886487387091</v>
      </c>
      <c r="AK22" s="108">
        <f t="shared" si="9"/>
        <v>52.720151545757062</v>
      </c>
      <c r="AL22" s="95">
        <f t="shared" si="28"/>
        <v>2029.7944772465673</v>
      </c>
      <c r="AM22" s="139">
        <f t="shared" si="10"/>
        <v>1.0288617704176772E-2</v>
      </c>
      <c r="AN22" s="139">
        <f t="shared" si="11"/>
        <v>0.10166004135794537</v>
      </c>
      <c r="AO22" s="118">
        <f t="shared" si="26"/>
        <v>0.27911351261290918</v>
      </c>
    </row>
    <row r="23" spans="1:41" x14ac:dyDescent="0.3">
      <c r="A23" s="3">
        <v>2093</v>
      </c>
      <c r="B23" s="3">
        <v>5.75</v>
      </c>
      <c r="C23" s="3">
        <v>0</v>
      </c>
      <c r="D23" s="93"/>
      <c r="E23" s="143">
        <f t="shared" si="0"/>
        <v>2088.3959597820131</v>
      </c>
      <c r="F23" s="144">
        <f>0</f>
        <v>0</v>
      </c>
      <c r="G23" s="144">
        <f t="shared" si="1"/>
        <v>5.75</v>
      </c>
      <c r="H23" s="93"/>
      <c r="I23" s="93"/>
      <c r="J23" s="93">
        <f>RADIANS(B23)</f>
        <v>0.10035643198967395</v>
      </c>
      <c r="K23" s="93">
        <f>RADIANS(C23)</f>
        <v>0</v>
      </c>
      <c r="L23" s="93"/>
      <c r="M23" s="86">
        <f t="shared" si="12"/>
        <v>0</v>
      </c>
      <c r="N23" s="126">
        <f>IF(LEFT(C$5,1)="m", 30*DEGREES(M23)/(A23-A22), 100*DEGREES(M23)/(A23-A22))</f>
        <v>0</v>
      </c>
      <c r="O23" s="86">
        <f t="shared" si="13"/>
        <v>1</v>
      </c>
      <c r="P23" s="108">
        <f t="shared" si="14"/>
        <v>5.9110956351125008</v>
      </c>
      <c r="Q23" s="108">
        <f t="shared" si="15"/>
        <v>0</v>
      </c>
      <c r="R23" s="108">
        <f t="shared" si="16"/>
        <v>58.703142576803792</v>
      </c>
      <c r="S23" s="95">
        <f t="shared" si="17"/>
        <v>98.985110707369714</v>
      </c>
      <c r="T23" s="95">
        <f t="shared" si="2"/>
        <v>0</v>
      </c>
      <c r="U23" s="95">
        <f t="shared" si="2"/>
        <v>2088.3959597820131</v>
      </c>
      <c r="W23" s="86">
        <f t="shared" si="3"/>
        <v>0</v>
      </c>
      <c r="X23" s="126">
        <f>IF(LEFT(C$5,1)="m", 30*DEGREES(W23)/(A23-A22), 100*DEGREES(W23)/(A23-A22))</f>
        <v>0</v>
      </c>
      <c r="Y23" s="86">
        <f t="shared" si="18"/>
        <v>1</v>
      </c>
      <c r="Z23" s="108">
        <f t="shared" si="4"/>
        <v>5.9110956351125008</v>
      </c>
      <c r="AA23" s="108">
        <v>0</v>
      </c>
      <c r="AB23" s="108">
        <f t="shared" si="5"/>
        <v>58.703142576803792</v>
      </c>
      <c r="AC23" s="95">
        <f t="shared" si="19"/>
        <v>98.985110707369714</v>
      </c>
      <c r="AD23" s="95">
        <f t="shared" si="20"/>
        <v>0</v>
      </c>
      <c r="AE23" s="95">
        <f t="shared" si="21"/>
        <v>2088.3959597820131</v>
      </c>
      <c r="AG23" s="95">
        <f t="shared" si="22"/>
        <v>5.9110956351125008</v>
      </c>
      <c r="AH23" s="95">
        <f t="shared" si="27"/>
        <v>98.99539932507389</v>
      </c>
      <c r="AI23" s="108">
        <f t="shared" si="24"/>
        <v>58.702391983855627</v>
      </c>
      <c r="AJ23" s="108">
        <f t="shared" si="8"/>
        <v>58.702391983855627</v>
      </c>
      <c r="AK23" s="108">
        <f t="shared" si="9"/>
        <v>58.701641390907461</v>
      </c>
      <c r="AL23" s="95">
        <f t="shared" si="28"/>
        <v>2088.4968692304228</v>
      </c>
      <c r="AM23" s="139">
        <f t="shared" si="10"/>
        <v>1.0288617704176772E-2</v>
      </c>
      <c r="AN23" s="139">
        <f t="shared" si="11"/>
        <v>0.1009094484097659</v>
      </c>
      <c r="AO23" s="118">
        <f t="shared" si="26"/>
        <v>0.29760801614437604</v>
      </c>
    </row>
    <row r="24" spans="1:41" x14ac:dyDescent="0.3">
      <c r="A24" s="3">
        <v>2145</v>
      </c>
      <c r="B24" s="3">
        <v>6</v>
      </c>
      <c r="C24" s="3">
        <v>0</v>
      </c>
      <c r="D24" s="93"/>
      <c r="E24" s="143">
        <f t="shared" si="0"/>
        <v>2140.1227926032961</v>
      </c>
      <c r="F24" s="144">
        <f>0</f>
        <v>0</v>
      </c>
      <c r="G24" s="144">
        <f t="shared" si="1"/>
        <v>6</v>
      </c>
      <c r="H24" s="93"/>
      <c r="I24" s="93"/>
      <c r="J24" s="93">
        <f>RADIANS(B24)</f>
        <v>0.10471975511965978</v>
      </c>
      <c r="K24" s="93">
        <f>RADIANS(C24)</f>
        <v>0</v>
      </c>
      <c r="L24" s="93"/>
      <c r="M24" s="86">
        <f t="shared" si="12"/>
        <v>4.3633231299848863E-3</v>
      </c>
      <c r="N24" s="126">
        <f>IF(LEFT(C$5,1)="m", 30*DEGREES(M24)/(A24-A23), 100*DEGREES(M24)/(A24-A23))</f>
        <v>0.14423076923073824</v>
      </c>
      <c r="O24" s="86">
        <f t="shared" si="13"/>
        <v>1.0000015865520819</v>
      </c>
      <c r="P24" s="108">
        <f t="shared" si="14"/>
        <v>5.322638091502121</v>
      </c>
      <c r="Q24" s="108">
        <f t="shared" si="15"/>
        <v>0</v>
      </c>
      <c r="R24" s="108">
        <f t="shared" si="16"/>
        <v>51.726832821282912</v>
      </c>
      <c r="S24" s="95">
        <f t="shared" si="17"/>
        <v>104.30774879887184</v>
      </c>
      <c r="T24" s="95">
        <f t="shared" si="2"/>
        <v>0</v>
      </c>
      <c r="U24" s="95">
        <f t="shared" si="2"/>
        <v>2140.1227926032961</v>
      </c>
      <c r="W24" s="86">
        <f t="shared" si="3"/>
        <v>4.3633231299858299E-3</v>
      </c>
      <c r="X24" s="126">
        <f>IF(LEFT(C$5,1)="m", 30*DEGREES(W24)/(A24-A23), 100*DEGREES(W24)/(A24-A23))</f>
        <v>0.14423076923076941</v>
      </c>
      <c r="Y24" s="86">
        <f t="shared" si="18"/>
        <v>1.0000015865520819</v>
      </c>
      <c r="Z24" s="108">
        <f t="shared" si="4"/>
        <v>5.322638091502121</v>
      </c>
      <c r="AA24" s="108">
        <v>0</v>
      </c>
      <c r="AB24" s="108">
        <f t="shared" si="5"/>
        <v>51.726832821282912</v>
      </c>
      <c r="AC24" s="95">
        <f t="shared" si="19"/>
        <v>104.30774879887184</v>
      </c>
      <c r="AD24" s="95">
        <f t="shared" si="20"/>
        <v>0</v>
      </c>
      <c r="AE24" s="95">
        <f t="shared" si="21"/>
        <v>2140.1227926032961</v>
      </c>
      <c r="AG24" s="95">
        <f t="shared" si="22"/>
        <v>5.3226423138177008</v>
      </c>
      <c r="AH24" s="95">
        <f t="shared" si="27"/>
        <v>104.31804163889159</v>
      </c>
      <c r="AI24" s="108">
        <f t="shared" si="24"/>
        <v>51.726152780077904</v>
      </c>
      <c r="AJ24" s="108">
        <f t="shared" si="8"/>
        <v>51.726152780077904</v>
      </c>
      <c r="AK24" s="108">
        <f t="shared" si="9"/>
        <v>51.725431705271077</v>
      </c>
      <c r="AL24" s="95">
        <f t="shared" si="28"/>
        <v>2140.2230220105007</v>
      </c>
      <c r="AM24" s="139">
        <f t="shared" si="10"/>
        <v>1.0292840019744176E-2</v>
      </c>
      <c r="AN24" s="139">
        <f t="shared" si="11"/>
        <v>0.10022940720455153</v>
      </c>
      <c r="AO24" s="118">
        <f t="shared" si="26"/>
        <v>0.27384721992209959</v>
      </c>
    </row>
    <row r="25" spans="1:41" x14ac:dyDescent="0.3">
      <c r="A25" s="3">
        <v>2200</v>
      </c>
      <c r="B25" s="3">
        <v>6</v>
      </c>
      <c r="C25" s="3">
        <v>0</v>
      </c>
      <c r="D25" s="93"/>
      <c r="E25" s="143">
        <f t="shared" si="0"/>
        <v>2194.8214968485513</v>
      </c>
      <c r="F25" s="144">
        <f>0</f>
        <v>0</v>
      </c>
      <c r="G25" s="144">
        <f t="shared" si="1"/>
        <v>6</v>
      </c>
      <c r="H25" s="93"/>
      <c r="I25" s="93"/>
      <c r="J25" s="93">
        <f>RADIANS(B25)</f>
        <v>0.10471975511965978</v>
      </c>
      <c r="K25" s="93">
        <f>RADIANS(C25)</f>
        <v>0</v>
      </c>
      <c r="L25" s="93"/>
      <c r="M25" s="86">
        <f t="shared" si="12"/>
        <v>0</v>
      </c>
      <c r="N25" s="126">
        <f>IF(LEFT(C$5,1)="m", 30*DEGREES(M25)/(A25-A24), 100*DEGREES(M25)/(A25-A24))</f>
        <v>0</v>
      </c>
      <c r="O25" s="86">
        <f t="shared" si="13"/>
        <v>1</v>
      </c>
      <c r="P25" s="108">
        <f t="shared" si="14"/>
        <v>5.7490654797209411</v>
      </c>
      <c r="Q25" s="108">
        <f t="shared" si="15"/>
        <v>0</v>
      </c>
      <c r="R25" s="108">
        <f t="shared" si="16"/>
        <v>54.69870424525503</v>
      </c>
      <c r="S25" s="95">
        <f t="shared" si="17"/>
        <v>110.05681427859278</v>
      </c>
      <c r="T25" s="95">
        <f t="shared" si="2"/>
        <v>0</v>
      </c>
      <c r="U25" s="95">
        <f t="shared" si="2"/>
        <v>2194.8214968485513</v>
      </c>
      <c r="W25" s="86">
        <f t="shared" si="3"/>
        <v>0</v>
      </c>
      <c r="X25" s="126">
        <f>IF(LEFT(C$5,1)="m", 30*DEGREES(W25)/(A25-A24), 100*DEGREES(W25)/(A25-A24))</f>
        <v>0</v>
      </c>
      <c r="Y25" s="86">
        <f t="shared" si="18"/>
        <v>1</v>
      </c>
      <c r="Z25" s="108">
        <f t="shared" si="4"/>
        <v>5.7490654797209411</v>
      </c>
      <c r="AA25" s="108">
        <v>0</v>
      </c>
      <c r="AB25" s="108">
        <f t="shared" si="5"/>
        <v>54.69870424525503</v>
      </c>
      <c r="AC25" s="95">
        <f t="shared" si="19"/>
        <v>110.05681427859278</v>
      </c>
      <c r="AD25" s="95">
        <f t="shared" si="20"/>
        <v>0</v>
      </c>
      <c r="AE25" s="95">
        <f t="shared" si="21"/>
        <v>2194.8214968485513</v>
      </c>
      <c r="AG25" s="95">
        <f t="shared" si="22"/>
        <v>5.7490654797209411</v>
      </c>
      <c r="AH25" s="95">
        <f t="shared" si="27"/>
        <v>110.06710711861253</v>
      </c>
      <c r="AI25" s="108">
        <f t="shared" si="24"/>
        <v>54.697874434630819</v>
      </c>
      <c r="AJ25" s="108">
        <f t="shared" si="8"/>
        <v>54.697874434630819</v>
      </c>
      <c r="AK25" s="108">
        <f t="shared" si="9"/>
        <v>54.697044624006601</v>
      </c>
      <c r="AL25" s="95">
        <f t="shared" si="28"/>
        <v>2194.9208964451313</v>
      </c>
      <c r="AM25" s="139">
        <f t="shared" si="10"/>
        <v>1.0292840019744176E-2</v>
      </c>
      <c r="AN25" s="139">
        <f t="shared" si="11"/>
        <v>9.9399596580042271E-2</v>
      </c>
      <c r="AO25" s="118">
        <f t="shared" si="26"/>
        <v>0.3021255653691845</v>
      </c>
    </row>
    <row r="26" spans="1:41" x14ac:dyDescent="0.3">
      <c r="A26" s="3">
        <v>2255</v>
      </c>
      <c r="B26" s="3">
        <v>5</v>
      </c>
      <c r="C26" s="3">
        <v>0</v>
      </c>
      <c r="D26" s="93"/>
      <c r="E26" s="143">
        <f t="shared" si="0"/>
        <v>2249.5675928936344</v>
      </c>
      <c r="F26" s="144">
        <f>0</f>
        <v>0</v>
      </c>
      <c r="G26" s="144">
        <f t="shared" si="1"/>
        <v>5</v>
      </c>
      <c r="H26" s="93"/>
      <c r="I26" s="93"/>
      <c r="J26" s="93">
        <f>RADIANS(B26)</f>
        <v>8.7266462599716474E-2</v>
      </c>
      <c r="K26" s="93">
        <f>RADIANS(C26)</f>
        <v>0</v>
      </c>
      <c r="L26" s="93"/>
      <c r="M26" s="86">
        <f t="shared" si="12"/>
        <v>1.7453292519941543E-2</v>
      </c>
      <c r="N26" s="126">
        <f>IF(LEFT(C$5,1)="m", 30*DEGREES(M26)/(A26-A25), 100*DEGREES(M26)/(A26-A25))</f>
        <v>0.54545454545449068</v>
      </c>
      <c r="O26" s="86">
        <f t="shared" si="13"/>
        <v>1.0000253855582708</v>
      </c>
      <c r="P26" s="108">
        <f t="shared" si="14"/>
        <v>5.2714494807120582</v>
      </c>
      <c r="Q26" s="108">
        <f t="shared" si="15"/>
        <v>0</v>
      </c>
      <c r="R26" s="108">
        <f t="shared" si="16"/>
        <v>54.746096045082822</v>
      </c>
      <c r="S26" s="95">
        <f t="shared" si="17"/>
        <v>115.32826375930485</v>
      </c>
      <c r="T26" s="95">
        <f t="shared" si="17"/>
        <v>0</v>
      </c>
      <c r="U26" s="95">
        <f t="shared" si="17"/>
        <v>2249.5675928936344</v>
      </c>
      <c r="W26" s="86">
        <f t="shared" si="3"/>
        <v>-1.7453292519943306E-2</v>
      </c>
      <c r="X26" s="126">
        <f>IF(LEFT(C$5,1)="m", 30*DEGREES(W26)/(A26-A25), 100*DEGREES(W26)/(A26-A25))</f>
        <v>-0.54545454545454586</v>
      </c>
      <c r="Y26" s="86">
        <f t="shared" si="18"/>
        <v>1.0000253855582708</v>
      </c>
      <c r="Z26" s="108">
        <f t="shared" si="4"/>
        <v>5.2714494807120582</v>
      </c>
      <c r="AA26" s="108">
        <v>0</v>
      </c>
      <c r="AB26" s="108">
        <f t="shared" si="5"/>
        <v>54.746096045082822</v>
      </c>
      <c r="AC26" s="95">
        <f t="shared" si="19"/>
        <v>115.32826375930485</v>
      </c>
      <c r="AD26" s="95">
        <f t="shared" si="20"/>
        <v>0</v>
      </c>
      <c r="AE26" s="95">
        <f t="shared" si="21"/>
        <v>2249.5675928936344</v>
      </c>
      <c r="AG26" s="95">
        <f t="shared" si="22"/>
        <v>5.2715163886123193</v>
      </c>
      <c r="AH26" s="95">
        <f t="shared" si="27"/>
        <v>115.33862350722484</v>
      </c>
      <c r="AI26" s="108">
        <f t="shared" si="24"/>
        <v>54.746205352191396</v>
      </c>
      <c r="AJ26" s="108">
        <f t="shared" si="8"/>
        <v>54.746205352191396</v>
      </c>
      <c r="AK26" s="108">
        <f t="shared" si="9"/>
        <v>54.745619794187967</v>
      </c>
      <c r="AL26" s="95">
        <f t="shared" si="28"/>
        <v>2249.6671017973226</v>
      </c>
      <c r="AM26" s="139">
        <f t="shared" si="10"/>
        <v>1.0359747919991946E-2</v>
      </c>
      <c r="AN26" s="139">
        <f t="shared" si="11"/>
        <v>9.9508903688274586E-2</v>
      </c>
      <c r="AO26" s="118">
        <f t="shared" si="26"/>
        <v>0.25379464780860317</v>
      </c>
    </row>
    <row r="27" spans="1:41" x14ac:dyDescent="0.3">
      <c r="A27" s="3">
        <v>2290</v>
      </c>
      <c r="B27" s="3">
        <v>6</v>
      </c>
      <c r="C27" s="3">
        <v>0</v>
      </c>
      <c r="D27" s="93"/>
      <c r="E27" s="143">
        <f t="shared" si="0"/>
        <v>2284.4060176495964</v>
      </c>
      <c r="F27" s="144">
        <f>0</f>
        <v>0</v>
      </c>
      <c r="G27" s="144">
        <f t="shared" si="1"/>
        <v>6</v>
      </c>
      <c r="H27" s="93"/>
      <c r="I27" s="93"/>
      <c r="J27" s="93">
        <f>RADIANS(B27)</f>
        <v>0.10471975511965978</v>
      </c>
      <c r="K27" s="93">
        <f>RADIANS(C27)</f>
        <v>0</v>
      </c>
      <c r="L27" s="93"/>
      <c r="M27" s="86">
        <f t="shared" si="12"/>
        <v>1.7453292519941543E-2</v>
      </c>
      <c r="N27" s="126">
        <f>IF(LEFT(C$5,1)="m", 30*DEGREES(M27)/(A27-A26), 100*DEGREES(M27)/(A27-A26))</f>
        <v>0.85714285714277105</v>
      </c>
      <c r="O27" s="86">
        <f t="shared" si="13"/>
        <v>1.0000253855582708</v>
      </c>
      <c r="P27" s="108">
        <f t="shared" si="14"/>
        <v>3.3545587604531284</v>
      </c>
      <c r="Q27" s="108">
        <f t="shared" si="15"/>
        <v>0</v>
      </c>
      <c r="R27" s="108">
        <f t="shared" si="16"/>
        <v>34.838424755961803</v>
      </c>
      <c r="S27" s="95">
        <f t="shared" ref="S27:U29" si="29">S26+P27</f>
        <v>118.68282251975798</v>
      </c>
      <c r="T27" s="95">
        <f t="shared" si="29"/>
        <v>0</v>
      </c>
      <c r="U27" s="95">
        <f t="shared" si="29"/>
        <v>2284.4060176495964</v>
      </c>
      <c r="W27" s="86">
        <f t="shared" si="3"/>
        <v>1.7453292519943306E-2</v>
      </c>
      <c r="X27" s="126">
        <f>IF(LEFT(C$5,1)="m", 30*DEGREES(W27)/(A27-A26), 100*DEGREES(W27)/(A27-A26))</f>
        <v>0.85714285714285776</v>
      </c>
      <c r="Y27" s="86">
        <f t="shared" si="18"/>
        <v>1.0000253855582708</v>
      </c>
      <c r="Z27" s="108">
        <f t="shared" si="4"/>
        <v>3.3545587604531284</v>
      </c>
      <c r="AA27" s="108">
        <v>0</v>
      </c>
      <c r="AB27" s="108">
        <f t="shared" si="5"/>
        <v>34.838424755961803</v>
      </c>
      <c r="AC27" s="95">
        <f t="shared" si="19"/>
        <v>118.68282251975798</v>
      </c>
      <c r="AD27" s="95">
        <f t="shared" si="20"/>
        <v>0</v>
      </c>
      <c r="AE27" s="95">
        <f t="shared" si="21"/>
        <v>2284.4060176495964</v>
      </c>
      <c r="AG27" s="95">
        <f t="shared" si="22"/>
        <v>3.3546013382078392</v>
      </c>
      <c r="AH27" s="95">
        <f t="shared" si="27"/>
        <v>118.69322484543268</v>
      </c>
      <c r="AI27" s="108">
        <f t="shared" si="24"/>
        <v>34.838494315030886</v>
      </c>
      <c r="AJ27" s="108">
        <f t="shared" si="8"/>
        <v>34.838494315030886</v>
      </c>
      <c r="AK27" s="108">
        <f t="shared" si="9"/>
        <v>34.838121687210524</v>
      </c>
      <c r="AL27" s="95">
        <f t="shared" si="28"/>
        <v>2284.5055961123535</v>
      </c>
      <c r="AM27" s="139">
        <f t="shared" si="10"/>
        <v>1.0402325674704116E-2</v>
      </c>
      <c r="AN27" s="139">
        <f t="shared" si="11"/>
        <v>9.9578462757108355E-2</v>
      </c>
      <c r="AO27" s="118">
        <f t="shared" si="26"/>
        <v>0.16150568496911108</v>
      </c>
    </row>
    <row r="28" spans="1:41" x14ac:dyDescent="0.3">
      <c r="A28" s="3">
        <v>2354</v>
      </c>
      <c r="B28" s="3">
        <v>4.75</v>
      </c>
      <c r="C28" s="3">
        <v>0</v>
      </c>
      <c r="D28" s="93"/>
      <c r="E28" s="143">
        <f t="shared" si="0"/>
        <v>2348.1233416678733</v>
      </c>
      <c r="F28" s="144">
        <f>0</f>
        <v>0</v>
      </c>
      <c r="G28" s="144">
        <f t="shared" si="1"/>
        <v>4.75</v>
      </c>
      <c r="H28" s="93"/>
      <c r="I28" s="93"/>
      <c r="J28" s="93">
        <f>RADIANS(B28)</f>
        <v>8.2903139469730658E-2</v>
      </c>
      <c r="K28" s="93">
        <f>RADIANS(C28)</f>
        <v>0</v>
      </c>
      <c r="L28" s="93"/>
      <c r="M28" s="86">
        <f t="shared" si="12"/>
        <v>2.1816615649927318E-2</v>
      </c>
      <c r="N28" s="126">
        <f>IF(LEFT(C$5,1)="m", 30*DEGREES(M28)/(A28-A27), 100*DEGREES(M28)/(A28-A27))</f>
        <v>0.58593749999995159</v>
      </c>
      <c r="O28" s="86">
        <f t="shared" si="13"/>
        <v>1.0000396656144792</v>
      </c>
      <c r="P28" s="108">
        <f t="shared" si="14"/>
        <v>5.9950112513286014</v>
      </c>
      <c r="Q28" s="108">
        <f t="shared" si="15"/>
        <v>0</v>
      </c>
      <c r="R28" s="108">
        <f t="shared" si="16"/>
        <v>63.717324018276891</v>
      </c>
      <c r="S28" s="95">
        <f t="shared" si="29"/>
        <v>124.67783377108658</v>
      </c>
      <c r="T28" s="95">
        <f t="shared" si="29"/>
        <v>0</v>
      </c>
      <c r="U28" s="95">
        <f t="shared" si="29"/>
        <v>2348.1233416678733</v>
      </c>
      <c r="W28" s="86">
        <f t="shared" si="3"/>
        <v>-2.1816615649929122E-2</v>
      </c>
      <c r="X28" s="126">
        <f>IF(LEFT(C$5,1)="m", 30*DEGREES(W28)/(A28-A27), 100*DEGREES(W28)/(A28-A27))</f>
        <v>-0.58593750000000011</v>
      </c>
      <c r="Y28" s="86">
        <f t="shared" si="18"/>
        <v>1.0000396656144792</v>
      </c>
      <c r="Z28" s="108">
        <f t="shared" si="4"/>
        <v>5.9950112513286014</v>
      </c>
      <c r="AA28" s="108">
        <v>0</v>
      </c>
      <c r="AB28" s="108">
        <f t="shared" si="5"/>
        <v>63.717324018276891</v>
      </c>
      <c r="AC28" s="95">
        <f t="shared" si="19"/>
        <v>124.67783377108658</v>
      </c>
      <c r="AD28" s="95">
        <f t="shared" si="20"/>
        <v>0</v>
      </c>
      <c r="AE28" s="95">
        <f t="shared" si="21"/>
        <v>2348.1233416678733</v>
      </c>
      <c r="AG28" s="95">
        <f t="shared" si="22"/>
        <v>5.9951301452225421</v>
      </c>
      <c r="AH28" s="95">
        <f t="shared" si="27"/>
        <v>124.68835499065523</v>
      </c>
      <c r="AI28" s="108">
        <f t="shared" si="24"/>
        <v>63.717966242089204</v>
      </c>
      <c r="AJ28" s="108">
        <f t="shared" si="8"/>
        <v>63.717966242089204</v>
      </c>
      <c r="AK28" s="108">
        <f t="shared" si="9"/>
        <v>63.71734481510147</v>
      </c>
      <c r="AL28" s="95">
        <f t="shared" si="28"/>
        <v>2348.2235623544425</v>
      </c>
      <c r="AM28" s="139">
        <f t="shared" si="10"/>
        <v>1.0521219568644824E-2</v>
      </c>
      <c r="AN28" s="139">
        <f t="shared" si="11"/>
        <v>0.10022068656917327</v>
      </c>
      <c r="AO28" s="118">
        <f t="shared" si="26"/>
        <v>0.28203375791079216</v>
      </c>
    </row>
    <row r="29" spans="1:41" x14ac:dyDescent="0.3">
      <c r="A29" s="3">
        <v>2428</v>
      </c>
      <c r="B29" s="3">
        <v>6</v>
      </c>
      <c r="C29" s="3">
        <v>0</v>
      </c>
      <c r="E29" s="143">
        <f t="shared" si="0"/>
        <v>2421.7964975640061</v>
      </c>
      <c r="F29" s="144">
        <f>0</f>
        <v>0</v>
      </c>
      <c r="G29" s="144">
        <f t="shared" si="1"/>
        <v>6</v>
      </c>
      <c r="J29" s="93">
        <f t="shared" ref="J29:J32" si="30">RADIANS(B29)</f>
        <v>0.10471975511965978</v>
      </c>
      <c r="K29" s="93">
        <f t="shared" ref="K29:K32" si="31">RADIANS(C29)</f>
        <v>0</v>
      </c>
      <c r="L29" s="93"/>
      <c r="M29" s="86">
        <f t="shared" ref="M29:M32" si="32">ACOS(MAX(-1,MIN(1, COS(J29-J28)-SIN(J28)*SIN(J29)*(1-COS(K29-K28)))))</f>
        <v>2.1816615649927318E-2</v>
      </c>
      <c r="N29" s="126">
        <f>IF(LEFT(C$5,1)="m", 30*DEGREES(M29)/(A29-A28), 100*DEGREES(M29)/(A29-A28))</f>
        <v>0.50675675675671494</v>
      </c>
      <c r="O29" s="86">
        <f t="shared" ref="O29:O32" si="33">IF(M29=0, 1, 2*TAN(M29/2)/M29)</f>
        <v>1.0000396656144792</v>
      </c>
      <c r="P29" s="108">
        <f t="shared" ref="P29:P32" si="34">0.5*(A29-A28)*O29 * (SIN(J28)*COS(K28) + SIN(J29)*COS(K29))</f>
        <v>6.9317317593486951</v>
      </c>
      <c r="Q29" s="108">
        <f t="shared" ref="Q29:Q32" si="35">0.5*(A29-A28)*O29 * (SIN(J28)*SIN(K28) + SIN(J29)*SIN(K29))</f>
        <v>0</v>
      </c>
      <c r="R29" s="108">
        <f t="shared" ref="R29:R32" si="36">0.5*(A29-A28)*O29 * (COS(J28) + COS(J29))</f>
        <v>73.673155896132641</v>
      </c>
      <c r="S29" s="95">
        <f t="shared" si="29"/>
        <v>131.60956553043528</v>
      </c>
      <c r="T29" s="95">
        <f t="shared" si="29"/>
        <v>0</v>
      </c>
      <c r="U29" s="95">
        <f t="shared" si="29"/>
        <v>2421.7964975640061</v>
      </c>
      <c r="W29" s="86">
        <f t="shared" si="3"/>
        <v>2.1816615649929122E-2</v>
      </c>
      <c r="X29" s="126">
        <f>IF(LEFT(C$5,1)="m", 30*DEGREES(W29)/(A29-A28), 100*DEGREES(W29)/(A29-A28))</f>
        <v>0.5067567567567568</v>
      </c>
      <c r="Y29" s="86">
        <f t="shared" si="18"/>
        <v>1.0000396656144792</v>
      </c>
      <c r="Z29" s="108">
        <f t="shared" si="4"/>
        <v>6.9317317593486951</v>
      </c>
      <c r="AA29" s="108">
        <v>0</v>
      </c>
      <c r="AB29" s="108">
        <f t="shared" si="5"/>
        <v>73.673155896132641</v>
      </c>
      <c r="AC29" s="95">
        <f t="shared" si="19"/>
        <v>131.60956553043528</v>
      </c>
      <c r="AD29" s="95">
        <f t="shared" si="20"/>
        <v>0</v>
      </c>
      <c r="AE29" s="95">
        <f t="shared" si="21"/>
        <v>2421.7964975640061</v>
      </c>
      <c r="AG29" s="95">
        <f t="shared" si="22"/>
        <v>6.9318692304135645</v>
      </c>
      <c r="AH29" s="95">
        <f t="shared" si="27"/>
        <v>131.62022422106878</v>
      </c>
      <c r="AI29" s="108">
        <f t="shared" si="24"/>
        <v>73.67389846741564</v>
      </c>
      <c r="AJ29" s="108">
        <f t="shared" si="8"/>
        <v>73.67389846741564</v>
      </c>
      <c r="AK29" s="108">
        <f t="shared" si="9"/>
        <v>73.673179942461076</v>
      </c>
      <c r="AL29" s="95">
        <f t="shared" si="28"/>
        <v>2421.8974608218582</v>
      </c>
      <c r="AM29" s="139">
        <f t="shared" si="10"/>
        <v>1.065869063350533E-2</v>
      </c>
      <c r="AN29" s="139">
        <f t="shared" si="11"/>
        <v>0.10096325785207227</v>
      </c>
      <c r="AO29" s="118">
        <f t="shared" si="26"/>
        <v>0.32610153258435343</v>
      </c>
    </row>
    <row r="30" spans="1:41" x14ac:dyDescent="0.3">
      <c r="A30" s="3">
        <v>2497</v>
      </c>
      <c r="B30" s="3">
        <v>6</v>
      </c>
      <c r="C30" s="3">
        <v>0</v>
      </c>
      <c r="E30" s="143">
        <f t="shared" si="0"/>
        <v>2490.4185083444172</v>
      </c>
      <c r="F30" s="144">
        <f>0</f>
        <v>0</v>
      </c>
      <c r="G30" s="144">
        <f t="shared" si="1"/>
        <v>6</v>
      </c>
      <c r="J30" s="93">
        <f t="shared" si="30"/>
        <v>0.10471975511965978</v>
      </c>
      <c r="K30" s="93">
        <f t="shared" si="31"/>
        <v>0</v>
      </c>
      <c r="L30" s="93"/>
      <c r="M30" s="86">
        <f t="shared" si="32"/>
        <v>0</v>
      </c>
      <c r="N30" s="126">
        <f>IF(LEFT(C$5,1)="m", 30*DEGREES(M30)/(A30-A29), 100*DEGREES(M30)/(A30-A29))</f>
        <v>0</v>
      </c>
      <c r="O30" s="86">
        <f t="shared" si="33"/>
        <v>1</v>
      </c>
      <c r="P30" s="108">
        <f t="shared" si="34"/>
        <v>7.2124639654680891</v>
      </c>
      <c r="Q30" s="108">
        <f t="shared" si="35"/>
        <v>0</v>
      </c>
      <c r="R30" s="108">
        <f t="shared" si="36"/>
        <v>68.622010780410861</v>
      </c>
      <c r="S30" s="95">
        <f t="shared" ref="S30:S32" si="37">S29+P30</f>
        <v>138.82202949590337</v>
      </c>
      <c r="T30" s="95">
        <f t="shared" ref="T30:T32" si="38">T29+Q30</f>
        <v>0</v>
      </c>
      <c r="U30" s="95">
        <f t="shared" ref="U30:U32" si="39">U29+R30</f>
        <v>2490.4185083444172</v>
      </c>
      <c r="W30" s="86">
        <f t="shared" si="3"/>
        <v>0</v>
      </c>
      <c r="X30" s="126">
        <f>IF(LEFT(C$5,1)="m", 30*DEGREES(W30)/(A30-A29), 100*DEGREES(W30)/(A30-A29))</f>
        <v>0</v>
      </c>
      <c r="Y30" s="86">
        <f t="shared" si="18"/>
        <v>1</v>
      </c>
      <c r="Z30" s="108">
        <f t="shared" si="4"/>
        <v>7.2124639654680891</v>
      </c>
      <c r="AA30" s="108">
        <v>0</v>
      </c>
      <c r="AB30" s="108">
        <f t="shared" si="5"/>
        <v>68.622010780410861</v>
      </c>
      <c r="AC30" s="95">
        <f t="shared" si="19"/>
        <v>138.82202949590337</v>
      </c>
      <c r="AD30" s="95">
        <f t="shared" si="20"/>
        <v>0</v>
      </c>
      <c r="AE30" s="95">
        <f t="shared" si="21"/>
        <v>2490.4185083444172</v>
      </c>
      <c r="AG30" s="95">
        <f t="shared" si="22"/>
        <v>7.2124639654680891</v>
      </c>
      <c r="AH30" s="95">
        <f t="shared" si="27"/>
        <v>138.83268818653687</v>
      </c>
      <c r="AI30" s="108">
        <f t="shared" si="24"/>
        <v>68.620969745264119</v>
      </c>
      <c r="AJ30" s="108">
        <f t="shared" si="8"/>
        <v>68.620969745264119</v>
      </c>
      <c r="AK30" s="108">
        <f t="shared" si="9"/>
        <v>68.619928710117364</v>
      </c>
      <c r="AL30" s="95">
        <f t="shared" si="28"/>
        <v>2490.5184305671223</v>
      </c>
      <c r="AM30" s="139">
        <f t="shared" si="10"/>
        <v>1.065869063350533E-2</v>
      </c>
      <c r="AN30" s="139">
        <f t="shared" si="11"/>
        <v>9.9922222705117747E-2</v>
      </c>
      <c r="AO30" s="118">
        <f t="shared" si="26"/>
        <v>0.37903025473588597</v>
      </c>
    </row>
    <row r="31" spans="1:41" x14ac:dyDescent="0.3">
      <c r="A31" s="3">
        <v>2533</v>
      </c>
      <c r="B31" s="3">
        <v>8.25</v>
      </c>
      <c r="C31" s="3">
        <v>0</v>
      </c>
      <c r="E31" s="143">
        <f t="shared" si="0"/>
        <v>2526.1382178985914</v>
      </c>
      <c r="F31" s="144">
        <f>0</f>
        <v>0</v>
      </c>
      <c r="G31" s="144">
        <f t="shared" si="1"/>
        <v>8.25</v>
      </c>
      <c r="J31" s="93">
        <f t="shared" si="30"/>
        <v>0.14398966328953219</v>
      </c>
      <c r="K31" s="93">
        <f t="shared" si="31"/>
        <v>0</v>
      </c>
      <c r="L31" s="93"/>
      <c r="M31" s="86">
        <f t="shared" si="32"/>
        <v>3.9269908169873302E-2</v>
      </c>
      <c r="N31" s="126">
        <f>IF(LEFT(C$5,1)="m", 30*DEGREES(M31)/(A31-A30), 100*DEGREES(M31)/(A31-A30))</f>
        <v>1.8750000000000426</v>
      </c>
      <c r="O31" s="86">
        <f t="shared" si="33"/>
        <v>1.0001285302949958</v>
      </c>
      <c r="P31" s="108">
        <f t="shared" si="34"/>
        <v>4.4649533426775534</v>
      </c>
      <c r="Q31" s="108">
        <f t="shared" si="35"/>
        <v>0</v>
      </c>
      <c r="R31" s="108">
        <f t="shared" si="36"/>
        <v>35.719709554174067</v>
      </c>
      <c r="S31" s="95">
        <f t="shared" si="37"/>
        <v>143.28698283858091</v>
      </c>
      <c r="T31" s="95">
        <f t="shared" si="38"/>
        <v>0</v>
      </c>
      <c r="U31" s="95">
        <f t="shared" si="39"/>
        <v>2526.1382178985914</v>
      </c>
      <c r="W31" s="86">
        <f t="shared" si="3"/>
        <v>3.9269908169872414E-2</v>
      </c>
      <c r="X31" s="126">
        <f>IF(LEFT(C$5,1)="m", 30*DEGREES(W31)/(A31-A30), 100*DEGREES(W31)/(A31-A30))</f>
        <v>1.875</v>
      </c>
      <c r="Y31" s="86">
        <f t="shared" si="18"/>
        <v>1.0001285302949958</v>
      </c>
      <c r="Z31" s="108">
        <f t="shared" si="4"/>
        <v>4.4649533426775534</v>
      </c>
      <c r="AA31" s="108">
        <v>0</v>
      </c>
      <c r="AB31" s="108">
        <f t="shared" si="5"/>
        <v>35.719709554174067</v>
      </c>
      <c r="AC31" s="95">
        <f t="shared" si="19"/>
        <v>143.28698283858091</v>
      </c>
      <c r="AD31" s="95">
        <f t="shared" si="20"/>
        <v>0</v>
      </c>
      <c r="AE31" s="95">
        <f t="shared" si="21"/>
        <v>2526.1382178985914</v>
      </c>
      <c r="AG31" s="95">
        <f t="shared" si="22"/>
        <v>4.4652402522174723</v>
      </c>
      <c r="AH31" s="95">
        <f t="shared" si="27"/>
        <v>143.29792843875435</v>
      </c>
      <c r="AI31" s="108">
        <f t="shared" si="24"/>
        <v>35.720923131251119</v>
      </c>
      <c r="AJ31" s="108">
        <f t="shared" si="8"/>
        <v>35.720923131251119</v>
      </c>
      <c r="AK31" s="108">
        <f t="shared" si="9"/>
        <v>35.719841426687424</v>
      </c>
      <c r="AL31" s="95">
        <f t="shared" si="28"/>
        <v>2526.2393536983736</v>
      </c>
      <c r="AM31" s="139">
        <f t="shared" si="10"/>
        <v>1.0945600173442926E-2</v>
      </c>
      <c r="AN31" s="139">
        <f t="shared" si="11"/>
        <v>0.10113579978224152</v>
      </c>
      <c r="AO31" s="118">
        <f t="shared" si="26"/>
        <v>0.27907686874888088</v>
      </c>
    </row>
    <row r="32" spans="1:41" x14ac:dyDescent="0.3">
      <c r="A32" s="3">
        <v>2590</v>
      </c>
      <c r="B32" s="3">
        <v>8</v>
      </c>
      <c r="C32" s="3">
        <v>0</v>
      </c>
      <c r="E32" s="143">
        <f t="shared" si="0"/>
        <v>2582.5660119075787</v>
      </c>
      <c r="F32" s="144">
        <f>0</f>
        <v>0</v>
      </c>
      <c r="G32" s="144">
        <f t="shared" si="1"/>
        <v>8</v>
      </c>
      <c r="J32" s="93">
        <f t="shared" si="30"/>
        <v>0.13962634015954636</v>
      </c>
      <c r="K32" s="93">
        <f t="shared" si="31"/>
        <v>0</v>
      </c>
      <c r="L32" s="93"/>
      <c r="M32" s="86">
        <f t="shared" si="32"/>
        <v>4.3633231299848863E-3</v>
      </c>
      <c r="N32" s="126">
        <f>IF(LEFT(C$5,1)="m", 30*DEGREES(M32)/(A32-A31), 100*DEGREES(M32)/(A32-A31))</f>
        <v>0.13157894736839279</v>
      </c>
      <c r="O32" s="86">
        <f t="shared" si="33"/>
        <v>1.0000015865520819</v>
      </c>
      <c r="P32" s="108">
        <f t="shared" si="34"/>
        <v>8.0559858853313759</v>
      </c>
      <c r="Q32" s="108">
        <f t="shared" si="35"/>
        <v>0</v>
      </c>
      <c r="R32" s="108">
        <f t="shared" si="36"/>
        <v>56.427794008987384</v>
      </c>
      <c r="S32" s="134">
        <f t="shared" si="37"/>
        <v>151.34296872391229</v>
      </c>
      <c r="T32" s="95">
        <f t="shared" si="38"/>
        <v>0</v>
      </c>
      <c r="U32" s="135">
        <f t="shared" si="39"/>
        <v>2582.5660119075787</v>
      </c>
      <c r="W32" s="86">
        <f t="shared" si="3"/>
        <v>-4.3633231299858299E-3</v>
      </c>
      <c r="X32" s="126">
        <f>IF(LEFT(C$5,1)="m", 30*DEGREES(W32)/(A32-A31), 100*DEGREES(W32)/(A32-A31))</f>
        <v>-0.13157894736842121</v>
      </c>
      <c r="Y32" s="86">
        <f t="shared" si="18"/>
        <v>1.0000015865520819</v>
      </c>
      <c r="Z32" s="108">
        <f t="shared" si="4"/>
        <v>8.0559858853313759</v>
      </c>
      <c r="AA32" s="108">
        <v>0</v>
      </c>
      <c r="AB32" s="108">
        <f t="shared" si="5"/>
        <v>56.427794008987384</v>
      </c>
      <c r="AC32" s="134">
        <f t="shared" si="19"/>
        <v>151.34296872391229</v>
      </c>
      <c r="AD32" s="95">
        <f t="shared" si="20"/>
        <v>0</v>
      </c>
      <c r="AE32" s="135">
        <f t="shared" si="21"/>
        <v>2582.5660119075787</v>
      </c>
      <c r="AG32" s="95">
        <f t="shared" si="22"/>
        <v>8.0559922759433462</v>
      </c>
      <c r="AH32" s="134">
        <f t="shared" si="27"/>
        <v>151.35392071469769</v>
      </c>
      <c r="AI32" s="108">
        <f t="shared" si="24"/>
        <v>56.424938000792643</v>
      </c>
      <c r="AJ32" s="108">
        <f t="shared" si="8"/>
        <v>56.424938000792643</v>
      </c>
      <c r="AK32" s="108">
        <f t="shared" si="9"/>
        <v>56.422037229841237</v>
      </c>
      <c r="AL32" s="135">
        <f t="shared" si="28"/>
        <v>2582.6642916991664</v>
      </c>
      <c r="AM32" s="139">
        <f t="shared" si="10"/>
        <v>1.0951990785400767E-2</v>
      </c>
      <c r="AN32" s="139">
        <f t="shared" si="11"/>
        <v>9.8279791587629006E-2</v>
      </c>
      <c r="AO32" s="118">
        <f t="shared" si="26"/>
        <v>0.57506199920735501</v>
      </c>
    </row>
    <row r="33" spans="1:41" x14ac:dyDescent="0.3">
      <c r="A33" s="3">
        <v>2614</v>
      </c>
      <c r="B33" s="3">
        <v>7.5</v>
      </c>
      <c r="C33" s="3">
        <v>0</v>
      </c>
      <c r="E33" s="143">
        <f t="shared" si="0"/>
        <v>2606.3467179861823</v>
      </c>
      <c r="F33" s="144">
        <f>0</f>
        <v>0</v>
      </c>
      <c r="G33" s="144">
        <f t="shared" si="1"/>
        <v>7.5</v>
      </c>
      <c r="J33" s="93">
        <f t="shared" ref="J33:J46" si="40">RADIANS(B33)</f>
        <v>0.1308996938995747</v>
      </c>
      <c r="K33" s="93">
        <f t="shared" ref="K33:K46" si="41">RADIANS(C33)</f>
        <v>0</v>
      </c>
      <c r="L33" s="93"/>
      <c r="M33" s="86">
        <f t="shared" ref="M33:M46" si="42">ACOS(MAX(-1,MIN(1, COS(J33-J32)-SIN(J32)*SIN(J33)*(1-COS(K33-K32)))))</f>
        <v>8.7266462599691064E-3</v>
      </c>
      <c r="N33" s="126">
        <f>IF(LEFT(C$5,1)="m", 30*DEGREES(M33)/(A33-A32), 100*DEGREES(M33)/(A33-A32))</f>
        <v>0.62499999999981803</v>
      </c>
      <c r="O33" s="86">
        <f t="shared" ref="O33:O46" si="43">IF(M33=0, 1, 2*TAN(M33/2)/M33)</f>
        <v>1.000006346244575</v>
      </c>
      <c r="P33" s="108">
        <f t="shared" ref="P33:P46" si="44">0.5*(A33-A32)*O33 * (SIN(J32)*COS(K32) + SIN(J33)*COS(K33))</f>
        <v>3.236412057093518</v>
      </c>
      <c r="Q33" s="108">
        <f t="shared" ref="Q33:Q46" si="45">0.5*(A33-A32)*O33 * (SIN(J32)*SIN(K32) + SIN(J33)*SIN(K33))</f>
        <v>0</v>
      </c>
      <c r="R33" s="108">
        <f t="shared" ref="R33:R46" si="46">0.5*(A33-A32)*O33 * (COS(J32) + COS(J33))</f>
        <v>23.78070607860375</v>
      </c>
      <c r="S33" s="95">
        <f t="shared" ref="S33:S46" si="47">S32+P33</f>
        <v>154.57938078100582</v>
      </c>
      <c r="T33" s="95">
        <f t="shared" ref="T33:T46" si="48">T32+Q33</f>
        <v>0</v>
      </c>
      <c r="U33" s="95">
        <f t="shared" ref="U33:U46" si="49">U32+R33</f>
        <v>2606.3467179861823</v>
      </c>
      <c r="V33" s="107"/>
      <c r="W33" s="86">
        <f t="shared" ref="W33:W46" si="50">J33-J32</f>
        <v>-8.7266462599716599E-3</v>
      </c>
      <c r="X33" s="126">
        <f>IF(LEFT(C$5,1)="m", 30*DEGREES(W33)/(A33-A32), 100*DEGREES(W33)/(A33-A32))</f>
        <v>-0.62500000000000078</v>
      </c>
      <c r="Y33" s="86">
        <f t="shared" ref="Y33:Y46" si="51">IF(W33=0, 1, 2*TAN(W33/2)/W33)</f>
        <v>1.000006346244575</v>
      </c>
      <c r="Z33" s="108">
        <f t="shared" ref="Z33:Z46" si="52">0.5*(A33-A32)*Y33 * (SIN(J32)+SIN(J33))</f>
        <v>3.236412057093518</v>
      </c>
      <c r="AA33" s="108">
        <v>0</v>
      </c>
      <c r="AB33" s="108">
        <f t="shared" ref="AB33:AB46" si="53">0.5*(A33-A32)*Y33 * (COS(J32)+COS(J33))</f>
        <v>23.78070607860375</v>
      </c>
      <c r="AC33" s="95">
        <f t="shared" ref="AC33:AC46" si="54">AC32+Z33</f>
        <v>154.57938078100582</v>
      </c>
      <c r="AD33" s="95">
        <f t="shared" ref="AD33:AD46" si="55">AD32+AA33</f>
        <v>0</v>
      </c>
      <c r="AE33" s="95">
        <f t="shared" ref="AE33:AE46" si="56">AE32+AB33</f>
        <v>2606.3467179861823</v>
      </c>
      <c r="AF33" s="107"/>
      <c r="AG33" s="95">
        <f t="shared" ref="AG33:AG46" si="57">(A33-A32)*SIN(AVERAGE(J32,J33))</f>
        <v>3.2364223265693521</v>
      </c>
      <c r="AH33" s="95">
        <f t="shared" ref="AH33:AH46" si="58">AH32+AG33</f>
        <v>154.59034304126703</v>
      </c>
      <c r="AI33" s="108">
        <f t="shared" ref="AI33:AI46" si="59">(A33-A32) - 0.5 * (A33-A32) * SIN(AVERAGE(J32,J33)) * TAN(AVERAGE(J32,J33))</f>
        <v>23.779771126119339</v>
      </c>
      <c r="AJ33" s="108">
        <f t="shared" ref="AJ33:AJ46" si="60">(A33-A32) - 0.5*AG33*TAN(AVERAGE(J32,J33))</f>
        <v>23.779771126119339</v>
      </c>
      <c r="AK33" s="108">
        <f t="shared" ref="AK33:AK46" si="61">(A33-A32) * (2 - 1/COS(AVERAGE(J32,J33)))</f>
        <v>23.778760714953506</v>
      </c>
      <c r="AL33" s="95">
        <f t="shared" ref="AL33:AL46" si="62">AL32+AJ33</f>
        <v>2606.4440628252855</v>
      </c>
      <c r="AM33" s="139">
        <f t="shared" ref="AM33:AM46" si="63">AH33-AC33</f>
        <v>1.0962260261209167E-2</v>
      </c>
      <c r="AN33" s="139">
        <f t="shared" ref="AN33:AN46" si="64">AL33-AE33</f>
        <v>9.734483910324343E-2</v>
      </c>
      <c r="AO33" s="118">
        <f t="shared" si="26"/>
        <v>0.22022887388065934</v>
      </c>
    </row>
    <row r="34" spans="1:41" x14ac:dyDescent="0.3">
      <c r="A34" s="3">
        <v>2686</v>
      </c>
      <c r="B34" s="3">
        <v>6.5</v>
      </c>
      <c r="C34" s="3">
        <v>0</v>
      </c>
      <c r="E34" s="143">
        <f t="shared" si="0"/>
        <v>2677.809133867268</v>
      </c>
      <c r="F34" s="144">
        <f>0</f>
        <v>0</v>
      </c>
      <c r="G34" s="144">
        <f t="shared" si="1"/>
        <v>6.5</v>
      </c>
      <c r="J34" s="93">
        <f t="shared" si="40"/>
        <v>0.11344640137963143</v>
      </c>
      <c r="K34" s="93">
        <f t="shared" si="41"/>
        <v>0</v>
      </c>
      <c r="L34" s="93"/>
      <c r="M34" s="86">
        <f t="shared" si="42"/>
        <v>1.7453292519941543E-2</v>
      </c>
      <c r="N34" s="126">
        <f>IF(LEFT(C$5,1)="m", 30*DEGREES(M34)/(A34-A33), 100*DEGREES(M34)/(A34-A33))</f>
        <v>0.41666666666662483</v>
      </c>
      <c r="O34" s="86">
        <f t="shared" si="43"/>
        <v>1.0000253855582708</v>
      </c>
      <c r="P34" s="108">
        <f t="shared" si="44"/>
        <v>8.7744813550198657</v>
      </c>
      <c r="Q34" s="108">
        <f t="shared" si="45"/>
        <v>0</v>
      </c>
      <c r="R34" s="108">
        <f t="shared" si="46"/>
        <v>71.462415881085732</v>
      </c>
      <c r="S34" s="95">
        <f t="shared" si="47"/>
        <v>163.3538621360257</v>
      </c>
      <c r="T34" s="95">
        <f t="shared" si="48"/>
        <v>0</v>
      </c>
      <c r="U34" s="95">
        <f t="shared" si="49"/>
        <v>2677.809133867268</v>
      </c>
      <c r="V34" s="107"/>
      <c r="W34" s="86">
        <f t="shared" si="50"/>
        <v>-1.7453292519943278E-2</v>
      </c>
      <c r="X34" s="126">
        <f>IF(LEFT(C$5,1)="m", 30*DEGREES(W34)/(A34-A33), 100*DEGREES(W34)/(A34-A33))</f>
        <v>-0.4166666666666663</v>
      </c>
      <c r="Y34" s="86">
        <f t="shared" si="51"/>
        <v>1.0000253855582708</v>
      </c>
      <c r="Z34" s="108">
        <f t="shared" si="52"/>
        <v>8.7744813550198657</v>
      </c>
      <c r="AA34" s="108">
        <v>0</v>
      </c>
      <c r="AB34" s="108">
        <f t="shared" si="53"/>
        <v>71.462415881085732</v>
      </c>
      <c r="AC34" s="95">
        <f t="shared" si="54"/>
        <v>163.3538621360257</v>
      </c>
      <c r="AD34" s="95">
        <f t="shared" si="55"/>
        <v>0</v>
      </c>
      <c r="AE34" s="95">
        <f t="shared" si="56"/>
        <v>2677.809133867268</v>
      </c>
      <c r="AF34" s="107"/>
      <c r="AG34" s="95">
        <f t="shared" si="57"/>
        <v>8.7745927251706188</v>
      </c>
      <c r="AH34" s="95">
        <f t="shared" si="58"/>
        <v>163.36493576643764</v>
      </c>
      <c r="AI34" s="108">
        <f t="shared" si="59"/>
        <v>71.461307742569048</v>
      </c>
      <c r="AJ34" s="108">
        <f t="shared" si="60"/>
        <v>71.461307742569048</v>
      </c>
      <c r="AK34" s="108">
        <f t="shared" si="61"/>
        <v>71.459292566962915</v>
      </c>
      <c r="AL34" s="95">
        <f t="shared" si="62"/>
        <v>2677.9053705678548</v>
      </c>
      <c r="AM34" s="139">
        <f t="shared" si="63"/>
        <v>1.1073630411942759E-2</v>
      </c>
      <c r="AN34" s="139">
        <f t="shared" si="64"/>
        <v>9.623670058681455E-2</v>
      </c>
      <c r="AO34" s="118">
        <f t="shared" si="26"/>
        <v>0.53869225743094773</v>
      </c>
    </row>
    <row r="35" spans="1:41" x14ac:dyDescent="0.3">
      <c r="A35" s="3">
        <v>2780</v>
      </c>
      <c r="B35" s="3">
        <v>7.25</v>
      </c>
      <c r="C35" s="3">
        <v>0</v>
      </c>
      <c r="E35" s="143">
        <f t="shared" si="0"/>
        <v>2771.1325762827996</v>
      </c>
      <c r="F35" s="144">
        <f>0</f>
        <v>0</v>
      </c>
      <c r="G35" s="144">
        <f t="shared" si="1"/>
        <v>7.25</v>
      </c>
      <c r="J35" s="93">
        <f t="shared" si="40"/>
        <v>0.1265363707695889</v>
      </c>
      <c r="K35" s="93">
        <f t="shared" si="41"/>
        <v>0</v>
      </c>
      <c r="L35" s="93"/>
      <c r="M35" s="86">
        <f t="shared" si="42"/>
        <v>1.3089969389959766E-2</v>
      </c>
      <c r="N35" s="126">
        <f>IF(LEFT(C$5,1)="m", 30*DEGREES(M35)/(A35-A34), 100*DEGREES(M35)/(A35-A34))</f>
        <v>0.23936170212770153</v>
      </c>
      <c r="O35" s="86">
        <f t="shared" si="43"/>
        <v>1.0000142791862225</v>
      </c>
      <c r="P35" s="108">
        <f t="shared" si="44"/>
        <v>11.252063264488148</v>
      </c>
      <c r="Q35" s="108">
        <f t="shared" si="45"/>
        <v>0</v>
      </c>
      <c r="R35" s="108">
        <f t="shared" si="46"/>
        <v>93.323442415531474</v>
      </c>
      <c r="S35" s="134">
        <f t="shared" si="47"/>
        <v>174.60592540051385</v>
      </c>
      <c r="T35" s="95">
        <f t="shared" si="48"/>
        <v>0</v>
      </c>
      <c r="U35" s="135">
        <f t="shared" si="49"/>
        <v>2771.1325762827996</v>
      </c>
      <c r="V35" s="107"/>
      <c r="W35" s="86">
        <f t="shared" si="50"/>
        <v>1.3089969389957476E-2</v>
      </c>
      <c r="X35" s="126">
        <f>IF(LEFT(C$5,1)="m", 30*DEGREES(W35)/(A35-A34), 100*DEGREES(W35)/(A35-A34))</f>
        <v>0.23936170212765964</v>
      </c>
      <c r="Y35" s="86">
        <f t="shared" si="51"/>
        <v>1.0000142791862225</v>
      </c>
      <c r="Z35" s="108">
        <f t="shared" si="52"/>
        <v>11.252063264488148</v>
      </c>
      <c r="AA35" s="108">
        <v>0</v>
      </c>
      <c r="AB35" s="108">
        <f t="shared" si="53"/>
        <v>93.323442415531474</v>
      </c>
      <c r="AC35" s="134">
        <f t="shared" si="54"/>
        <v>174.60592540051385</v>
      </c>
      <c r="AD35" s="95">
        <f t="shared" si="55"/>
        <v>0</v>
      </c>
      <c r="AE35" s="135">
        <f t="shared" si="56"/>
        <v>2771.1325762827996</v>
      </c>
      <c r="AF35" s="107"/>
      <c r="AG35" s="95">
        <f t="shared" si="57"/>
        <v>11.252143598666477</v>
      </c>
      <c r="AH35" s="134">
        <f t="shared" si="58"/>
        <v>174.6170793651041</v>
      </c>
      <c r="AI35" s="108">
        <f t="shared" si="59"/>
        <v>93.321661158460287</v>
      </c>
      <c r="AJ35" s="108">
        <f t="shared" si="60"/>
        <v>93.321661158460287</v>
      </c>
      <c r="AK35" s="108">
        <f t="shared" si="61"/>
        <v>93.319213618069384</v>
      </c>
      <c r="AL35" s="135">
        <f t="shared" si="62"/>
        <v>2771.2270317263151</v>
      </c>
      <c r="AM35" s="139">
        <f t="shared" si="63"/>
        <v>1.1153964590249643E-2</v>
      </c>
      <c r="AN35" s="139">
        <f t="shared" si="64"/>
        <v>9.4455443515471416E-2</v>
      </c>
      <c r="AO35" s="118">
        <f t="shared" si="26"/>
        <v>0.67833884153971868</v>
      </c>
    </row>
    <row r="36" spans="1:41" x14ac:dyDescent="0.3">
      <c r="A36" s="3">
        <v>2860</v>
      </c>
      <c r="B36" s="3">
        <v>8.5</v>
      </c>
      <c r="C36" s="3">
        <v>0</v>
      </c>
      <c r="E36" s="143">
        <f t="shared" si="0"/>
        <v>2850.3765519407789</v>
      </c>
      <c r="F36" s="144">
        <f>0</f>
        <v>0</v>
      </c>
      <c r="G36" s="144">
        <f t="shared" si="1"/>
        <v>8.5</v>
      </c>
      <c r="J36" s="93">
        <f t="shared" si="40"/>
        <v>0.14835298641951802</v>
      </c>
      <c r="K36" s="93">
        <f t="shared" si="41"/>
        <v>0</v>
      </c>
      <c r="L36" s="93"/>
      <c r="M36" s="86">
        <f t="shared" si="42"/>
        <v>2.1816615649927318E-2</v>
      </c>
      <c r="N36" s="126">
        <f>IF(LEFT(C$5,1)="m", 30*DEGREES(M36)/(A36-A35), 100*DEGREES(M36)/(A36-A35))</f>
        <v>0.46874999999996125</v>
      </c>
      <c r="O36" s="86">
        <f t="shared" si="43"/>
        <v>1.0000396656144792</v>
      </c>
      <c r="P36" s="108">
        <f t="shared" si="44"/>
        <v>10.960769959048642</v>
      </c>
      <c r="Q36" s="108">
        <f t="shared" si="45"/>
        <v>0</v>
      </c>
      <c r="R36" s="108">
        <f t="shared" si="46"/>
        <v>79.243975657979092</v>
      </c>
      <c r="S36" s="95">
        <f t="shared" si="47"/>
        <v>185.56669535956249</v>
      </c>
      <c r="T36" s="95">
        <f t="shared" si="48"/>
        <v>0</v>
      </c>
      <c r="U36" s="95">
        <f t="shared" si="49"/>
        <v>2850.3765519407789</v>
      </c>
      <c r="V36" s="107"/>
      <c r="W36" s="86">
        <f t="shared" si="50"/>
        <v>2.1816615649929122E-2</v>
      </c>
      <c r="X36" s="126">
        <f>IF(LEFT(C$5,1)="m", 30*DEGREES(W36)/(A36-A35), 100*DEGREES(W36)/(A36-A35))</f>
        <v>0.46875000000000011</v>
      </c>
      <c r="Y36" s="86">
        <f t="shared" si="51"/>
        <v>1.0000396656144792</v>
      </c>
      <c r="Z36" s="108">
        <f t="shared" si="52"/>
        <v>10.960769959048642</v>
      </c>
      <c r="AA36" s="108">
        <v>0</v>
      </c>
      <c r="AB36" s="108">
        <f t="shared" si="53"/>
        <v>79.243975657979092</v>
      </c>
      <c r="AC36" s="95">
        <f t="shared" si="54"/>
        <v>185.56669535956249</v>
      </c>
      <c r="AD36" s="95">
        <f t="shared" si="55"/>
        <v>0</v>
      </c>
      <c r="AE36" s="95">
        <f t="shared" si="56"/>
        <v>2850.3765519407789</v>
      </c>
      <c r="AF36" s="107"/>
      <c r="AG36" s="95">
        <f t="shared" si="57"/>
        <v>10.960987334557441</v>
      </c>
      <c r="AH36" s="95">
        <f t="shared" si="58"/>
        <v>185.57806669966155</v>
      </c>
      <c r="AI36" s="108">
        <f t="shared" si="59"/>
        <v>79.241955872982302</v>
      </c>
      <c r="AJ36" s="108">
        <f t="shared" si="60"/>
        <v>79.241955872982302</v>
      </c>
      <c r="AK36" s="108">
        <f t="shared" si="61"/>
        <v>79.238364510478405</v>
      </c>
      <c r="AL36" s="95">
        <f t="shared" si="62"/>
        <v>2850.4689875992972</v>
      </c>
      <c r="AM36" s="139">
        <f t="shared" si="63"/>
        <v>1.137134009906049E-2</v>
      </c>
      <c r="AN36" s="139">
        <f t="shared" si="64"/>
        <v>9.2435658518297714E-2</v>
      </c>
      <c r="AO36" s="118">
        <f t="shared" si="26"/>
        <v>0.75804412701770374</v>
      </c>
    </row>
    <row r="37" spans="1:41" x14ac:dyDescent="0.3">
      <c r="A37" s="3">
        <v>2895</v>
      </c>
      <c r="B37" s="3">
        <v>5.75</v>
      </c>
      <c r="C37" s="3">
        <v>0</v>
      </c>
      <c r="E37" s="143">
        <f t="shared" si="0"/>
        <v>2885.1029453853325</v>
      </c>
      <c r="F37" s="144">
        <f>0</f>
        <v>0</v>
      </c>
      <c r="G37" s="144">
        <f t="shared" si="1"/>
        <v>5.75</v>
      </c>
      <c r="J37" s="93">
        <f t="shared" si="40"/>
        <v>0.10035643198967395</v>
      </c>
      <c r="K37" s="93">
        <f t="shared" si="41"/>
        <v>0</v>
      </c>
      <c r="L37" s="93"/>
      <c r="M37" s="86">
        <f t="shared" si="42"/>
        <v>4.7996554429844185E-2</v>
      </c>
      <c r="N37" s="126">
        <f>IF(LEFT(C$5,1)="m", 30*DEGREES(M37)/(A37-A36), 100*DEGREES(M37)/(A37-A36))</f>
        <v>2.3571428571428634</v>
      </c>
      <c r="O37" s="86">
        <f t="shared" si="43"/>
        <v>1.0001920166708391</v>
      </c>
      <c r="P37" s="108">
        <f t="shared" si="44"/>
        <v>4.3407891168386383</v>
      </c>
      <c r="Q37" s="108">
        <f t="shared" si="45"/>
        <v>0</v>
      </c>
      <c r="R37" s="108">
        <f t="shared" si="46"/>
        <v>34.726393444553693</v>
      </c>
      <c r="S37" s="95">
        <f t="shared" si="47"/>
        <v>189.90748447640112</v>
      </c>
      <c r="T37" s="95">
        <f t="shared" si="48"/>
        <v>0</v>
      </c>
      <c r="U37" s="95">
        <f t="shared" si="49"/>
        <v>2885.1029453853325</v>
      </c>
      <c r="V37" s="107"/>
      <c r="W37" s="86">
        <f t="shared" si="50"/>
        <v>-4.7996554429844074E-2</v>
      </c>
      <c r="X37" s="126">
        <f>IF(LEFT(C$5,1)="m", 30*DEGREES(W37)/(A37-A36), 100*DEGREES(W37)/(A37-A36))</f>
        <v>-2.3571428571428581</v>
      </c>
      <c r="Y37" s="86">
        <f t="shared" si="51"/>
        <v>1.0001920166708391</v>
      </c>
      <c r="Z37" s="108">
        <f t="shared" si="52"/>
        <v>4.3407891168386383</v>
      </c>
      <c r="AA37" s="108">
        <v>0</v>
      </c>
      <c r="AB37" s="108">
        <f t="shared" si="53"/>
        <v>34.726393444553693</v>
      </c>
      <c r="AC37" s="95">
        <f t="shared" si="54"/>
        <v>189.90748447640112</v>
      </c>
      <c r="AD37" s="95">
        <f t="shared" si="55"/>
        <v>0</v>
      </c>
      <c r="AE37" s="95">
        <f t="shared" si="56"/>
        <v>2885.1029453853325</v>
      </c>
      <c r="AF37" s="107"/>
      <c r="AG37" s="95">
        <f t="shared" si="57"/>
        <v>4.3412058007669865</v>
      </c>
      <c r="AH37" s="95">
        <f t="shared" si="58"/>
        <v>189.91927250042855</v>
      </c>
      <c r="AI37" s="108">
        <f t="shared" si="59"/>
        <v>34.728675266494143</v>
      </c>
      <c r="AJ37" s="108">
        <f t="shared" si="60"/>
        <v>34.728675266494143</v>
      </c>
      <c r="AK37" s="108">
        <f t="shared" si="61"/>
        <v>34.727623609279441</v>
      </c>
      <c r="AL37" s="95">
        <f t="shared" si="62"/>
        <v>2885.1976628657912</v>
      </c>
      <c r="AM37" s="139">
        <f t="shared" si="63"/>
        <v>1.1788024027424626E-2</v>
      </c>
      <c r="AN37" s="139">
        <f t="shared" si="64"/>
        <v>9.4717480458712089E-2</v>
      </c>
      <c r="AO37" s="118">
        <f t="shared" si="26"/>
        <v>0.2713247335058564</v>
      </c>
    </row>
    <row r="38" spans="1:41" x14ac:dyDescent="0.3">
      <c r="A38" s="3">
        <v>2953</v>
      </c>
      <c r="B38" s="3">
        <v>7.25</v>
      </c>
      <c r="C38" s="3">
        <v>0</v>
      </c>
      <c r="E38" s="143">
        <f t="shared" si="0"/>
        <v>2942.7284673187573</v>
      </c>
      <c r="F38" s="144">
        <f>0</f>
        <v>0</v>
      </c>
      <c r="G38" s="144">
        <f t="shared" si="1"/>
        <v>7.25</v>
      </c>
      <c r="J38" s="93">
        <f t="shared" si="40"/>
        <v>0.1265363707695889</v>
      </c>
      <c r="K38" s="93">
        <f t="shared" si="41"/>
        <v>0</v>
      </c>
      <c r="L38" s="93"/>
      <c r="M38" s="86">
        <f t="shared" si="42"/>
        <v>2.6179938779915757E-2</v>
      </c>
      <c r="N38" s="126">
        <f>IF(LEFT(C$5,1)="m", 30*DEGREES(M38)/(A38-A37), 100*DEGREES(M38)/(A38-A37))</f>
        <v>0.77586206896554133</v>
      </c>
      <c r="O38" s="86">
        <f t="shared" si="43"/>
        <v>1.0000571196811345</v>
      </c>
      <c r="P38" s="108">
        <f t="shared" si="44"/>
        <v>6.5655988951845456</v>
      </c>
      <c r="Q38" s="108">
        <f t="shared" si="45"/>
        <v>0</v>
      </c>
      <c r="R38" s="108">
        <f t="shared" si="46"/>
        <v>57.625521933424587</v>
      </c>
      <c r="S38" s="134">
        <f t="shared" si="47"/>
        <v>196.47308337158566</v>
      </c>
      <c r="T38" s="95">
        <f t="shared" si="48"/>
        <v>0</v>
      </c>
      <c r="U38" s="135">
        <f t="shared" si="49"/>
        <v>2942.7284673187573</v>
      </c>
      <c r="V38" s="107"/>
      <c r="W38" s="86">
        <f t="shared" si="50"/>
        <v>2.6179938779914952E-2</v>
      </c>
      <c r="X38" s="126">
        <f>IF(LEFT(C$5,1)="m", 30*DEGREES(W38)/(A38-A37), 100*DEGREES(W38)/(A38-A37))</f>
        <v>0.77586206896551746</v>
      </c>
      <c r="Y38" s="86">
        <f t="shared" si="51"/>
        <v>1.0000571196811345</v>
      </c>
      <c r="Z38" s="108">
        <f t="shared" si="52"/>
        <v>6.5655988951845456</v>
      </c>
      <c r="AA38" s="108">
        <v>0</v>
      </c>
      <c r="AB38" s="108">
        <f t="shared" si="53"/>
        <v>57.625521933424587</v>
      </c>
      <c r="AC38" s="134">
        <f t="shared" si="54"/>
        <v>196.47308337158566</v>
      </c>
      <c r="AD38" s="95">
        <f t="shared" si="55"/>
        <v>0</v>
      </c>
      <c r="AE38" s="135">
        <f t="shared" si="56"/>
        <v>2942.7284673187573</v>
      </c>
      <c r="AF38" s="107"/>
      <c r="AG38" s="95">
        <f t="shared" si="57"/>
        <v>6.5657863985385898</v>
      </c>
      <c r="AH38" s="134">
        <f t="shared" si="58"/>
        <v>196.48505889896714</v>
      </c>
      <c r="AI38" s="108">
        <f t="shared" si="59"/>
        <v>57.625961566351918</v>
      </c>
      <c r="AJ38" s="108">
        <f t="shared" si="60"/>
        <v>57.625961566351918</v>
      </c>
      <c r="AK38" s="108">
        <f t="shared" si="61"/>
        <v>57.624755503461763</v>
      </c>
      <c r="AL38" s="135">
        <f t="shared" si="62"/>
        <v>2942.8236244321433</v>
      </c>
      <c r="AM38" s="139">
        <f t="shared" si="63"/>
        <v>1.1975527381480333E-2</v>
      </c>
      <c r="AN38" s="139">
        <f t="shared" si="64"/>
        <v>9.5157113385994307E-2</v>
      </c>
      <c r="AO38" s="118">
        <f t="shared" si="26"/>
        <v>0.3740384336480822</v>
      </c>
    </row>
    <row r="39" spans="1:41" x14ac:dyDescent="0.3">
      <c r="A39" s="3">
        <v>3005</v>
      </c>
      <c r="B39" s="3">
        <v>5</v>
      </c>
      <c r="C39" s="3">
        <v>0</v>
      </c>
      <c r="E39" s="143">
        <f t="shared" si="0"/>
        <v>2994.4283023018834</v>
      </c>
      <c r="F39" s="144">
        <f>0</f>
        <v>0</v>
      </c>
      <c r="G39" s="144">
        <f t="shared" si="1"/>
        <v>5</v>
      </c>
      <c r="J39" s="93">
        <f t="shared" si="40"/>
        <v>8.7266462599716474E-2</v>
      </c>
      <c r="K39" s="93">
        <f t="shared" si="41"/>
        <v>0</v>
      </c>
      <c r="L39" s="93"/>
      <c r="M39" s="86">
        <f t="shared" si="42"/>
        <v>3.9269908169873302E-2</v>
      </c>
      <c r="N39" s="126">
        <f>IF(LEFT(C$5,1)="m", 30*DEGREES(M39)/(A39-A38), 100*DEGREES(M39)/(A39-A38))</f>
        <v>1.2980769230769527</v>
      </c>
      <c r="O39" s="86">
        <f t="shared" si="43"/>
        <v>1.0001285302949958</v>
      </c>
      <c r="P39" s="108">
        <f t="shared" si="44"/>
        <v>5.5479354951161719</v>
      </c>
      <c r="Q39" s="108">
        <f t="shared" si="45"/>
        <v>0</v>
      </c>
      <c r="R39" s="108">
        <f t="shared" si="46"/>
        <v>51.699834983126181</v>
      </c>
      <c r="S39" s="95">
        <f t="shared" si="47"/>
        <v>202.02101886670184</v>
      </c>
      <c r="T39" s="95">
        <f t="shared" si="48"/>
        <v>0</v>
      </c>
      <c r="U39" s="95">
        <f t="shared" si="49"/>
        <v>2994.4283023018834</v>
      </c>
      <c r="V39" s="107"/>
      <c r="W39" s="86">
        <f t="shared" si="50"/>
        <v>-3.9269908169872428E-2</v>
      </c>
      <c r="X39" s="126">
        <f>IF(LEFT(C$5,1)="m", 30*DEGREES(W39)/(A39-A38), 100*DEGREES(W39)/(A39-A38))</f>
        <v>-1.2980769230769236</v>
      </c>
      <c r="Y39" s="86">
        <f t="shared" si="51"/>
        <v>1.0001285302949958</v>
      </c>
      <c r="Z39" s="108">
        <f t="shared" si="52"/>
        <v>5.5479354951161719</v>
      </c>
      <c r="AA39" s="108">
        <v>0</v>
      </c>
      <c r="AB39" s="108">
        <f t="shared" si="53"/>
        <v>51.699834983126181</v>
      </c>
      <c r="AC39" s="95">
        <f t="shared" si="54"/>
        <v>202.02101886670184</v>
      </c>
      <c r="AD39" s="95">
        <f t="shared" si="55"/>
        <v>0</v>
      </c>
      <c r="AE39" s="95">
        <f t="shared" si="56"/>
        <v>2994.4283023018834</v>
      </c>
      <c r="AF39" s="107"/>
      <c r="AG39" s="95">
        <f t="shared" si="57"/>
        <v>5.5482919950610183</v>
      </c>
      <c r="AH39" s="95">
        <f t="shared" si="58"/>
        <v>202.03335089402816</v>
      </c>
      <c r="AI39" s="108">
        <f t="shared" si="59"/>
        <v>51.702304986981929</v>
      </c>
      <c r="AJ39" s="108">
        <f t="shared" si="60"/>
        <v>51.702304986981929</v>
      </c>
      <c r="AK39" s="108">
        <f t="shared" si="61"/>
        <v>51.70145285626414</v>
      </c>
      <c r="AL39" s="95">
        <f t="shared" si="62"/>
        <v>2994.5259294191251</v>
      </c>
      <c r="AM39" s="139">
        <f t="shared" si="63"/>
        <v>1.2332027326323214E-2</v>
      </c>
      <c r="AN39" s="139">
        <f t="shared" si="64"/>
        <v>9.7627117241700034E-2</v>
      </c>
      <c r="AO39" s="118">
        <f t="shared" si="26"/>
        <v>0.297695013018073</v>
      </c>
    </row>
    <row r="40" spans="1:41" x14ac:dyDescent="0.3">
      <c r="A40" s="3">
        <v>3130</v>
      </c>
      <c r="B40" s="3">
        <v>5.5</v>
      </c>
      <c r="C40" s="3">
        <v>0</v>
      </c>
      <c r="E40" s="143">
        <f t="shared" si="0"/>
        <v>3118.9035232757487</v>
      </c>
      <c r="F40" s="144">
        <f>0</f>
        <v>0</v>
      </c>
      <c r="G40" s="144">
        <f t="shared" si="1"/>
        <v>5.5</v>
      </c>
      <c r="J40" s="93">
        <f t="shared" si="40"/>
        <v>9.599310885968812E-2</v>
      </c>
      <c r="K40" s="93">
        <f t="shared" si="41"/>
        <v>0</v>
      </c>
      <c r="L40" s="93"/>
      <c r="M40" s="86">
        <f t="shared" si="42"/>
        <v>8.7266462599691064E-3</v>
      </c>
      <c r="N40" s="126">
        <f>IF(LEFT(C$5,1)="m", 30*DEGREES(M40)/(A40-A39), 100*DEGREES(M40)/(A40-A39))</f>
        <v>0.11999999999996505</v>
      </c>
      <c r="O40" s="86">
        <f t="shared" si="43"/>
        <v>1.000006346244575</v>
      </c>
      <c r="P40" s="108">
        <f t="shared" si="44"/>
        <v>11.437666040008043</v>
      </c>
      <c r="Q40" s="108">
        <f t="shared" si="45"/>
        <v>0</v>
      </c>
      <c r="R40" s="108">
        <f t="shared" si="46"/>
        <v>124.4752209738654</v>
      </c>
      <c r="S40" s="95">
        <f t="shared" si="47"/>
        <v>213.45868490670989</v>
      </c>
      <c r="T40" s="95">
        <f t="shared" si="48"/>
        <v>0</v>
      </c>
      <c r="U40" s="95">
        <f t="shared" si="49"/>
        <v>3118.9035232757487</v>
      </c>
      <c r="V40" s="107"/>
      <c r="W40" s="86">
        <f t="shared" si="50"/>
        <v>8.726646259971646E-3</v>
      </c>
      <c r="X40" s="126">
        <f>IF(LEFT(C$5,1)="m", 30*DEGREES(W40)/(A40-A39), 100*DEGREES(W40)/(A40-A39))</f>
        <v>0.11999999999999997</v>
      </c>
      <c r="Y40" s="86">
        <f t="shared" si="51"/>
        <v>1.000006346244575</v>
      </c>
      <c r="Z40" s="108">
        <f t="shared" si="52"/>
        <v>11.437666040008043</v>
      </c>
      <c r="AA40" s="108">
        <v>0</v>
      </c>
      <c r="AB40" s="108">
        <f t="shared" si="53"/>
        <v>124.4752209738654</v>
      </c>
      <c r="AC40" s="95">
        <f t="shared" si="54"/>
        <v>213.45868490670989</v>
      </c>
      <c r="AD40" s="95">
        <f t="shared" si="55"/>
        <v>0</v>
      </c>
      <c r="AE40" s="95">
        <f t="shared" si="56"/>
        <v>3118.9035232757487</v>
      </c>
      <c r="AF40" s="107"/>
      <c r="AG40" s="95">
        <f t="shared" si="57"/>
        <v>11.437702332925296</v>
      </c>
      <c r="AH40" s="95">
        <f t="shared" si="58"/>
        <v>213.47105322695344</v>
      </c>
      <c r="AI40" s="108">
        <f t="shared" si="59"/>
        <v>124.47451139863216</v>
      </c>
      <c r="AJ40" s="108">
        <f t="shared" si="60"/>
        <v>124.47451139863216</v>
      </c>
      <c r="AK40" s="108">
        <f t="shared" si="61"/>
        <v>124.4734068504316</v>
      </c>
      <c r="AL40" s="95">
        <f t="shared" si="62"/>
        <v>3119.0004408177574</v>
      </c>
      <c r="AM40" s="139">
        <f t="shared" si="63"/>
        <v>1.2368320243552944E-2</v>
      </c>
      <c r="AN40" s="139">
        <f t="shared" si="64"/>
        <v>9.6917542008668534E-2</v>
      </c>
      <c r="AO40" s="118">
        <f t="shared" si="26"/>
        <v>0.52548860136784692</v>
      </c>
    </row>
    <row r="41" spans="1:41" x14ac:dyDescent="0.3">
      <c r="A41" s="3">
        <v>3178</v>
      </c>
      <c r="B41" s="3">
        <v>5</v>
      </c>
      <c r="C41" s="3">
        <v>0</v>
      </c>
      <c r="E41" s="143">
        <f t="shared" si="0"/>
        <v>3166.7020081297132</v>
      </c>
      <c r="F41" s="144">
        <f>0</f>
        <v>0</v>
      </c>
      <c r="G41" s="144">
        <f t="shared" si="1"/>
        <v>5</v>
      </c>
      <c r="J41" s="93">
        <f t="shared" si="40"/>
        <v>8.7266462599716474E-2</v>
      </c>
      <c r="K41" s="93">
        <f t="shared" si="41"/>
        <v>0</v>
      </c>
      <c r="L41" s="93"/>
      <c r="M41" s="86">
        <f t="shared" si="42"/>
        <v>8.7266462599691064E-3</v>
      </c>
      <c r="N41" s="126">
        <f>IF(LEFT(C$5,1)="m", 30*DEGREES(M41)/(A41-A40), 100*DEGREES(M41)/(A41-A40))</f>
        <v>0.31249999999990902</v>
      </c>
      <c r="O41" s="86">
        <f t="shared" si="43"/>
        <v>1.000006346244575</v>
      </c>
      <c r="P41" s="108">
        <f t="shared" si="44"/>
        <v>4.3920637593630882</v>
      </c>
      <c r="Q41" s="108">
        <f t="shared" si="45"/>
        <v>0</v>
      </c>
      <c r="R41" s="108">
        <f t="shared" si="46"/>
        <v>47.798484853964318</v>
      </c>
      <c r="S41" s="134">
        <f t="shared" si="47"/>
        <v>217.85074866607297</v>
      </c>
      <c r="T41" s="95">
        <f t="shared" si="48"/>
        <v>0</v>
      </c>
      <c r="U41" s="135">
        <f t="shared" si="49"/>
        <v>3166.7020081297132</v>
      </c>
      <c r="V41" s="107"/>
      <c r="W41" s="86">
        <f t="shared" si="50"/>
        <v>-8.726646259971646E-3</v>
      </c>
      <c r="X41" s="126">
        <f>IF(LEFT(C$5,1)="m", 30*DEGREES(W41)/(A41-A40), 100*DEGREES(W41)/(A41-A40))</f>
        <v>-0.31249999999999994</v>
      </c>
      <c r="Y41" s="86">
        <f t="shared" si="51"/>
        <v>1.000006346244575</v>
      </c>
      <c r="Z41" s="108">
        <f t="shared" si="52"/>
        <v>4.3920637593630882</v>
      </c>
      <c r="AA41" s="108">
        <v>0</v>
      </c>
      <c r="AB41" s="108">
        <f t="shared" si="53"/>
        <v>47.798484853964318</v>
      </c>
      <c r="AC41" s="134">
        <f t="shared" si="54"/>
        <v>217.85074866607297</v>
      </c>
      <c r="AD41" s="95">
        <f t="shared" si="55"/>
        <v>0</v>
      </c>
      <c r="AE41" s="135">
        <f t="shared" si="56"/>
        <v>3166.7020081297132</v>
      </c>
      <c r="AF41" s="107"/>
      <c r="AG41" s="95">
        <f t="shared" si="57"/>
        <v>4.3920776958433141</v>
      </c>
      <c r="AH41" s="134">
        <f t="shared" si="58"/>
        <v>217.86313092279676</v>
      </c>
      <c r="AI41" s="108">
        <f t="shared" si="59"/>
        <v>47.798212377074748</v>
      </c>
      <c r="AJ41" s="108">
        <f t="shared" si="60"/>
        <v>47.798212377074748</v>
      </c>
      <c r="AK41" s="108">
        <f t="shared" si="61"/>
        <v>47.797788230565729</v>
      </c>
      <c r="AL41" s="135">
        <f t="shared" si="62"/>
        <v>3166.7986531948322</v>
      </c>
      <c r="AM41" s="139">
        <f t="shared" si="63"/>
        <v>1.2382256723782348E-2</v>
      </c>
      <c r="AN41" s="139">
        <f t="shared" si="64"/>
        <v>9.6645065118991624E-2</v>
      </c>
      <c r="AO41" s="118">
        <f t="shared" si="26"/>
        <v>0.20178762292525321</v>
      </c>
    </row>
    <row r="42" spans="1:41" x14ac:dyDescent="0.3">
      <c r="A42" s="3">
        <v>3480</v>
      </c>
      <c r="B42" s="3">
        <v>6</v>
      </c>
      <c r="C42" s="3">
        <v>0</v>
      </c>
      <c r="E42" s="143">
        <f t="shared" si="0"/>
        <v>3467.3078445954407</v>
      </c>
      <c r="F42" s="144">
        <f>0</f>
        <v>0</v>
      </c>
      <c r="G42" s="144">
        <f t="shared" si="1"/>
        <v>6</v>
      </c>
      <c r="J42" s="93">
        <f t="shared" si="40"/>
        <v>0.10471975511965978</v>
      </c>
      <c r="K42" s="93">
        <f t="shared" si="41"/>
        <v>0</v>
      </c>
      <c r="L42" s="93"/>
      <c r="M42" s="86">
        <f t="shared" si="42"/>
        <v>1.7453292519941543E-2</v>
      </c>
      <c r="N42" s="126">
        <f>IF(LEFT(C$5,1)="m", 30*DEGREES(M42)/(A42-A41), 100*DEGREES(M42)/(A42-A41))</f>
        <v>9.9337748344360891E-2</v>
      </c>
      <c r="O42" s="86">
        <f t="shared" si="43"/>
        <v>1.0000253855582708</v>
      </c>
      <c r="P42" s="108">
        <f t="shared" si="44"/>
        <v>28.945049875909845</v>
      </c>
      <c r="Q42" s="108">
        <f t="shared" si="45"/>
        <v>0</v>
      </c>
      <c r="R42" s="108">
        <f t="shared" si="46"/>
        <v>300.60583646572752</v>
      </c>
      <c r="S42" s="95">
        <f t="shared" si="47"/>
        <v>246.79579854198283</v>
      </c>
      <c r="T42" s="95">
        <f t="shared" si="48"/>
        <v>0</v>
      </c>
      <c r="U42" s="95">
        <f t="shared" si="49"/>
        <v>3467.3078445954407</v>
      </c>
      <c r="V42" s="107"/>
      <c r="W42" s="86">
        <f t="shared" si="50"/>
        <v>1.7453292519943306E-2</v>
      </c>
      <c r="X42" s="126">
        <f>IF(LEFT(C$5,1)="m", 30*DEGREES(W42)/(A42-A41), 100*DEGREES(W42)/(A42-A41))</f>
        <v>9.9337748344370938E-2</v>
      </c>
      <c r="Y42" s="86">
        <f t="shared" si="51"/>
        <v>1.0000253855582708</v>
      </c>
      <c r="Z42" s="108">
        <f t="shared" si="52"/>
        <v>28.945049875909845</v>
      </c>
      <c r="AA42" s="108">
        <v>0</v>
      </c>
      <c r="AB42" s="108">
        <f t="shared" si="53"/>
        <v>300.60583646572752</v>
      </c>
      <c r="AC42" s="95">
        <f t="shared" si="54"/>
        <v>246.79579854198283</v>
      </c>
      <c r="AD42" s="95">
        <f t="shared" si="55"/>
        <v>0</v>
      </c>
      <c r="AE42" s="95">
        <f t="shared" si="56"/>
        <v>3467.3078445954407</v>
      </c>
      <c r="AF42" s="107"/>
      <c r="AG42" s="95">
        <f t="shared" si="57"/>
        <v>28.945417261107643</v>
      </c>
      <c r="AH42" s="95">
        <f t="shared" si="58"/>
        <v>246.80854818390441</v>
      </c>
      <c r="AI42" s="108">
        <f t="shared" si="59"/>
        <v>300.60643666112367</v>
      </c>
      <c r="AJ42" s="108">
        <f t="shared" si="60"/>
        <v>300.60643666112367</v>
      </c>
      <c r="AK42" s="108">
        <f t="shared" si="61"/>
        <v>300.60322141535937</v>
      </c>
      <c r="AL42" s="95">
        <f t="shared" si="62"/>
        <v>3467.4050898559558</v>
      </c>
      <c r="AM42" s="139">
        <f t="shared" si="63"/>
        <v>1.2749641921573129E-2</v>
      </c>
      <c r="AN42" s="139">
        <f t="shared" si="64"/>
        <v>9.7245260515137488E-2</v>
      </c>
      <c r="AO42" s="118">
        <f t="shared" si="26"/>
        <v>1.39356333887633</v>
      </c>
    </row>
    <row r="43" spans="1:41" x14ac:dyDescent="0.3">
      <c r="A43" s="3">
        <v>3609</v>
      </c>
      <c r="B43" s="3">
        <v>6</v>
      </c>
      <c r="C43" s="3">
        <v>0</v>
      </c>
      <c r="E43" s="143">
        <f t="shared" si="0"/>
        <v>3595.6011690979481</v>
      </c>
      <c r="F43" s="144">
        <f>0</f>
        <v>0</v>
      </c>
      <c r="G43" s="144">
        <f t="shared" si="1"/>
        <v>6</v>
      </c>
      <c r="J43" s="93">
        <f t="shared" si="40"/>
        <v>0.10471975511965978</v>
      </c>
      <c r="K43" s="93">
        <f t="shared" si="41"/>
        <v>0</v>
      </c>
      <c r="L43" s="93"/>
      <c r="M43" s="86">
        <f t="shared" si="42"/>
        <v>0</v>
      </c>
      <c r="N43" s="126">
        <f>IF(LEFT(C$5,1)="m", 30*DEGREES(M43)/(A43-A42), 100*DEGREES(M43)/(A43-A42))</f>
        <v>0</v>
      </c>
      <c r="O43" s="86">
        <f t="shared" si="43"/>
        <v>1</v>
      </c>
      <c r="P43" s="108">
        <f t="shared" si="44"/>
        <v>13.484171761527298</v>
      </c>
      <c r="Q43" s="108">
        <f t="shared" si="45"/>
        <v>0</v>
      </c>
      <c r="R43" s="108">
        <f t="shared" si="46"/>
        <v>128.29332450250726</v>
      </c>
      <c r="S43" s="95">
        <f t="shared" si="47"/>
        <v>260.27997030351014</v>
      </c>
      <c r="T43" s="95">
        <f t="shared" si="48"/>
        <v>0</v>
      </c>
      <c r="U43" s="95">
        <f t="shared" si="49"/>
        <v>3595.6011690979481</v>
      </c>
      <c r="V43" s="107"/>
      <c r="W43" s="86">
        <f t="shared" si="50"/>
        <v>0</v>
      </c>
      <c r="X43" s="126">
        <f>IF(LEFT(C$5,1)="m", 30*DEGREES(W43)/(A43-A42), 100*DEGREES(W43)/(A43-A42))</f>
        <v>0</v>
      </c>
      <c r="Y43" s="86">
        <f t="shared" si="51"/>
        <v>1</v>
      </c>
      <c r="Z43" s="108">
        <f t="shared" si="52"/>
        <v>13.484171761527298</v>
      </c>
      <c r="AA43" s="108">
        <v>0</v>
      </c>
      <c r="AB43" s="108">
        <f t="shared" si="53"/>
        <v>128.29332450250726</v>
      </c>
      <c r="AC43" s="95">
        <f t="shared" si="54"/>
        <v>260.27997030351014</v>
      </c>
      <c r="AD43" s="95">
        <f t="shared" si="55"/>
        <v>0</v>
      </c>
      <c r="AE43" s="95">
        <f t="shared" si="56"/>
        <v>3595.6011690979481</v>
      </c>
      <c r="AF43" s="107"/>
      <c r="AG43" s="95">
        <f t="shared" si="57"/>
        <v>13.484171761527298</v>
      </c>
      <c r="AH43" s="95">
        <f t="shared" si="58"/>
        <v>260.29271994543171</v>
      </c>
      <c r="AI43" s="108">
        <f t="shared" si="59"/>
        <v>128.29137821940682</v>
      </c>
      <c r="AJ43" s="108">
        <f t="shared" si="60"/>
        <v>128.29137821940682</v>
      </c>
      <c r="AK43" s="108">
        <f t="shared" si="61"/>
        <v>128.28943193630639</v>
      </c>
      <c r="AL43" s="95">
        <f t="shared" si="62"/>
        <v>3595.6964680753626</v>
      </c>
      <c r="AM43" s="139">
        <f t="shared" si="63"/>
        <v>1.2749641921573129E-2</v>
      </c>
      <c r="AN43" s="139">
        <f t="shared" si="64"/>
        <v>9.5298977414586261E-2</v>
      </c>
      <c r="AO43" s="118">
        <f t="shared" si="26"/>
        <v>0.70862178059317815</v>
      </c>
    </row>
    <row r="44" spans="1:41" x14ac:dyDescent="0.3">
      <c r="A44" s="3">
        <v>3715</v>
      </c>
      <c r="B44" s="3">
        <v>5</v>
      </c>
      <c r="C44" s="3">
        <v>0</v>
      </c>
      <c r="E44" s="143">
        <f t="shared" si="0"/>
        <v>3701.1118269302897</v>
      </c>
      <c r="F44" s="144">
        <f>0</f>
        <v>0</v>
      </c>
      <c r="G44" s="144">
        <f t="shared" si="1"/>
        <v>5</v>
      </c>
      <c r="J44" s="93">
        <f t="shared" si="40"/>
        <v>8.7266462599716474E-2</v>
      </c>
      <c r="K44" s="93">
        <f t="shared" si="41"/>
        <v>0</v>
      </c>
      <c r="L44" s="93"/>
      <c r="M44" s="86">
        <f t="shared" si="42"/>
        <v>1.7453292519941543E-2</v>
      </c>
      <c r="N44" s="126">
        <f>IF(LEFT(C$5,1)="m", 30*DEGREES(M44)/(A44-A43), 100*DEGREES(M44)/(A44-A43))</f>
        <v>0.28301886792449987</v>
      </c>
      <c r="O44" s="86">
        <f t="shared" si="43"/>
        <v>1.0000253855582708</v>
      </c>
      <c r="P44" s="108">
        <f t="shared" si="44"/>
        <v>10.15952081737233</v>
      </c>
      <c r="Q44" s="108">
        <f t="shared" si="45"/>
        <v>0</v>
      </c>
      <c r="R44" s="108">
        <f t="shared" si="46"/>
        <v>105.51065783234145</v>
      </c>
      <c r="S44" s="134">
        <f t="shared" si="47"/>
        <v>270.43949112088245</v>
      </c>
      <c r="T44" s="95">
        <f t="shared" si="48"/>
        <v>0</v>
      </c>
      <c r="U44" s="135">
        <f t="shared" si="49"/>
        <v>3701.1118269302897</v>
      </c>
      <c r="V44" s="107"/>
      <c r="W44" s="86">
        <f t="shared" si="50"/>
        <v>-1.7453292519943306E-2</v>
      </c>
      <c r="X44" s="126">
        <f>IF(LEFT(C$5,1)="m", 30*DEGREES(W44)/(A44-A43), 100*DEGREES(W44)/(A44-A43))</f>
        <v>-0.28301886792452852</v>
      </c>
      <c r="Y44" s="86">
        <f t="shared" si="51"/>
        <v>1.0000253855582708</v>
      </c>
      <c r="Z44" s="108">
        <f t="shared" si="52"/>
        <v>10.15952081737233</v>
      </c>
      <c r="AA44" s="108">
        <v>0</v>
      </c>
      <c r="AB44" s="108">
        <f t="shared" si="53"/>
        <v>105.51065783234145</v>
      </c>
      <c r="AC44" s="134">
        <f t="shared" si="54"/>
        <v>270.43949112088245</v>
      </c>
      <c r="AD44" s="95">
        <f t="shared" si="55"/>
        <v>0</v>
      </c>
      <c r="AE44" s="135">
        <f t="shared" si="56"/>
        <v>3701.1118269302897</v>
      </c>
      <c r="AF44" s="107"/>
      <c r="AG44" s="95">
        <f t="shared" si="57"/>
        <v>10.159649767143742</v>
      </c>
      <c r="AH44" s="134">
        <f t="shared" si="58"/>
        <v>270.45236971257543</v>
      </c>
      <c r="AI44" s="108">
        <f t="shared" si="59"/>
        <v>105.51086849695069</v>
      </c>
      <c r="AJ44" s="108">
        <f t="shared" si="60"/>
        <v>105.51086849695069</v>
      </c>
      <c r="AK44" s="108">
        <f t="shared" si="61"/>
        <v>105.50973996698043</v>
      </c>
      <c r="AL44" s="135">
        <f t="shared" si="62"/>
        <v>3701.2073365723131</v>
      </c>
      <c r="AM44" s="139">
        <f t="shared" si="63"/>
        <v>1.2878591692981445E-2</v>
      </c>
      <c r="AN44" s="139">
        <f t="shared" si="64"/>
        <v>9.550964202344403E-2</v>
      </c>
      <c r="AO44" s="118">
        <f t="shared" si="26"/>
        <v>0.48913150304930786</v>
      </c>
    </row>
    <row r="45" spans="1:41" x14ac:dyDescent="0.3">
      <c r="A45" s="3">
        <v>3785</v>
      </c>
      <c r="B45" s="3">
        <v>7</v>
      </c>
      <c r="C45" s="3">
        <v>0</v>
      </c>
      <c r="E45" s="143">
        <f t="shared" si="0"/>
        <v>3770.7248252584741</v>
      </c>
      <c r="F45" s="144">
        <f>0</f>
        <v>0</v>
      </c>
      <c r="G45" s="144">
        <f t="shared" si="1"/>
        <v>7</v>
      </c>
      <c r="J45" s="93">
        <f t="shared" si="40"/>
        <v>0.12217304763960307</v>
      </c>
      <c r="K45" s="93">
        <f t="shared" si="41"/>
        <v>0</v>
      </c>
      <c r="L45" s="93"/>
      <c r="M45" s="86">
        <f t="shared" si="42"/>
        <v>3.4906585039885529E-2</v>
      </c>
      <c r="N45" s="126">
        <f>IF(LEFT(C$5,1)="m", 30*DEGREES(M45)/(A45-A44), 100*DEGREES(M45)/(A45-A44))</f>
        <v>0.85714285714283101</v>
      </c>
      <c r="O45" s="86">
        <f t="shared" si="43"/>
        <v>1.0001015515136908</v>
      </c>
      <c r="P45" s="108">
        <f t="shared" si="44"/>
        <v>7.3166209538346338</v>
      </c>
      <c r="Q45" s="108">
        <f t="shared" si="45"/>
        <v>0</v>
      </c>
      <c r="R45" s="108">
        <f t="shared" si="46"/>
        <v>69.612998328184389</v>
      </c>
      <c r="S45" s="95">
        <f t="shared" si="47"/>
        <v>277.75611207471707</v>
      </c>
      <c r="T45" s="95">
        <f t="shared" si="48"/>
        <v>0</v>
      </c>
      <c r="U45" s="95">
        <f t="shared" si="49"/>
        <v>3770.7248252584741</v>
      </c>
      <c r="V45" s="107"/>
      <c r="W45" s="86">
        <f t="shared" si="50"/>
        <v>3.4906585039886598E-2</v>
      </c>
      <c r="X45" s="126">
        <f>IF(LEFT(C$5,1)="m", 30*DEGREES(W45)/(A45-A44), 100*DEGREES(W45)/(A45-A44))</f>
        <v>0.85714285714285732</v>
      </c>
      <c r="Y45" s="86">
        <f t="shared" si="51"/>
        <v>1.0001015515136908</v>
      </c>
      <c r="Z45" s="108">
        <f t="shared" si="52"/>
        <v>7.3166209538346338</v>
      </c>
      <c r="AA45" s="108">
        <v>0</v>
      </c>
      <c r="AB45" s="108">
        <f t="shared" si="53"/>
        <v>69.612998328184389</v>
      </c>
      <c r="AC45" s="95">
        <f t="shared" si="54"/>
        <v>277.75611207471707</v>
      </c>
      <c r="AD45" s="95">
        <f t="shared" si="55"/>
        <v>0</v>
      </c>
      <c r="AE45" s="95">
        <f t="shared" si="56"/>
        <v>3770.7248252584741</v>
      </c>
      <c r="AF45" s="107"/>
      <c r="AG45" s="95">
        <f t="shared" si="57"/>
        <v>7.3169924287357428</v>
      </c>
      <c r="AH45" s="95">
        <f t="shared" si="58"/>
        <v>277.76936214131115</v>
      </c>
      <c r="AI45" s="108">
        <f t="shared" si="59"/>
        <v>69.615476553166488</v>
      </c>
      <c r="AJ45" s="108">
        <f t="shared" si="60"/>
        <v>69.615476553166488</v>
      </c>
      <c r="AK45" s="108">
        <f t="shared" si="61"/>
        <v>69.614420430553849</v>
      </c>
      <c r="AL45" s="95">
        <f t="shared" si="62"/>
        <v>3770.8228131254796</v>
      </c>
      <c r="AM45" s="139">
        <f t="shared" si="63"/>
        <v>1.3250066594082455E-2</v>
      </c>
      <c r="AN45" s="139">
        <f t="shared" si="64"/>
        <v>9.7987867005485896E-2</v>
      </c>
      <c r="AO45" s="118">
        <f t="shared" si="26"/>
        <v>0.38452344683350748</v>
      </c>
    </row>
    <row r="46" spans="1:41" x14ac:dyDescent="0.3">
      <c r="A46" s="3">
        <v>3864.3</v>
      </c>
      <c r="B46" s="3">
        <v>7</v>
      </c>
      <c r="C46" s="3">
        <v>0</v>
      </c>
      <c r="E46" s="143">
        <f t="shared" si="0"/>
        <v>3849.4337350836313</v>
      </c>
      <c r="F46" s="144">
        <f>0</f>
        <v>0</v>
      </c>
      <c r="G46" s="144">
        <f t="shared" si="1"/>
        <v>7</v>
      </c>
      <c r="J46" s="93">
        <f t="shared" si="40"/>
        <v>0.12217304763960307</v>
      </c>
      <c r="K46" s="93">
        <f t="shared" si="41"/>
        <v>0</v>
      </c>
      <c r="L46" s="93"/>
      <c r="M46" s="86">
        <f t="shared" si="42"/>
        <v>0</v>
      </c>
      <c r="N46" s="126">
        <f>IF(LEFT(C$5,1)="m", 30*DEGREES(M46)/(A46-A45), 100*DEGREES(M46)/(A46-A45))</f>
        <v>0</v>
      </c>
      <c r="O46" s="86">
        <f t="shared" si="43"/>
        <v>1</v>
      </c>
      <c r="P46" s="108">
        <f t="shared" si="44"/>
        <v>9.6642389320282174</v>
      </c>
      <c r="Q46" s="108">
        <f t="shared" si="45"/>
        <v>0</v>
      </c>
      <c r="R46" s="108">
        <f t="shared" si="46"/>
        <v>78.708909825157008</v>
      </c>
      <c r="S46" s="95">
        <f t="shared" si="47"/>
        <v>287.42035100674531</v>
      </c>
      <c r="T46" s="95">
        <f t="shared" si="48"/>
        <v>0</v>
      </c>
      <c r="U46" s="95">
        <f t="shared" si="49"/>
        <v>3849.4337350836313</v>
      </c>
      <c r="V46" s="107"/>
      <c r="W46" s="86">
        <f t="shared" si="50"/>
        <v>0</v>
      </c>
      <c r="X46" s="126">
        <f>IF(LEFT(C$5,1)="m", 30*DEGREES(W46)/(A46-A45), 100*DEGREES(W46)/(A46-A45))</f>
        <v>0</v>
      </c>
      <c r="Y46" s="86">
        <f t="shared" si="51"/>
        <v>1</v>
      </c>
      <c r="Z46" s="108">
        <f t="shared" si="52"/>
        <v>9.6642389320282174</v>
      </c>
      <c r="AA46" s="108">
        <v>0</v>
      </c>
      <c r="AB46" s="108">
        <f t="shared" si="53"/>
        <v>78.708909825157008</v>
      </c>
      <c r="AC46" s="95">
        <f t="shared" si="54"/>
        <v>287.42035100674531</v>
      </c>
      <c r="AD46" s="95">
        <f t="shared" si="55"/>
        <v>0</v>
      </c>
      <c r="AE46" s="95">
        <f t="shared" si="56"/>
        <v>3849.4337350836313</v>
      </c>
      <c r="AF46" s="107"/>
      <c r="AG46" s="95">
        <f t="shared" si="57"/>
        <v>9.6642389320282174</v>
      </c>
      <c r="AH46" s="95">
        <f t="shared" si="58"/>
        <v>287.43360107333939</v>
      </c>
      <c r="AI46" s="108">
        <f t="shared" si="59"/>
        <v>78.706690333135256</v>
      </c>
      <c r="AJ46" s="108">
        <f t="shared" si="60"/>
        <v>78.706690333135256</v>
      </c>
      <c r="AK46" s="108">
        <f t="shared" si="61"/>
        <v>78.704470841113505</v>
      </c>
      <c r="AL46" s="95">
        <f t="shared" si="62"/>
        <v>3849.5295034586147</v>
      </c>
      <c r="AM46" s="139">
        <f t="shared" si="63"/>
        <v>1.3250066594082455E-2</v>
      </c>
      <c r="AN46" s="139">
        <f t="shared" si="64"/>
        <v>9.5768374983435933E-2</v>
      </c>
      <c r="AO46" s="118">
        <f t="shared" si="26"/>
        <v>0.59330966686492015</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A9F38-D181-4B87-B02C-F4EEBCEE9712}">
  <dimension ref="A1:AD413"/>
  <sheetViews>
    <sheetView topLeftCell="A179" zoomScale="90" zoomScaleNormal="90" workbookViewId="0">
      <selection activeCell="A191" sqref="A191:XFD191"/>
    </sheetView>
  </sheetViews>
  <sheetFormatPr defaultRowHeight="14.4" x14ac:dyDescent="0.3"/>
  <cols>
    <col min="2" max="2" width="9.44140625" bestFit="1" customWidth="1"/>
    <col min="7" max="7" width="11.109375" bestFit="1" customWidth="1"/>
    <col min="8" max="8" width="10" bestFit="1" customWidth="1"/>
    <col min="9" max="9" width="11.5546875" bestFit="1" customWidth="1"/>
    <col min="11" max="12" width="9.109375" style="107"/>
    <col min="18" max="18" width="13.33203125" bestFit="1" customWidth="1"/>
    <col min="22" max="22" width="8.6640625" style="107"/>
    <col min="24" max="24" width="12" bestFit="1" customWidth="1"/>
  </cols>
  <sheetData>
    <row r="1" spans="1:17" x14ac:dyDescent="0.3">
      <c r="A1" t="s">
        <v>242</v>
      </c>
    </row>
    <row r="2" spans="1:17" x14ac:dyDescent="0.3">
      <c r="A2" t="s">
        <v>243</v>
      </c>
    </row>
    <row r="3" spans="1:17" x14ac:dyDescent="0.3">
      <c r="A3" t="s">
        <v>241</v>
      </c>
      <c r="B3" s="117">
        <v>44984</v>
      </c>
    </row>
    <row r="5" spans="1:17" x14ac:dyDescent="0.3">
      <c r="E5" t="s">
        <v>295</v>
      </c>
    </row>
    <row r="6" spans="1:17" x14ac:dyDescent="0.3">
      <c r="C6" t="s">
        <v>284</v>
      </c>
      <c r="E6" t="s">
        <v>283</v>
      </c>
      <c r="H6" t="s">
        <v>258</v>
      </c>
      <c r="I6" t="s">
        <v>257</v>
      </c>
      <c r="J6" t="s">
        <v>275</v>
      </c>
      <c r="N6" s="107" t="s">
        <v>258</v>
      </c>
      <c r="O6" s="107" t="s">
        <v>257</v>
      </c>
      <c r="P6" t="s">
        <v>275</v>
      </c>
    </row>
    <row r="7" spans="1:17" x14ac:dyDescent="0.3">
      <c r="A7">
        <v>1</v>
      </c>
      <c r="B7" t="s">
        <v>253</v>
      </c>
      <c r="C7" s="70">
        <f>B61</f>
        <v>2840</v>
      </c>
      <c r="D7" t="s">
        <v>252</v>
      </c>
      <c r="E7" s="120">
        <f>AVERAGE(C18:C61)</f>
        <v>1.0397727272727273</v>
      </c>
      <c r="G7" t="s">
        <v>255</v>
      </c>
      <c r="H7" s="118">
        <f>F61</f>
        <v>54.154387368026356</v>
      </c>
      <c r="I7" s="118">
        <f>C7*SIN(RADIANS(E7))</f>
        <v>51.535950646932584</v>
      </c>
      <c r="M7" t="s">
        <v>285</v>
      </c>
      <c r="N7" s="118">
        <f>B61-H61</f>
        <v>0.62136579914067624</v>
      </c>
      <c r="O7" s="118">
        <f>0.5*C7*TAN(RADIANS(E7))^2</f>
        <v>0.46775159984729975</v>
      </c>
    </row>
    <row r="8" spans="1:17" x14ac:dyDescent="0.3">
      <c r="A8" t="s">
        <v>286</v>
      </c>
      <c r="B8" s="107" t="s">
        <v>253</v>
      </c>
      <c r="C8" s="70">
        <f>B89</f>
        <v>3012.5</v>
      </c>
      <c r="D8" s="107" t="s">
        <v>252</v>
      </c>
      <c r="E8" s="120">
        <f>AVERAGE(C66:C89)</f>
        <v>2.3333333333333335</v>
      </c>
      <c r="F8" s="107"/>
      <c r="G8" s="107" t="s">
        <v>255</v>
      </c>
      <c r="H8" s="118">
        <f>F89</f>
        <v>115.4174085981675</v>
      </c>
      <c r="I8" s="118">
        <f t="shared" ref="I8:I11" si="0">C8*SIN(RADIANS(E8))</f>
        <v>122.64819399883244</v>
      </c>
      <c r="J8" s="107"/>
      <c r="M8" s="107" t="s">
        <v>285</v>
      </c>
      <c r="N8" s="118">
        <f>B89-H89</f>
        <v>2.7176879046105569</v>
      </c>
      <c r="O8" s="118">
        <f t="shared" ref="O8:O11" si="1">0.5*C8*TAN(RADIANS(E8))^2</f>
        <v>2.500838972068903</v>
      </c>
    </row>
    <row r="9" spans="1:17" s="107" customFormat="1" x14ac:dyDescent="0.3">
      <c r="A9" s="107" t="s">
        <v>287</v>
      </c>
      <c r="B9" s="107" t="s">
        <v>253</v>
      </c>
      <c r="C9" s="70">
        <f>B113</f>
        <v>2440</v>
      </c>
      <c r="D9" s="107" t="s">
        <v>252</v>
      </c>
      <c r="E9" s="120">
        <f>AVERAGE(C95:C113)</f>
        <v>2.3157894736842106</v>
      </c>
      <c r="G9" s="107" t="s">
        <v>255</v>
      </c>
      <c r="H9" s="118">
        <f>F113</f>
        <v>69.155347985822601</v>
      </c>
      <c r="I9" s="118">
        <f t="shared" si="0"/>
        <v>98.593439414248095</v>
      </c>
      <c r="J9" s="123">
        <f>L113</f>
        <v>69.159607792135901</v>
      </c>
      <c r="M9" s="107" t="s">
        <v>285</v>
      </c>
      <c r="N9" s="118">
        <f>B113-H113</f>
        <v>2.03404429597731</v>
      </c>
      <c r="O9" s="118">
        <f t="shared" si="1"/>
        <v>1.9951974484577371</v>
      </c>
      <c r="P9" s="123">
        <f>O113</f>
        <v>1.948218281362593</v>
      </c>
    </row>
    <row r="10" spans="1:17" s="107" customFormat="1" x14ac:dyDescent="0.3">
      <c r="A10" s="107" t="s">
        <v>288</v>
      </c>
      <c r="B10" s="107" t="s">
        <v>253</v>
      </c>
      <c r="C10" s="70">
        <f>B147</f>
        <v>3439</v>
      </c>
      <c r="D10" s="107" t="s">
        <v>252</v>
      </c>
      <c r="E10" s="120">
        <f>AVERAGE(C119:C147)</f>
        <v>1.646551724137931</v>
      </c>
      <c r="G10" s="107" t="s">
        <v>255</v>
      </c>
      <c r="H10" s="118">
        <f>F147</f>
        <v>119.65736750984718</v>
      </c>
      <c r="I10" s="118">
        <f t="shared" si="0"/>
        <v>98.815515856633695</v>
      </c>
      <c r="J10" s="123">
        <f>L147</f>
        <v>119.65860271263139</v>
      </c>
      <c r="M10" s="107" t="s">
        <v>285</v>
      </c>
      <c r="N10" s="118">
        <f>B147-H147</f>
        <v>2.2841584306988807</v>
      </c>
      <c r="O10" s="118">
        <f t="shared" si="1"/>
        <v>1.4208454076129524</v>
      </c>
      <c r="P10" s="123">
        <f>O147</f>
        <v>2.2521230602515052</v>
      </c>
    </row>
    <row r="11" spans="1:17" s="107" customFormat="1" x14ac:dyDescent="0.3">
      <c r="A11" s="107" t="s">
        <v>289</v>
      </c>
      <c r="B11" s="107" t="s">
        <v>253</v>
      </c>
      <c r="C11" s="70">
        <f>B189</f>
        <v>3864.3</v>
      </c>
      <c r="D11" s="107" t="s">
        <v>252</v>
      </c>
      <c r="E11" s="120">
        <f>AVERAGE(C152:C189)</f>
        <v>5.6447368421052628</v>
      </c>
      <c r="G11" s="107" t="s">
        <v>255</v>
      </c>
      <c r="H11" s="118">
        <f>F189</f>
        <v>287.42035100674531</v>
      </c>
      <c r="I11" s="118">
        <f t="shared" si="0"/>
        <v>380.09234958738307</v>
      </c>
      <c r="J11" s="123">
        <f>L189</f>
        <v>287.43360107333939</v>
      </c>
      <c r="M11" s="107" t="s">
        <v>285</v>
      </c>
      <c r="N11" s="118">
        <f>B189-H189</f>
        <v>14.866264916368891</v>
      </c>
      <c r="O11" s="118">
        <f t="shared" si="1"/>
        <v>18.875546861036664</v>
      </c>
      <c r="P11" s="123">
        <f>O189</f>
        <v>14.770496541384794</v>
      </c>
      <c r="Q11" s="121"/>
    </row>
    <row r="12" spans="1:17" s="107" customFormat="1" x14ac:dyDescent="0.3"/>
    <row r="13" spans="1:17" s="107" customFormat="1" x14ac:dyDescent="0.3"/>
    <row r="15" spans="1:17" s="107" customFormat="1" x14ac:dyDescent="0.3">
      <c r="K15" s="122" t="s">
        <v>279</v>
      </c>
      <c r="L15" s="122" t="s">
        <v>280</v>
      </c>
      <c r="N15" s="122" t="s">
        <v>281</v>
      </c>
      <c r="O15" s="122" t="s">
        <v>282</v>
      </c>
    </row>
    <row r="16" spans="1:17" x14ac:dyDescent="0.3">
      <c r="A16" t="s">
        <v>254</v>
      </c>
      <c r="F16" t="s">
        <v>251</v>
      </c>
      <c r="K16" s="107" t="s">
        <v>276</v>
      </c>
      <c r="P16" t="s">
        <v>265</v>
      </c>
    </row>
    <row r="17" spans="1:30" x14ac:dyDescent="0.3">
      <c r="A17" s="11" t="s">
        <v>244</v>
      </c>
      <c r="B17" s="11" t="s">
        <v>245</v>
      </c>
      <c r="C17" s="11" t="s">
        <v>246</v>
      </c>
      <c r="D17" s="11" t="s">
        <v>247</v>
      </c>
      <c r="E17" s="11"/>
      <c r="F17" s="11" t="s">
        <v>248</v>
      </c>
      <c r="G17" s="11" t="s">
        <v>249</v>
      </c>
      <c r="H17" s="11" t="s">
        <v>250</v>
      </c>
      <c r="J17" s="11" t="s">
        <v>259</v>
      </c>
      <c r="K17" s="11" t="s">
        <v>277</v>
      </c>
      <c r="L17" s="11" t="s">
        <v>278</v>
      </c>
      <c r="M17" s="11" t="s">
        <v>260</v>
      </c>
      <c r="P17" t="s">
        <v>248</v>
      </c>
      <c r="Q17" t="s">
        <v>249</v>
      </c>
      <c r="R17" t="s">
        <v>256</v>
      </c>
      <c r="S17" t="s">
        <v>250</v>
      </c>
      <c r="U17" t="s">
        <v>266</v>
      </c>
      <c r="W17" t="s">
        <v>269</v>
      </c>
      <c r="X17" t="s">
        <v>268</v>
      </c>
      <c r="Z17" t="s">
        <v>270</v>
      </c>
      <c r="AB17" t="s">
        <v>212</v>
      </c>
      <c r="AC17" t="s">
        <v>272</v>
      </c>
      <c r="AD17" t="s">
        <v>273</v>
      </c>
    </row>
    <row r="18" spans="1:30" x14ac:dyDescent="0.3">
      <c r="A18" s="95">
        <v>1</v>
      </c>
      <c r="B18" s="95">
        <v>0</v>
      </c>
      <c r="C18" s="95">
        <v>0</v>
      </c>
      <c r="D18" s="95">
        <v>0</v>
      </c>
      <c r="F18" s="8">
        <v>0</v>
      </c>
      <c r="G18" s="8">
        <v>0</v>
      </c>
      <c r="H18" s="8">
        <v>0</v>
      </c>
      <c r="J18" s="95">
        <f>F18</f>
        <v>0</v>
      </c>
      <c r="K18" s="95">
        <v>0</v>
      </c>
      <c r="L18" s="95"/>
      <c r="M18" s="95">
        <f>B18-H18</f>
        <v>0</v>
      </c>
      <c r="Q18" t="s">
        <v>274</v>
      </c>
      <c r="V18" s="107" t="s">
        <v>271</v>
      </c>
    </row>
    <row r="19" spans="1:30" x14ac:dyDescent="0.3">
      <c r="A19" s="95">
        <v>2</v>
      </c>
      <c r="B19" s="95">
        <v>70</v>
      </c>
      <c r="C19" s="95">
        <v>0</v>
      </c>
      <c r="D19" s="95">
        <v>0</v>
      </c>
      <c r="F19" s="95">
        <v>0</v>
      </c>
      <c r="G19" s="95">
        <v>0</v>
      </c>
      <c r="H19" s="95">
        <v>70</v>
      </c>
      <c r="J19" s="95">
        <f t="shared" ref="J19:J61" si="2">F19</f>
        <v>0</v>
      </c>
      <c r="K19" s="95">
        <f>(B19-B18)*SIN(RADIANS(AVERAGE(C18,C19)))</f>
        <v>0</v>
      </c>
      <c r="L19" s="95">
        <f>L18+K19</f>
        <v>0</v>
      </c>
      <c r="M19" s="95">
        <f t="shared" ref="M19:M61" si="3">B19-H19</f>
        <v>0</v>
      </c>
      <c r="N19" s="95">
        <f>0.5*K19*TAN(RADIANS(AVERAGE(C18,C19)))</f>
        <v>0</v>
      </c>
      <c r="O19" s="95">
        <f>O18+N19</f>
        <v>0</v>
      </c>
      <c r="P19" s="118">
        <f>P18 + (B19-B18)*TAN(RADIANS(C19))</f>
        <v>0</v>
      </c>
      <c r="Q19" s="121">
        <v>0</v>
      </c>
      <c r="R19" s="118">
        <f>R18 + (B19-B18)*TAN(RADIANS(AVERAGE(C18,C19)))^2</f>
        <v>0</v>
      </c>
      <c r="S19" s="118">
        <f>B19-R19</f>
        <v>70</v>
      </c>
      <c r="U19" t="s">
        <v>267</v>
      </c>
      <c r="V19" s="107">
        <v>0</v>
      </c>
      <c r="W19" s="118">
        <f>P19</f>
        <v>0</v>
      </c>
      <c r="X19">
        <v>0</v>
      </c>
      <c r="Z19" s="118">
        <f>X19-P19</f>
        <v>0</v>
      </c>
      <c r="AB19" s="118">
        <f>P19-P18</f>
        <v>0</v>
      </c>
      <c r="AC19" s="118">
        <f>IF(U19="x", 0, AB19)</f>
        <v>0</v>
      </c>
      <c r="AD19" s="118">
        <f>AC19+AD18</f>
        <v>0</v>
      </c>
    </row>
    <row r="20" spans="1:30" x14ac:dyDescent="0.3">
      <c r="A20" s="95">
        <v>3</v>
      </c>
      <c r="B20" s="95">
        <v>80</v>
      </c>
      <c r="C20" s="95">
        <v>0.75</v>
      </c>
      <c r="D20" s="95">
        <v>0</v>
      </c>
      <c r="F20" s="95">
        <v>6.544891240058591E-2</v>
      </c>
      <c r="G20" s="95">
        <v>0</v>
      </c>
      <c r="H20" s="95">
        <v>79.9997144236156</v>
      </c>
      <c r="J20" s="95">
        <f t="shared" si="2"/>
        <v>6.544891240058591E-2</v>
      </c>
      <c r="K20" s="95">
        <f t="shared" ref="K20:K61" si="4">(B20-B19)*SIN(RADIANS(AVERAGE(C19,C20)))</f>
        <v>6.544937967351859E-2</v>
      </c>
      <c r="L20" s="95">
        <f t="shared" ref="L20:L29" si="5">L19+K20</f>
        <v>6.544937967351859E-2</v>
      </c>
      <c r="M20" s="95">
        <f t="shared" si="3"/>
        <v>2.8557638439963284E-4</v>
      </c>
      <c r="N20" s="95">
        <f t="shared" ref="N20:N61" si="6">0.5*K20*TAN(RADIANS(AVERAGE(C19,C20)))</f>
        <v>2.1418565248266299E-4</v>
      </c>
      <c r="O20" s="95">
        <f t="shared" ref="O20:O61" si="7">O19+N20</f>
        <v>2.1418565248266299E-4</v>
      </c>
      <c r="P20" s="118">
        <f t="shared" ref="P20:P61" si="8">P19 + (B20-B19)*TAN(RADIANS(C20))</f>
        <v>0.13090717084835088</v>
      </c>
      <c r="Q20" s="121">
        <v>0</v>
      </c>
      <c r="R20" s="118">
        <f t="shared" ref="R20:R61" si="9">R19 + (B20-B19)*TAN(RADIANS(AVERAGE(C19,C20)))^2</f>
        <v>4.2838048016233048E-4</v>
      </c>
      <c r="S20" s="118">
        <f t="shared" ref="S20:S61" si="10">B20-R20</f>
        <v>79.999571619519841</v>
      </c>
      <c r="U20" t="s">
        <v>267</v>
      </c>
      <c r="V20" s="107">
        <v>0</v>
      </c>
      <c r="W20" s="118">
        <f>W19+P20</f>
        <v>0.13090717084835088</v>
      </c>
      <c r="X20">
        <f>X19</f>
        <v>0</v>
      </c>
      <c r="Z20" s="118">
        <f t="shared" ref="Z20:Z43" si="11">X20-P20</f>
        <v>-0.13090717084835088</v>
      </c>
      <c r="AB20" s="118">
        <f t="shared" ref="AB20:AB49" si="12">P20-P19</f>
        <v>0.13090717084835088</v>
      </c>
      <c r="AC20" s="118">
        <f t="shared" ref="AC20:AC49" si="13">IF(U20="x", 0, AB20)</f>
        <v>0</v>
      </c>
      <c r="AD20" s="118">
        <f t="shared" ref="AD20:AD49" si="14">AC20+AD19</f>
        <v>0</v>
      </c>
    </row>
    <row r="21" spans="1:30" x14ac:dyDescent="0.3">
      <c r="A21" s="95">
        <v>4</v>
      </c>
      <c r="B21" s="95">
        <v>200</v>
      </c>
      <c r="C21" s="95">
        <v>0.75</v>
      </c>
      <c r="D21" s="95">
        <v>0</v>
      </c>
      <c r="F21" s="95">
        <v>1.6362003809619188</v>
      </c>
      <c r="G21" s="95">
        <v>0</v>
      </c>
      <c r="H21" s="95">
        <v>199.98943373249642</v>
      </c>
      <c r="J21" s="95">
        <f t="shared" si="2"/>
        <v>1.6362003809619188</v>
      </c>
      <c r="K21" s="95">
        <f t="shared" si="4"/>
        <v>1.5707514685613329</v>
      </c>
      <c r="L21" s="95">
        <f t="shared" si="5"/>
        <v>1.6362008482348513</v>
      </c>
      <c r="M21" s="95">
        <f t="shared" si="3"/>
        <v>1.0566267503577365E-2</v>
      </c>
      <c r="N21" s="95">
        <f t="shared" si="6"/>
        <v>1.0281131542762821E-2</v>
      </c>
      <c r="O21" s="95">
        <f t="shared" si="7"/>
        <v>1.0495317195245485E-2</v>
      </c>
      <c r="P21" s="118">
        <f t="shared" si="8"/>
        <v>1.7017932210285613</v>
      </c>
      <c r="Q21" s="121">
        <v>0</v>
      </c>
      <c r="R21" s="118">
        <f t="shared" si="9"/>
        <v>2.0992405335585516E-2</v>
      </c>
      <c r="S21" s="118">
        <f t="shared" si="10"/>
        <v>199.97900759466441</v>
      </c>
      <c r="U21" t="s">
        <v>267</v>
      </c>
      <c r="V21" s="107">
        <v>0</v>
      </c>
      <c r="W21" s="118">
        <f t="shared" ref="W21:W43" si="15">W20+P21</f>
        <v>1.8327003918769122</v>
      </c>
      <c r="X21" s="107">
        <f t="shared" ref="X21:X31" si="16">X20</f>
        <v>0</v>
      </c>
      <c r="Z21" s="118">
        <f t="shared" si="11"/>
        <v>-1.7017932210285613</v>
      </c>
      <c r="AB21" s="118">
        <f t="shared" si="12"/>
        <v>1.5708860501802104</v>
      </c>
      <c r="AC21" s="118">
        <f t="shared" si="13"/>
        <v>0</v>
      </c>
      <c r="AD21" s="118">
        <f t="shared" si="14"/>
        <v>0</v>
      </c>
    </row>
    <row r="22" spans="1:30" x14ac:dyDescent="0.3">
      <c r="A22" s="95">
        <v>5</v>
      </c>
      <c r="B22" s="95">
        <v>290</v>
      </c>
      <c r="C22" s="95">
        <v>0.5</v>
      </c>
      <c r="D22" s="95">
        <v>0</v>
      </c>
      <c r="F22" s="95">
        <v>2.617927836658513</v>
      </c>
      <c r="G22" s="95">
        <v>0</v>
      </c>
      <c r="H22" s="95">
        <v>289.98400779206673</v>
      </c>
      <c r="J22" s="95">
        <f t="shared" si="2"/>
        <v>2.617927836658513</v>
      </c>
      <c r="K22" s="95">
        <f t="shared" si="4"/>
        <v>0.98172823447641366</v>
      </c>
      <c r="L22" s="95">
        <f t="shared" si="5"/>
        <v>2.6179290827112651</v>
      </c>
      <c r="M22" s="95">
        <f t="shared" si="3"/>
        <v>1.5992207933265945E-2</v>
      </c>
      <c r="N22" s="95">
        <f t="shared" si="6"/>
        <v>5.3547092804732636E-3</v>
      </c>
      <c r="O22" s="95">
        <f t="shared" si="7"/>
        <v>1.5850026475718749E-2</v>
      </c>
      <c r="P22" s="118">
        <f t="shared" si="8"/>
        <v>2.4872113221968526</v>
      </c>
      <c r="Q22" s="121">
        <v>0</v>
      </c>
      <c r="R22" s="118">
        <f t="shared" si="9"/>
        <v>3.1702461091297623E-2</v>
      </c>
      <c r="S22" s="118">
        <f t="shared" si="10"/>
        <v>289.9682975389087</v>
      </c>
      <c r="U22" t="s">
        <v>267</v>
      </c>
      <c r="V22" s="107">
        <v>0</v>
      </c>
      <c r="W22" s="118">
        <f t="shared" si="15"/>
        <v>4.3199117140737648</v>
      </c>
      <c r="X22" s="107">
        <f t="shared" si="16"/>
        <v>0</v>
      </c>
      <c r="Z22" s="118">
        <f t="shared" si="11"/>
        <v>-2.4872113221968526</v>
      </c>
      <c r="AB22" s="118">
        <f t="shared" si="12"/>
        <v>0.78541810116829125</v>
      </c>
      <c r="AC22" s="118">
        <f t="shared" si="13"/>
        <v>0</v>
      </c>
      <c r="AD22" s="118">
        <f t="shared" si="14"/>
        <v>0</v>
      </c>
    </row>
    <row r="23" spans="1:30" x14ac:dyDescent="0.3">
      <c r="A23" s="95">
        <v>6</v>
      </c>
      <c r="B23" s="95">
        <v>385</v>
      </c>
      <c r="C23" s="95">
        <v>0.5</v>
      </c>
      <c r="D23" s="95">
        <v>0</v>
      </c>
      <c r="F23" s="95">
        <v>3.4469487090040367</v>
      </c>
      <c r="G23" s="95">
        <v>0</v>
      </c>
      <c r="H23" s="95">
        <v>384.98039048316298</v>
      </c>
      <c r="J23" s="95">
        <f t="shared" si="2"/>
        <v>3.4469487090040367</v>
      </c>
      <c r="K23" s="95">
        <f t="shared" si="4"/>
        <v>0.8290208723455238</v>
      </c>
      <c r="L23" s="95">
        <f t="shared" si="5"/>
        <v>3.4469499550567888</v>
      </c>
      <c r="M23" s="95">
        <f t="shared" si="3"/>
        <v>1.9609516837022056E-2</v>
      </c>
      <c r="N23" s="95">
        <f t="shared" si="6"/>
        <v>3.6173777743694529E-3</v>
      </c>
      <c r="O23" s="95">
        <f t="shared" si="7"/>
        <v>1.9467404250088201E-2</v>
      </c>
      <c r="P23" s="118">
        <f t="shared" si="8"/>
        <v>3.3162637623189375</v>
      </c>
      <c r="Q23" s="121">
        <v>0</v>
      </c>
      <c r="R23" s="118">
        <f t="shared" si="9"/>
        <v>3.8937492127849027E-2</v>
      </c>
      <c r="S23" s="118">
        <f t="shared" si="10"/>
        <v>384.96106250787216</v>
      </c>
      <c r="U23" t="s">
        <v>267</v>
      </c>
      <c r="V23" s="107">
        <v>0</v>
      </c>
      <c r="W23" s="118">
        <f t="shared" si="15"/>
        <v>7.6361754763927028</v>
      </c>
      <c r="X23" s="107">
        <f t="shared" si="16"/>
        <v>0</v>
      </c>
      <c r="Z23" s="118">
        <f t="shared" si="11"/>
        <v>-3.3162637623189375</v>
      </c>
      <c r="AB23" s="118">
        <f t="shared" si="12"/>
        <v>0.8290524401220849</v>
      </c>
      <c r="AC23" s="118">
        <f t="shared" si="13"/>
        <v>0</v>
      </c>
      <c r="AD23" s="118">
        <f t="shared" si="14"/>
        <v>0</v>
      </c>
    </row>
    <row r="24" spans="1:30" x14ac:dyDescent="0.3">
      <c r="A24" s="95">
        <v>7</v>
      </c>
      <c r="B24" s="95">
        <v>485</v>
      </c>
      <c r="C24" s="95">
        <v>0.25</v>
      </c>
      <c r="D24" s="95">
        <v>0</v>
      </c>
      <c r="F24" s="95">
        <v>4.1014419865460869</v>
      </c>
      <c r="G24" s="95">
        <v>0</v>
      </c>
      <c r="H24" s="95">
        <v>484.9781693238408</v>
      </c>
      <c r="J24" s="95">
        <f t="shared" si="2"/>
        <v>4.1014419865460869</v>
      </c>
      <c r="K24" s="95">
        <f t="shared" si="4"/>
        <v>0.65449379673518593</v>
      </c>
      <c r="L24" s="95">
        <f t="shared" si="5"/>
        <v>4.1014437517919751</v>
      </c>
      <c r="M24" s="95">
        <f t="shared" si="3"/>
        <v>2.1830676159197537E-2</v>
      </c>
      <c r="N24" s="95">
        <f t="shared" si="6"/>
        <v>2.1418565248266298E-3</v>
      </c>
      <c r="O24" s="95">
        <f t="shared" si="7"/>
        <v>2.1609260774914832E-2</v>
      </c>
      <c r="P24" s="118">
        <f t="shared" si="8"/>
        <v>3.7525988443890941</v>
      </c>
      <c r="Q24" s="121">
        <v>0</v>
      </c>
      <c r="R24" s="118">
        <f t="shared" si="9"/>
        <v>4.3221296929472332E-2</v>
      </c>
      <c r="S24" s="118">
        <f t="shared" si="10"/>
        <v>484.95677870307054</v>
      </c>
      <c r="U24" t="s">
        <v>267</v>
      </c>
      <c r="V24" s="107">
        <v>0</v>
      </c>
      <c r="W24" s="118">
        <f t="shared" si="15"/>
        <v>11.388774320781797</v>
      </c>
      <c r="X24" s="107">
        <f t="shared" si="16"/>
        <v>0</v>
      </c>
      <c r="Z24" s="118">
        <f t="shared" si="11"/>
        <v>-3.7525988443890941</v>
      </c>
      <c r="AB24" s="118">
        <f t="shared" si="12"/>
        <v>0.43633508207015659</v>
      </c>
      <c r="AC24" s="118">
        <f t="shared" si="13"/>
        <v>0</v>
      </c>
      <c r="AD24" s="118">
        <f t="shared" si="14"/>
        <v>0</v>
      </c>
    </row>
    <row r="25" spans="1:30" x14ac:dyDescent="0.3">
      <c r="A25" s="95">
        <v>8</v>
      </c>
      <c r="B25" s="95">
        <v>635</v>
      </c>
      <c r="C25" s="95">
        <v>2</v>
      </c>
      <c r="D25" s="95">
        <v>0</v>
      </c>
      <c r="F25" s="95">
        <v>7.0463813814001721</v>
      </c>
      <c r="G25" s="95">
        <v>0</v>
      </c>
      <c r="H25" s="95">
        <v>634.94342602022493</v>
      </c>
      <c r="J25" s="95">
        <f t="shared" si="2"/>
        <v>7.0463813814001721</v>
      </c>
      <c r="K25" s="95">
        <f t="shared" si="4"/>
        <v>2.9450538690942452</v>
      </c>
      <c r="L25" s="95">
        <f t="shared" si="5"/>
        <v>7.0464976208862202</v>
      </c>
      <c r="M25" s="95">
        <f t="shared" si="3"/>
        <v>5.6573979775066618E-2</v>
      </c>
      <c r="N25" s="95">
        <f t="shared" si="6"/>
        <v>2.8916714944922994E-2</v>
      </c>
      <c r="O25" s="95">
        <f t="shared" si="7"/>
        <v>5.0525975719837829E-2</v>
      </c>
      <c r="P25" s="118">
        <f t="shared" si="8"/>
        <v>8.9907142681512529</v>
      </c>
      <c r="Q25" s="121">
        <v>0</v>
      </c>
      <c r="R25" s="118">
        <f t="shared" si="9"/>
        <v>0.10106587691267105</v>
      </c>
      <c r="S25" s="118">
        <f t="shared" si="10"/>
        <v>634.89893412308732</v>
      </c>
      <c r="U25" t="s">
        <v>267</v>
      </c>
      <c r="V25" s="107">
        <v>0</v>
      </c>
      <c r="W25" s="118">
        <f t="shared" si="15"/>
        <v>20.37948858893305</v>
      </c>
      <c r="X25" s="107">
        <f t="shared" si="16"/>
        <v>0</v>
      </c>
      <c r="Z25" s="118">
        <f t="shared" si="11"/>
        <v>-8.9907142681512529</v>
      </c>
      <c r="AB25" s="118">
        <f t="shared" si="12"/>
        <v>5.2381154237621583</v>
      </c>
      <c r="AC25" s="118">
        <f t="shared" si="13"/>
        <v>0</v>
      </c>
      <c r="AD25" s="118">
        <f t="shared" si="14"/>
        <v>0</v>
      </c>
    </row>
    <row r="26" spans="1:30" x14ac:dyDescent="0.3">
      <c r="A26" s="95">
        <v>9</v>
      </c>
      <c r="B26" s="95">
        <v>680</v>
      </c>
      <c r="C26" s="95">
        <v>2</v>
      </c>
      <c r="D26" s="95">
        <v>0</v>
      </c>
      <c r="F26" s="95">
        <v>8.616858733012716</v>
      </c>
      <c r="G26" s="95">
        <v>0</v>
      </c>
      <c r="H26" s="95">
        <v>679.91601323608427</v>
      </c>
      <c r="J26" s="95">
        <f t="shared" si="2"/>
        <v>8.616858733012716</v>
      </c>
      <c r="K26" s="95">
        <f t="shared" si="4"/>
        <v>1.5704773516125436</v>
      </c>
      <c r="L26" s="95">
        <f t="shared" si="5"/>
        <v>8.6169749724987632</v>
      </c>
      <c r="M26" s="95">
        <f t="shared" si="3"/>
        <v>8.3986763915731899E-2</v>
      </c>
      <c r="N26" s="95">
        <f t="shared" si="6"/>
        <v>2.7421138793836043E-2</v>
      </c>
      <c r="O26" s="95">
        <f t="shared" si="7"/>
        <v>7.7947114513673865E-2</v>
      </c>
      <c r="P26" s="118">
        <f t="shared" si="8"/>
        <v>10.562148895279901</v>
      </c>
      <c r="Q26" s="121">
        <v>0</v>
      </c>
      <c r="R26" s="118">
        <f t="shared" si="9"/>
        <v>0.15594158329798111</v>
      </c>
      <c r="S26" s="118">
        <f t="shared" si="10"/>
        <v>679.84405841670207</v>
      </c>
      <c r="U26" t="s">
        <v>267</v>
      </c>
      <c r="V26" s="107">
        <v>0</v>
      </c>
      <c r="W26" s="118">
        <f t="shared" si="15"/>
        <v>30.941637484212951</v>
      </c>
      <c r="X26" s="107">
        <f t="shared" si="16"/>
        <v>0</v>
      </c>
      <c r="Z26" s="118">
        <f t="shared" si="11"/>
        <v>-10.562148895279901</v>
      </c>
      <c r="AB26" s="118">
        <f t="shared" si="12"/>
        <v>1.5714346271286477</v>
      </c>
      <c r="AC26" s="118">
        <f t="shared" si="13"/>
        <v>0</v>
      </c>
      <c r="AD26" s="118">
        <f t="shared" si="14"/>
        <v>0</v>
      </c>
    </row>
    <row r="27" spans="1:30" x14ac:dyDescent="0.3">
      <c r="A27" s="95">
        <v>10</v>
      </c>
      <c r="B27" s="95">
        <v>740</v>
      </c>
      <c r="C27" s="95">
        <v>2</v>
      </c>
      <c r="D27" s="95">
        <v>0</v>
      </c>
      <c r="F27" s="95">
        <v>10.710828535162774</v>
      </c>
      <c r="G27" s="95">
        <v>0</v>
      </c>
      <c r="H27" s="95">
        <v>739.87946285723001</v>
      </c>
      <c r="J27" s="95">
        <f t="shared" si="2"/>
        <v>10.710828535162774</v>
      </c>
      <c r="K27" s="95">
        <f t="shared" si="4"/>
        <v>2.0939698021500583</v>
      </c>
      <c r="L27" s="95">
        <f t="shared" si="5"/>
        <v>10.710944774648821</v>
      </c>
      <c r="M27" s="95">
        <f t="shared" si="3"/>
        <v>0.12053714276999017</v>
      </c>
      <c r="N27" s="95">
        <f t="shared" si="6"/>
        <v>3.6561518391781393E-2</v>
      </c>
      <c r="O27" s="95">
        <f t="shared" si="7"/>
        <v>0.11450863290545527</v>
      </c>
      <c r="P27" s="118">
        <f t="shared" si="8"/>
        <v>12.657395064784765</v>
      </c>
      <c r="Q27" s="121">
        <v>0</v>
      </c>
      <c r="R27" s="118">
        <f t="shared" si="9"/>
        <v>0.22910919181172784</v>
      </c>
      <c r="S27" s="118">
        <f t="shared" si="10"/>
        <v>739.77089080818826</v>
      </c>
      <c r="U27" t="s">
        <v>267</v>
      </c>
      <c r="V27" s="107">
        <v>0</v>
      </c>
      <c r="W27" s="118">
        <f t="shared" si="15"/>
        <v>43.599032548997712</v>
      </c>
      <c r="X27" s="107">
        <f t="shared" si="16"/>
        <v>0</v>
      </c>
      <c r="Z27" s="118">
        <f t="shared" si="11"/>
        <v>-12.657395064784765</v>
      </c>
      <c r="AB27" s="118">
        <f t="shared" si="12"/>
        <v>2.0952461695048648</v>
      </c>
      <c r="AC27" s="118">
        <f t="shared" si="13"/>
        <v>0</v>
      </c>
      <c r="AD27" s="118">
        <f t="shared" si="14"/>
        <v>0</v>
      </c>
    </row>
    <row r="28" spans="1:30" x14ac:dyDescent="0.3">
      <c r="A28" s="95">
        <v>11</v>
      </c>
      <c r="B28" s="95">
        <v>870</v>
      </c>
      <c r="C28" s="95">
        <v>1.25</v>
      </c>
      <c r="D28" s="95">
        <v>0</v>
      </c>
      <c r="F28" s="95">
        <v>14.397315987361001</v>
      </c>
      <c r="G28" s="95">
        <v>0</v>
      </c>
      <c r="H28" s="95">
        <v>869.82625388159818</v>
      </c>
      <c r="J28" s="95">
        <f t="shared" si="2"/>
        <v>14.397315987361001</v>
      </c>
      <c r="K28" s="95">
        <f t="shared" si="4"/>
        <v>3.6865137718991949</v>
      </c>
      <c r="L28" s="95">
        <f t="shared" si="5"/>
        <v>14.397458546548016</v>
      </c>
      <c r="M28" s="95">
        <f t="shared" si="3"/>
        <v>0.17374611840182297</v>
      </c>
      <c r="N28" s="95">
        <f t="shared" si="6"/>
        <v>5.2291736699807481E-2</v>
      </c>
      <c r="O28" s="95">
        <f t="shared" si="7"/>
        <v>0.16680036960526273</v>
      </c>
      <c r="P28" s="118">
        <f t="shared" si="8"/>
        <v>15.494005155664198</v>
      </c>
      <c r="Q28" s="121">
        <v>0</v>
      </c>
      <c r="R28" s="118">
        <f t="shared" si="9"/>
        <v>0.33373474176027212</v>
      </c>
      <c r="S28" s="118">
        <f t="shared" si="10"/>
        <v>869.66626525823972</v>
      </c>
      <c r="U28" t="s">
        <v>267</v>
      </c>
      <c r="V28" s="107">
        <v>0</v>
      </c>
      <c r="W28" s="118">
        <f t="shared" si="15"/>
        <v>59.09303770466191</v>
      </c>
      <c r="X28" s="107">
        <f t="shared" si="16"/>
        <v>0</v>
      </c>
      <c r="Z28" s="118">
        <f t="shared" si="11"/>
        <v>-15.494005155664198</v>
      </c>
      <c r="AB28" s="118">
        <f t="shared" si="12"/>
        <v>2.8366100908794323</v>
      </c>
      <c r="AC28" s="118">
        <f t="shared" si="13"/>
        <v>0</v>
      </c>
      <c r="AD28" s="118">
        <f t="shared" si="14"/>
        <v>0</v>
      </c>
    </row>
    <row r="29" spans="1:30" x14ac:dyDescent="0.3">
      <c r="A29" s="95">
        <v>12</v>
      </c>
      <c r="B29" s="95">
        <v>915</v>
      </c>
      <c r="C29" s="95">
        <v>1</v>
      </c>
      <c r="D29" s="95">
        <v>0</v>
      </c>
      <c r="F29" s="95">
        <v>15.280831447218574</v>
      </c>
      <c r="G29" s="95">
        <v>0</v>
      </c>
      <c r="H29" s="95">
        <v>914.81754401282672</v>
      </c>
      <c r="J29" s="95">
        <f t="shared" si="2"/>
        <v>15.280831447218574</v>
      </c>
      <c r="K29" s="95">
        <f t="shared" si="4"/>
        <v>0.88351616072827355</v>
      </c>
      <c r="L29" s="95">
        <f t="shared" si="5"/>
        <v>15.28097470727629</v>
      </c>
      <c r="M29" s="95">
        <f t="shared" si="3"/>
        <v>0.18245598717328448</v>
      </c>
      <c r="N29" s="95">
        <f t="shared" si="6"/>
        <v>8.6750144834768991E-3</v>
      </c>
      <c r="O29" s="95">
        <f t="shared" si="7"/>
        <v>0.17547538408873964</v>
      </c>
      <c r="P29" s="118">
        <f t="shared" si="8"/>
        <v>16.279483077433987</v>
      </c>
      <c r="Q29" s="121">
        <v>0</v>
      </c>
      <c r="R29" s="118">
        <f t="shared" si="9"/>
        <v>0.35108811575523174</v>
      </c>
      <c r="S29" s="118">
        <f t="shared" si="10"/>
        <v>914.64891188424474</v>
      </c>
      <c r="U29" t="s">
        <v>267</v>
      </c>
      <c r="V29" s="107">
        <v>0</v>
      </c>
      <c r="W29" s="118">
        <f t="shared" si="15"/>
        <v>75.372520782095904</v>
      </c>
      <c r="X29" s="107">
        <f t="shared" si="16"/>
        <v>0</v>
      </c>
      <c r="Z29" s="118">
        <f t="shared" si="11"/>
        <v>-16.279483077433987</v>
      </c>
      <c r="AB29" s="118">
        <f t="shared" si="12"/>
        <v>0.78547792176978959</v>
      </c>
      <c r="AC29" s="118">
        <f t="shared" si="13"/>
        <v>0</v>
      </c>
      <c r="AD29" s="118">
        <f t="shared" si="14"/>
        <v>0</v>
      </c>
    </row>
    <row r="30" spans="1:30" x14ac:dyDescent="0.3">
      <c r="A30" s="95">
        <v>13</v>
      </c>
      <c r="B30" s="95">
        <v>950</v>
      </c>
      <c r="C30" s="95">
        <v>0.5</v>
      </c>
      <c r="D30" s="95">
        <v>0</v>
      </c>
      <c r="F30" s="95">
        <v>15.738965838507024</v>
      </c>
      <c r="G30" s="95">
        <v>0</v>
      </c>
      <c r="H30" s="95">
        <v>949.81443442910302</v>
      </c>
      <c r="J30" s="95">
        <f t="shared" si="2"/>
        <v>15.738965838507024</v>
      </c>
      <c r="K30" s="95">
        <f t="shared" si="4"/>
        <v>0.45813584499705545</v>
      </c>
      <c r="L30" s="95">
        <f t="shared" ref="L30:L61" si="17">L29+K30</f>
        <v>15.739110552273345</v>
      </c>
      <c r="M30" s="95">
        <f t="shared" si="3"/>
        <v>0.18556557089698344</v>
      </c>
      <c r="N30" s="95">
        <f t="shared" si="6"/>
        <v>2.9986633666391565E-3</v>
      </c>
      <c r="O30" s="95">
        <f t="shared" si="7"/>
        <v>0.17847404745537879</v>
      </c>
      <c r="P30" s="118">
        <f t="shared" si="8"/>
        <v>16.584923450110544</v>
      </c>
      <c r="Q30" s="121">
        <v>0</v>
      </c>
      <c r="R30" s="118">
        <f t="shared" si="9"/>
        <v>0.3570859563380635</v>
      </c>
      <c r="S30" s="118">
        <f t="shared" si="10"/>
        <v>949.6429140436619</v>
      </c>
      <c r="U30" t="s">
        <v>267</v>
      </c>
      <c r="V30" s="107">
        <v>0</v>
      </c>
      <c r="W30" s="118">
        <f t="shared" si="15"/>
        <v>91.957444232206456</v>
      </c>
      <c r="X30" s="107">
        <f t="shared" si="16"/>
        <v>0</v>
      </c>
      <c r="Z30" s="118">
        <f t="shared" si="11"/>
        <v>-16.584923450110544</v>
      </c>
      <c r="AB30" s="118">
        <f t="shared" si="12"/>
        <v>0.3054403726765571</v>
      </c>
      <c r="AC30" s="118">
        <f t="shared" si="13"/>
        <v>0</v>
      </c>
      <c r="AD30" s="118">
        <f t="shared" si="14"/>
        <v>0</v>
      </c>
    </row>
    <row r="31" spans="1:30" x14ac:dyDescent="0.3">
      <c r="A31" s="95">
        <v>14</v>
      </c>
      <c r="B31" s="95">
        <v>990</v>
      </c>
      <c r="C31" s="95">
        <v>0.5</v>
      </c>
      <c r="D31" s="95">
        <v>0</v>
      </c>
      <c r="F31" s="95">
        <v>16.088027258441983</v>
      </c>
      <c r="G31" s="95">
        <v>0</v>
      </c>
      <c r="H31" s="95">
        <v>989.81291135166987</v>
      </c>
      <c r="J31" s="95">
        <f t="shared" si="2"/>
        <v>16.088027258441983</v>
      </c>
      <c r="K31" s="95">
        <f t="shared" si="4"/>
        <v>0.34906141993495737</v>
      </c>
      <c r="L31" s="95">
        <f t="shared" si="17"/>
        <v>16.088171972208304</v>
      </c>
      <c r="M31" s="95">
        <f t="shared" si="3"/>
        <v>0.18708864833013195</v>
      </c>
      <c r="N31" s="95">
        <f t="shared" si="6"/>
        <v>1.5231064313134537E-3</v>
      </c>
      <c r="O31" s="95">
        <f t="shared" si="7"/>
        <v>0.17999715388669224</v>
      </c>
      <c r="P31" s="118">
        <f t="shared" si="8"/>
        <v>16.933998161740895</v>
      </c>
      <c r="Q31" s="121">
        <v>0</v>
      </c>
      <c r="R31" s="118">
        <f t="shared" si="9"/>
        <v>0.36013228519555884</v>
      </c>
      <c r="S31" s="118">
        <f t="shared" si="10"/>
        <v>989.6398677148045</v>
      </c>
      <c r="U31" t="s">
        <v>267</v>
      </c>
      <c r="V31" s="107">
        <v>0</v>
      </c>
      <c r="W31" s="118">
        <f t="shared" si="15"/>
        <v>108.89144239394736</v>
      </c>
      <c r="X31" s="107">
        <f t="shared" si="16"/>
        <v>0</v>
      </c>
      <c r="Z31" s="118">
        <f t="shared" si="11"/>
        <v>-16.933998161740895</v>
      </c>
      <c r="AB31" s="118">
        <f t="shared" si="12"/>
        <v>0.34907471163035098</v>
      </c>
      <c r="AC31" s="118">
        <f t="shared" si="13"/>
        <v>0</v>
      </c>
      <c r="AD31" s="118">
        <f t="shared" si="14"/>
        <v>0</v>
      </c>
    </row>
    <row r="32" spans="1:30" x14ac:dyDescent="0.3">
      <c r="A32" s="95">
        <v>15</v>
      </c>
      <c r="B32" s="95">
        <v>1020</v>
      </c>
      <c r="C32" s="95">
        <v>0.5</v>
      </c>
      <c r="D32" s="95">
        <v>0</v>
      </c>
      <c r="F32" s="95">
        <v>16.349823323393199</v>
      </c>
      <c r="G32" s="95">
        <v>0</v>
      </c>
      <c r="H32" s="95">
        <v>1019.8117690435949</v>
      </c>
      <c r="J32" s="95">
        <f t="shared" si="2"/>
        <v>16.349823323393199</v>
      </c>
      <c r="K32" s="95">
        <f t="shared" si="4"/>
        <v>0.26179606495121804</v>
      </c>
      <c r="L32" s="95">
        <f t="shared" si="17"/>
        <v>16.34996803715952</v>
      </c>
      <c r="M32" s="95">
        <f t="shared" si="3"/>
        <v>0.18823095640505016</v>
      </c>
      <c r="N32" s="95">
        <f t="shared" si="6"/>
        <v>1.1423298234850903E-3</v>
      </c>
      <c r="O32" s="95">
        <f t="shared" si="7"/>
        <v>0.18113948371017732</v>
      </c>
      <c r="P32" s="118">
        <f t="shared" si="8"/>
        <v>17.195804195463658</v>
      </c>
      <c r="Q32" s="121">
        <v>17.195804195463658</v>
      </c>
      <c r="R32" s="118">
        <f t="shared" si="9"/>
        <v>0.36241703183868035</v>
      </c>
      <c r="S32" s="118">
        <f t="shared" si="10"/>
        <v>1019.6375829681613</v>
      </c>
      <c r="V32" s="118">
        <f t="shared" ref="V32:V38" si="18">P32-P$31</f>
        <v>0.26180603372276323</v>
      </c>
      <c r="W32" s="118">
        <f t="shared" si="15"/>
        <v>126.08724658941102</v>
      </c>
      <c r="X32" s="118">
        <f>P32-P31</f>
        <v>0.26180603372276323</v>
      </c>
      <c r="Z32" s="118">
        <f t="shared" si="11"/>
        <v>-16.933998161740895</v>
      </c>
      <c r="AB32" s="118">
        <f t="shared" si="12"/>
        <v>0.26180603372276323</v>
      </c>
      <c r="AC32" s="118">
        <f t="shared" si="13"/>
        <v>0.26180603372276323</v>
      </c>
      <c r="AD32" s="118">
        <f t="shared" si="14"/>
        <v>0.26180603372276323</v>
      </c>
    </row>
    <row r="33" spans="1:30" x14ac:dyDescent="0.3">
      <c r="A33" s="95">
        <v>16</v>
      </c>
      <c r="B33" s="95">
        <v>1055</v>
      </c>
      <c r="C33" s="95">
        <v>1</v>
      </c>
      <c r="D33" s="95">
        <v>0</v>
      </c>
      <c r="F33" s="95">
        <v>16.807957714681649</v>
      </c>
      <c r="G33" s="95">
        <v>0</v>
      </c>
      <c r="H33" s="95">
        <v>1054.8086594598713</v>
      </c>
      <c r="J33" s="95">
        <f t="shared" si="2"/>
        <v>16.807957714681649</v>
      </c>
      <c r="K33" s="95">
        <f t="shared" si="4"/>
        <v>0.45813584499705545</v>
      </c>
      <c r="L33" s="95">
        <f t="shared" si="17"/>
        <v>16.808103882156576</v>
      </c>
      <c r="M33" s="95">
        <f t="shared" si="3"/>
        <v>0.19134054012874913</v>
      </c>
      <c r="N33" s="95">
        <f t="shared" si="6"/>
        <v>2.9986633666391565E-3</v>
      </c>
      <c r="O33" s="95">
        <f t="shared" si="7"/>
        <v>0.18413814707681647</v>
      </c>
      <c r="P33" s="118">
        <f t="shared" si="8"/>
        <v>17.806731467951273</v>
      </c>
      <c r="Q33" s="121">
        <v>17.806731467951273</v>
      </c>
      <c r="R33" s="118">
        <f t="shared" si="9"/>
        <v>0.36841487242151211</v>
      </c>
      <c r="S33" s="118">
        <f t="shared" si="10"/>
        <v>1054.6315851275785</v>
      </c>
      <c r="V33" s="118">
        <f t="shared" si="18"/>
        <v>0.87273330621037815</v>
      </c>
      <c r="W33" s="118">
        <f t="shared" si="15"/>
        <v>143.89397805736229</v>
      </c>
      <c r="Z33" s="118">
        <f t="shared" si="11"/>
        <v>-17.806731467951273</v>
      </c>
      <c r="AB33" s="118">
        <f t="shared" si="12"/>
        <v>0.61092727248761491</v>
      </c>
      <c r="AC33" s="118">
        <f t="shared" si="13"/>
        <v>0.61092727248761491</v>
      </c>
      <c r="AD33" s="118">
        <f t="shared" si="14"/>
        <v>0.87273330621037815</v>
      </c>
    </row>
    <row r="34" spans="1:30" x14ac:dyDescent="0.3">
      <c r="A34" s="95">
        <v>17</v>
      </c>
      <c r="B34" s="95">
        <v>1095</v>
      </c>
      <c r="C34" s="95">
        <v>0.5</v>
      </c>
      <c r="D34" s="95">
        <v>0</v>
      </c>
      <c r="F34" s="95">
        <v>17.331539876154164</v>
      </c>
      <c r="G34" s="95">
        <v>0</v>
      </c>
      <c r="H34" s="95">
        <v>1094.8051056499014</v>
      </c>
      <c r="J34" s="95">
        <f t="shared" si="2"/>
        <v>17.331539876154164</v>
      </c>
      <c r="K34" s="95">
        <f t="shared" si="4"/>
        <v>0.52358382285377769</v>
      </c>
      <c r="L34" s="95">
        <f t="shared" si="17"/>
        <v>17.331687705010353</v>
      </c>
      <c r="M34" s="95">
        <f t="shared" si="3"/>
        <v>0.19489435009859335</v>
      </c>
      <c r="N34" s="95">
        <f t="shared" si="6"/>
        <v>3.4270438475876076E-3</v>
      </c>
      <c r="O34" s="95">
        <f t="shared" si="7"/>
        <v>0.18756519092440407</v>
      </c>
      <c r="P34" s="118">
        <f t="shared" si="8"/>
        <v>18.155806179581624</v>
      </c>
      <c r="Q34" s="121">
        <v>18.155806179581624</v>
      </c>
      <c r="R34" s="118">
        <f t="shared" si="9"/>
        <v>0.37526954737331986</v>
      </c>
      <c r="S34" s="118">
        <f t="shared" si="10"/>
        <v>1094.6247304526266</v>
      </c>
      <c r="V34" s="118">
        <f t="shared" si="18"/>
        <v>1.2218080178407291</v>
      </c>
      <c r="W34" s="118">
        <f t="shared" si="15"/>
        <v>162.04978423694391</v>
      </c>
      <c r="Z34" s="118">
        <f t="shared" si="11"/>
        <v>-18.155806179581624</v>
      </c>
      <c r="AB34" s="118">
        <f t="shared" si="12"/>
        <v>0.34907471163035098</v>
      </c>
      <c r="AC34" s="118">
        <f t="shared" si="13"/>
        <v>0.34907471163035098</v>
      </c>
      <c r="AD34" s="118">
        <f t="shared" si="14"/>
        <v>1.2218080178407291</v>
      </c>
    </row>
    <row r="35" spans="1:30" x14ac:dyDescent="0.3">
      <c r="A35" s="95">
        <v>18</v>
      </c>
      <c r="B35" s="95">
        <v>1120</v>
      </c>
      <c r="C35" s="95">
        <v>1</v>
      </c>
      <c r="D35" s="95">
        <v>0</v>
      </c>
      <c r="F35" s="95">
        <v>17.658778727074484</v>
      </c>
      <c r="G35" s="95">
        <v>0</v>
      </c>
      <c r="H35" s="95">
        <v>1119.8028845186702</v>
      </c>
      <c r="J35" s="95">
        <f t="shared" si="2"/>
        <v>17.658778727074484</v>
      </c>
      <c r="K35" s="95">
        <f t="shared" si="4"/>
        <v>0.32723988928361103</v>
      </c>
      <c r="L35" s="95">
        <f t="shared" si="17"/>
        <v>17.658927594293964</v>
      </c>
      <c r="M35" s="95">
        <f t="shared" si="3"/>
        <v>0.19711548132977441</v>
      </c>
      <c r="N35" s="95">
        <f t="shared" si="6"/>
        <v>2.1419024047422547E-3</v>
      </c>
      <c r="O35" s="95">
        <f t="shared" si="7"/>
        <v>0.18970709332914631</v>
      </c>
      <c r="P35" s="118">
        <f t="shared" si="8"/>
        <v>18.592182802787065</v>
      </c>
      <c r="Q35" s="121">
        <v>18.592182802787065</v>
      </c>
      <c r="R35" s="118">
        <f t="shared" si="9"/>
        <v>0.37955371921819969</v>
      </c>
      <c r="S35" s="118">
        <f t="shared" si="10"/>
        <v>1119.6204462807818</v>
      </c>
      <c r="V35" s="118">
        <f t="shared" si="18"/>
        <v>1.6581846410461694</v>
      </c>
      <c r="W35" s="118">
        <f t="shared" si="15"/>
        <v>180.64196703973096</v>
      </c>
      <c r="Z35" s="118">
        <f t="shared" si="11"/>
        <v>-18.592182802787065</v>
      </c>
      <c r="AB35" s="118">
        <f t="shared" si="12"/>
        <v>0.43637662320544024</v>
      </c>
      <c r="AC35" s="118">
        <f t="shared" si="13"/>
        <v>0.43637662320544024</v>
      </c>
      <c r="AD35" s="118">
        <f t="shared" si="14"/>
        <v>1.6581846410461694</v>
      </c>
    </row>
    <row r="36" spans="1:30" x14ac:dyDescent="0.3">
      <c r="A36" s="95">
        <v>19</v>
      </c>
      <c r="B36" s="95">
        <v>1280</v>
      </c>
      <c r="C36" s="95">
        <v>2</v>
      </c>
      <c r="D36" s="95">
        <v>0</v>
      </c>
      <c r="F36" s="95">
        <v>21.847037296840263</v>
      </c>
      <c r="G36" s="95">
        <v>0</v>
      </c>
      <c r="H36" s="95">
        <v>1279.7460264355893</v>
      </c>
      <c r="J36" s="95">
        <f t="shared" si="2"/>
        <v>21.847037296840263</v>
      </c>
      <c r="K36" s="95">
        <f t="shared" si="4"/>
        <v>4.1883117292597047</v>
      </c>
      <c r="L36" s="95">
        <f t="shared" si="17"/>
        <v>21.847239323553669</v>
      </c>
      <c r="M36" s="95">
        <f t="shared" si="3"/>
        <v>0.25397356441067132</v>
      </c>
      <c r="N36" s="95">
        <f t="shared" si="6"/>
        <v>5.483740122485016E-2</v>
      </c>
      <c r="O36" s="95">
        <f t="shared" si="7"/>
        <v>0.24454449455399646</v>
      </c>
      <c r="P36" s="118">
        <f t="shared" si="8"/>
        <v>24.179505921466699</v>
      </c>
      <c r="Q36" s="121">
        <v>24.179505921466699</v>
      </c>
      <c r="R36" s="118">
        <f t="shared" si="9"/>
        <v>0.48926611736661718</v>
      </c>
      <c r="S36" s="118">
        <f t="shared" si="10"/>
        <v>1279.5107338826333</v>
      </c>
      <c r="V36" s="118">
        <f t="shared" si="18"/>
        <v>7.245507759725804</v>
      </c>
      <c r="W36" s="118">
        <f t="shared" si="15"/>
        <v>204.82147296119766</v>
      </c>
      <c r="Z36" s="118">
        <f t="shared" si="11"/>
        <v>-24.179505921466699</v>
      </c>
      <c r="AB36" s="118">
        <f t="shared" si="12"/>
        <v>5.5873231186796346</v>
      </c>
      <c r="AC36" s="118">
        <f t="shared" si="13"/>
        <v>5.5873231186796346</v>
      </c>
      <c r="AD36" s="118">
        <f t="shared" si="14"/>
        <v>7.245507759725804</v>
      </c>
    </row>
    <row r="37" spans="1:30" x14ac:dyDescent="0.3">
      <c r="A37" s="95">
        <v>20</v>
      </c>
      <c r="B37" s="95">
        <v>1355</v>
      </c>
      <c r="C37" s="95">
        <v>1</v>
      </c>
      <c r="D37" s="95">
        <v>0</v>
      </c>
      <c r="F37" s="95">
        <v>23.81028350141797</v>
      </c>
      <c r="G37" s="95">
        <v>0</v>
      </c>
      <c r="H37" s="95">
        <v>1354.7193742091451</v>
      </c>
      <c r="J37" s="95">
        <f t="shared" si="2"/>
        <v>23.81028350141797</v>
      </c>
      <c r="K37" s="95">
        <f t="shared" si="4"/>
        <v>1.9632711230904865</v>
      </c>
      <c r="L37" s="95">
        <f t="shared" si="17"/>
        <v>23.810510446644155</v>
      </c>
      <c r="M37" s="95">
        <f t="shared" si="3"/>
        <v>0.28062579085485595</v>
      </c>
      <c r="N37" s="95">
        <f t="shared" si="6"/>
        <v>2.570503182414851E-2</v>
      </c>
      <c r="O37" s="95">
        <f t="shared" si="7"/>
        <v>0.27024952637814498</v>
      </c>
      <c r="P37" s="118">
        <f t="shared" si="8"/>
        <v>25.48863579108302</v>
      </c>
      <c r="Q37" s="121">
        <v>25.48863579108302</v>
      </c>
      <c r="R37" s="118">
        <f t="shared" si="9"/>
        <v>0.54069380399868794</v>
      </c>
      <c r="S37" s="118">
        <f t="shared" si="10"/>
        <v>1354.4593061960013</v>
      </c>
      <c r="V37" s="118">
        <f t="shared" si="18"/>
        <v>8.5546376293421247</v>
      </c>
      <c r="W37" s="118">
        <f t="shared" si="15"/>
        <v>230.31010875228068</v>
      </c>
      <c r="Z37" s="118">
        <f t="shared" si="11"/>
        <v>-25.48863579108302</v>
      </c>
      <c r="AB37" s="118">
        <f t="shared" si="12"/>
        <v>1.3091298696163207</v>
      </c>
      <c r="AC37" s="118">
        <f t="shared" si="13"/>
        <v>1.3091298696163207</v>
      </c>
      <c r="AD37" s="118">
        <f t="shared" si="14"/>
        <v>8.5546376293421247</v>
      </c>
    </row>
    <row r="38" spans="1:30" x14ac:dyDescent="0.3">
      <c r="A38" s="95">
        <v>21</v>
      </c>
      <c r="B38" s="95">
        <v>1385</v>
      </c>
      <c r="C38" s="95">
        <v>1</v>
      </c>
      <c r="D38" s="95">
        <v>0</v>
      </c>
      <c r="F38" s="95">
        <v>24.333855694536474</v>
      </c>
      <c r="G38" s="95">
        <v>0</v>
      </c>
      <c r="H38" s="95">
        <v>1384.7148050638368</v>
      </c>
      <c r="J38" s="95">
        <f t="shared" si="2"/>
        <v>24.333855694536474</v>
      </c>
      <c r="K38" s="95">
        <f t="shared" si="4"/>
        <v>0.52357219311850534</v>
      </c>
      <c r="L38" s="95">
        <f t="shared" si="17"/>
        <v>24.334082639762659</v>
      </c>
      <c r="M38" s="95">
        <f t="shared" si="3"/>
        <v>0.28519493616317959</v>
      </c>
      <c r="N38" s="95">
        <f t="shared" si="6"/>
        <v>4.5694933127463939E-3</v>
      </c>
      <c r="O38" s="95">
        <f t="shared" si="7"/>
        <v>0.2748190196908914</v>
      </c>
      <c r="P38" s="118">
        <f t="shared" si="8"/>
        <v>26.012287738929547</v>
      </c>
      <c r="Q38" s="121">
        <v>26.012287738929547</v>
      </c>
      <c r="R38" s="118">
        <f t="shared" si="9"/>
        <v>0.54983418274813667</v>
      </c>
      <c r="S38" s="118">
        <f t="shared" si="10"/>
        <v>1384.4501658172519</v>
      </c>
      <c r="V38" s="118">
        <f t="shared" si="18"/>
        <v>9.0782895771886523</v>
      </c>
      <c r="W38" s="118">
        <f t="shared" si="15"/>
        <v>256.32239649121021</v>
      </c>
      <c r="Z38" s="118">
        <f t="shared" si="11"/>
        <v>-26.012287738929547</v>
      </c>
      <c r="AB38" s="118">
        <f t="shared" si="12"/>
        <v>0.52365194784652758</v>
      </c>
      <c r="AC38" s="118">
        <f t="shared" si="13"/>
        <v>0.52365194784652758</v>
      </c>
      <c r="AD38" s="118">
        <f t="shared" si="14"/>
        <v>9.0782895771886523</v>
      </c>
    </row>
    <row r="39" spans="1:30" x14ac:dyDescent="0.3">
      <c r="A39" s="95">
        <v>22</v>
      </c>
      <c r="B39" s="95">
        <v>1435</v>
      </c>
      <c r="C39" s="95">
        <v>1</v>
      </c>
      <c r="D39" s="95">
        <v>0</v>
      </c>
      <c r="F39" s="95">
        <v>25.20647601640065</v>
      </c>
      <c r="G39" s="95">
        <v>0</v>
      </c>
      <c r="H39" s="95">
        <v>1434.7071898216564</v>
      </c>
      <c r="J39" s="95">
        <f t="shared" si="2"/>
        <v>25.20647601640065</v>
      </c>
      <c r="K39" s="95">
        <f t="shared" si="4"/>
        <v>0.8726203218641756</v>
      </c>
      <c r="L39" s="95">
        <f t="shared" si="17"/>
        <v>25.206702961626835</v>
      </c>
      <c r="M39" s="95">
        <f t="shared" si="3"/>
        <v>0.2928101783436432</v>
      </c>
      <c r="N39" s="95">
        <f t="shared" si="6"/>
        <v>7.6158221879106562E-3</v>
      </c>
      <c r="O39" s="95">
        <f t="shared" si="7"/>
        <v>0.28243484187880208</v>
      </c>
      <c r="P39" s="118">
        <f t="shared" si="8"/>
        <v>26.885040985340428</v>
      </c>
      <c r="Q39" s="121">
        <v>26.885040985340428</v>
      </c>
      <c r="R39" s="118">
        <f t="shared" si="9"/>
        <v>0.56506814733055122</v>
      </c>
      <c r="S39" s="118">
        <f t="shared" si="10"/>
        <v>1434.4349318526695</v>
      </c>
      <c r="U39" t="s">
        <v>267</v>
      </c>
      <c r="V39" s="118">
        <f>V38</f>
        <v>9.0782895771886523</v>
      </c>
      <c r="W39" s="118">
        <f t="shared" si="15"/>
        <v>283.20743747655064</v>
      </c>
      <c r="Z39" s="118">
        <f t="shared" si="11"/>
        <v>-26.885040985340428</v>
      </c>
      <c r="AB39" s="118">
        <f t="shared" si="12"/>
        <v>0.87275324641088048</v>
      </c>
      <c r="AC39" s="120">
        <f t="shared" si="13"/>
        <v>0</v>
      </c>
      <c r="AD39" s="118">
        <f t="shared" si="14"/>
        <v>9.0782895771886523</v>
      </c>
    </row>
    <row r="40" spans="1:30" x14ac:dyDescent="0.3">
      <c r="A40" s="95">
        <v>23</v>
      </c>
      <c r="B40" s="95">
        <v>1480</v>
      </c>
      <c r="C40" s="95">
        <v>1</v>
      </c>
      <c r="D40" s="95">
        <v>0</v>
      </c>
      <c r="F40" s="95">
        <v>25.99183430607841</v>
      </c>
      <c r="G40" s="95">
        <v>0</v>
      </c>
      <c r="H40" s="95">
        <v>1479.7003361036939</v>
      </c>
      <c r="J40" s="95">
        <f t="shared" si="2"/>
        <v>25.99183430607841</v>
      </c>
      <c r="K40" s="95">
        <f t="shared" si="4"/>
        <v>0.785358289677758</v>
      </c>
      <c r="L40" s="95">
        <f t="shared" si="17"/>
        <v>25.992061251304595</v>
      </c>
      <c r="M40" s="95">
        <f t="shared" si="3"/>
        <v>0.29966389630612866</v>
      </c>
      <c r="N40" s="95">
        <f t="shared" si="6"/>
        <v>6.85423996911959E-3</v>
      </c>
      <c r="O40" s="95">
        <f t="shared" si="7"/>
        <v>0.28928908184792168</v>
      </c>
      <c r="P40" s="118">
        <f t="shared" si="8"/>
        <v>27.670518907110221</v>
      </c>
      <c r="Q40" s="121">
        <v>27.670518907110221</v>
      </c>
      <c r="R40" s="118">
        <f t="shared" si="9"/>
        <v>0.57877871545472437</v>
      </c>
      <c r="S40" s="118">
        <f t="shared" si="10"/>
        <v>1479.4212212845453</v>
      </c>
      <c r="V40" s="118">
        <f>P40-P$39</f>
        <v>0.78547792176979314</v>
      </c>
      <c r="W40" s="118">
        <f t="shared" si="15"/>
        <v>310.87795638366083</v>
      </c>
      <c r="Z40" s="118">
        <f t="shared" si="11"/>
        <v>-27.670518907110221</v>
      </c>
      <c r="AB40" s="118">
        <f t="shared" si="12"/>
        <v>0.78547792176979314</v>
      </c>
      <c r="AC40" s="118">
        <f t="shared" si="13"/>
        <v>0.78547792176979314</v>
      </c>
      <c r="AD40" s="118">
        <f t="shared" si="14"/>
        <v>9.8637674989584454</v>
      </c>
    </row>
    <row r="41" spans="1:30" x14ac:dyDescent="0.3">
      <c r="A41" s="95">
        <v>24</v>
      </c>
      <c r="B41" s="95">
        <v>1505</v>
      </c>
      <c r="C41" s="95">
        <v>1</v>
      </c>
      <c r="D41" s="95">
        <v>0</v>
      </c>
      <c r="F41" s="95">
        <v>26.428144467010497</v>
      </c>
      <c r="G41" s="95">
        <v>0</v>
      </c>
      <c r="H41" s="95">
        <v>1504.6965284826038</v>
      </c>
      <c r="J41" s="95">
        <f t="shared" si="2"/>
        <v>26.428144467010497</v>
      </c>
      <c r="K41" s="95">
        <f t="shared" si="4"/>
        <v>0.4363101609320878</v>
      </c>
      <c r="L41" s="95">
        <f t="shared" si="17"/>
        <v>26.428371412236682</v>
      </c>
      <c r="M41" s="95">
        <f t="shared" si="3"/>
        <v>0.30347151739624678</v>
      </c>
      <c r="N41" s="95">
        <f t="shared" si="6"/>
        <v>3.8079110939553281E-3</v>
      </c>
      <c r="O41" s="95">
        <f t="shared" si="7"/>
        <v>0.29309699294187702</v>
      </c>
      <c r="P41" s="118">
        <f t="shared" si="8"/>
        <v>28.106895530315661</v>
      </c>
      <c r="Q41" s="121">
        <v>28.106895530315661</v>
      </c>
      <c r="R41" s="118">
        <f t="shared" si="9"/>
        <v>0.5863956977459317</v>
      </c>
      <c r="S41" s="118">
        <f t="shared" si="10"/>
        <v>1504.413604302254</v>
      </c>
      <c r="W41" s="118">
        <f t="shared" si="15"/>
        <v>338.98485191397651</v>
      </c>
      <c r="Z41" s="118">
        <f t="shared" si="11"/>
        <v>-28.106895530315661</v>
      </c>
      <c r="AB41" s="118">
        <f t="shared" si="12"/>
        <v>0.43637662320544024</v>
      </c>
      <c r="AC41" s="118">
        <f t="shared" si="13"/>
        <v>0.43637662320544024</v>
      </c>
      <c r="AD41" s="118">
        <f t="shared" si="14"/>
        <v>10.300144122163886</v>
      </c>
    </row>
    <row r="42" spans="1:30" x14ac:dyDescent="0.3">
      <c r="A42" s="95">
        <v>25</v>
      </c>
      <c r="B42" s="95">
        <v>1540</v>
      </c>
      <c r="C42" s="95">
        <v>1.25</v>
      </c>
      <c r="D42" s="95">
        <v>0</v>
      </c>
      <c r="F42" s="95">
        <v>27.115323158010831</v>
      </c>
      <c r="G42" s="95">
        <v>0</v>
      </c>
      <c r="H42" s="95">
        <v>1539.6897541402259</v>
      </c>
      <c r="J42" s="95">
        <f t="shared" si="2"/>
        <v>27.115323158010831</v>
      </c>
      <c r="K42" s="95">
        <f t="shared" si="4"/>
        <v>0.6871792361219905</v>
      </c>
      <c r="L42" s="95">
        <f t="shared" si="17"/>
        <v>27.115550648358674</v>
      </c>
      <c r="M42" s="95">
        <f t="shared" si="3"/>
        <v>0.31024585977411334</v>
      </c>
      <c r="N42" s="95">
        <f t="shared" si="6"/>
        <v>6.7472334871486982E-3</v>
      </c>
      <c r="O42" s="95">
        <f t="shared" si="7"/>
        <v>0.2998442264290257</v>
      </c>
      <c r="P42" s="118">
        <f t="shared" si="8"/>
        <v>28.870598247090893</v>
      </c>
      <c r="Q42" s="121">
        <v>28.870598247090893</v>
      </c>
      <c r="R42" s="118">
        <f t="shared" si="9"/>
        <v>0.59989276640867806</v>
      </c>
      <c r="S42" s="118">
        <f t="shared" si="10"/>
        <v>1539.4001072335914</v>
      </c>
      <c r="W42" s="118">
        <f t="shared" si="15"/>
        <v>367.85545016106738</v>
      </c>
      <c r="Z42" s="118">
        <f t="shared" si="11"/>
        <v>-28.870598247090893</v>
      </c>
      <c r="AB42" s="118">
        <f t="shared" si="12"/>
        <v>0.76370271677523149</v>
      </c>
      <c r="AC42" s="118">
        <f t="shared" si="13"/>
        <v>0.76370271677523149</v>
      </c>
      <c r="AD42" s="118">
        <f t="shared" si="14"/>
        <v>11.063846838939117</v>
      </c>
    </row>
    <row r="43" spans="1:30" x14ac:dyDescent="0.3">
      <c r="A43" s="95">
        <v>26</v>
      </c>
      <c r="B43" s="95">
        <v>1600</v>
      </c>
      <c r="C43" s="95">
        <v>0.5</v>
      </c>
      <c r="D43" s="95">
        <v>0</v>
      </c>
      <c r="F43" s="95">
        <v>28.031578857197822</v>
      </c>
      <c r="G43" s="95">
        <v>0</v>
      </c>
      <c r="H43" s="95">
        <v>1599.6823292774686</v>
      </c>
      <c r="J43" s="95">
        <f t="shared" si="2"/>
        <v>28.031578857197822</v>
      </c>
      <c r="K43" s="95">
        <f t="shared" si="4"/>
        <v>0.91626224080047092</v>
      </c>
      <c r="L43" s="95">
        <f t="shared" si="17"/>
        <v>28.031812889159145</v>
      </c>
      <c r="M43" s="95">
        <f t="shared" si="3"/>
        <v>0.31767072253137485</v>
      </c>
      <c r="N43" s="95">
        <f t="shared" si="6"/>
        <v>6.9969533576672771E-3</v>
      </c>
      <c r="O43" s="95">
        <f t="shared" si="7"/>
        <v>0.30684117978669295</v>
      </c>
      <c r="P43" s="118">
        <f t="shared" si="8"/>
        <v>29.394210314536419</v>
      </c>
      <c r="Q43" s="121">
        <v>29.394210314536419</v>
      </c>
      <c r="R43" s="118">
        <f t="shared" si="9"/>
        <v>0.61388830513104231</v>
      </c>
      <c r="S43" s="118">
        <f t="shared" si="10"/>
        <v>1599.386111694869</v>
      </c>
      <c r="W43" s="118">
        <f t="shared" si="15"/>
        <v>397.24966047560378</v>
      </c>
      <c r="Z43" s="118">
        <f t="shared" si="11"/>
        <v>-29.394210314536419</v>
      </c>
      <c r="AB43" s="118">
        <f t="shared" si="12"/>
        <v>0.52361206744552646</v>
      </c>
      <c r="AC43" s="118">
        <f t="shared" si="13"/>
        <v>0.52361206744552646</v>
      </c>
      <c r="AD43" s="118">
        <f t="shared" si="14"/>
        <v>11.587458906384644</v>
      </c>
    </row>
    <row r="44" spans="1:30" x14ac:dyDescent="0.3">
      <c r="A44" s="95">
        <v>27</v>
      </c>
      <c r="B44" s="95">
        <v>1640</v>
      </c>
      <c r="C44" s="95">
        <v>1</v>
      </c>
      <c r="D44" s="95">
        <v>0</v>
      </c>
      <c r="F44" s="95">
        <v>28.555161018670336</v>
      </c>
      <c r="G44" s="95">
        <v>0</v>
      </c>
      <c r="H44" s="95">
        <v>1639.6787754674988</v>
      </c>
      <c r="J44" s="95">
        <f t="shared" si="2"/>
        <v>28.555161018670336</v>
      </c>
      <c r="K44" s="95">
        <f t="shared" si="4"/>
        <v>0.52358382285377769</v>
      </c>
      <c r="L44" s="95">
        <f t="shared" si="17"/>
        <v>28.555396712012922</v>
      </c>
      <c r="M44" s="95">
        <f t="shared" si="3"/>
        <v>0.32122453250121907</v>
      </c>
      <c r="N44" s="95">
        <f t="shared" si="6"/>
        <v>3.4270438475876076E-3</v>
      </c>
      <c r="O44" s="95">
        <f t="shared" si="7"/>
        <v>0.31026822363428058</v>
      </c>
      <c r="P44" s="118">
        <f t="shared" si="8"/>
        <v>30.092412911665122</v>
      </c>
      <c r="Q44" s="121">
        <v>30.092412911665122</v>
      </c>
      <c r="R44" s="118">
        <f t="shared" si="9"/>
        <v>0.62074298008285</v>
      </c>
      <c r="S44" s="118">
        <f t="shared" si="10"/>
        <v>1639.3792570199171</v>
      </c>
      <c r="AB44" s="118">
        <f t="shared" si="12"/>
        <v>0.69820259712870225</v>
      </c>
      <c r="AC44" s="118">
        <f t="shared" si="13"/>
        <v>0.69820259712870225</v>
      </c>
      <c r="AD44" s="118">
        <f t="shared" si="14"/>
        <v>12.285661503513346</v>
      </c>
    </row>
    <row r="45" spans="1:30" x14ac:dyDescent="0.3">
      <c r="A45" s="95">
        <v>28</v>
      </c>
      <c r="B45" s="95">
        <v>1675</v>
      </c>
      <c r="C45" s="95">
        <v>1</v>
      </c>
      <c r="D45" s="95">
        <v>0</v>
      </c>
      <c r="F45" s="95">
        <v>29.16599524397526</v>
      </c>
      <c r="G45" s="95">
        <v>0</v>
      </c>
      <c r="H45" s="95">
        <v>1674.6734447979725</v>
      </c>
      <c r="J45" s="95">
        <f t="shared" si="2"/>
        <v>29.16599524397526</v>
      </c>
      <c r="K45" s="95">
        <f t="shared" si="4"/>
        <v>0.61083422530492293</v>
      </c>
      <c r="L45" s="95">
        <f t="shared" si="17"/>
        <v>29.166230937317845</v>
      </c>
      <c r="M45" s="95">
        <f t="shared" si="3"/>
        <v>0.32655520202752086</v>
      </c>
      <c r="N45" s="95">
        <f t="shared" si="6"/>
        <v>5.3310755315374592E-3</v>
      </c>
      <c r="O45" s="95">
        <f t="shared" si="7"/>
        <v>0.31559929916581803</v>
      </c>
      <c r="P45" s="118">
        <f t="shared" si="8"/>
        <v>30.703340184152736</v>
      </c>
      <c r="Q45" s="121">
        <v>30.703340184152736</v>
      </c>
      <c r="R45" s="118">
        <f t="shared" si="9"/>
        <v>0.63140675529054024</v>
      </c>
      <c r="S45" s="118">
        <f t="shared" si="10"/>
        <v>1674.3685932447095</v>
      </c>
      <c r="AB45" s="118">
        <f t="shared" si="12"/>
        <v>0.61092727248761491</v>
      </c>
      <c r="AC45" s="118">
        <f t="shared" si="13"/>
        <v>0.61092727248761491</v>
      </c>
      <c r="AD45" s="118">
        <f t="shared" si="14"/>
        <v>12.896588776000961</v>
      </c>
    </row>
    <row r="46" spans="1:30" x14ac:dyDescent="0.3">
      <c r="A46" s="95">
        <v>29</v>
      </c>
      <c r="B46" s="95">
        <v>1725</v>
      </c>
      <c r="C46" s="95">
        <v>1</v>
      </c>
      <c r="D46" s="95">
        <v>0</v>
      </c>
      <c r="F46" s="95">
        <v>30.038615565839436</v>
      </c>
      <c r="G46" s="95">
        <v>0</v>
      </c>
      <c r="H46" s="95">
        <v>1724.665829555792</v>
      </c>
      <c r="J46" s="95">
        <f t="shared" si="2"/>
        <v>30.038615565839436</v>
      </c>
      <c r="K46" s="95">
        <f t="shared" si="4"/>
        <v>0.8726203218641756</v>
      </c>
      <c r="L46" s="95">
        <f t="shared" si="17"/>
        <v>30.038851259182021</v>
      </c>
      <c r="M46" s="95">
        <f t="shared" si="3"/>
        <v>0.33417044420798447</v>
      </c>
      <c r="N46" s="95">
        <f t="shared" si="6"/>
        <v>7.6158221879106562E-3</v>
      </c>
      <c r="O46" s="95">
        <f t="shared" si="7"/>
        <v>0.32321512135372871</v>
      </c>
      <c r="P46" s="118">
        <f t="shared" si="8"/>
        <v>31.576093430563617</v>
      </c>
      <c r="Q46" s="121">
        <v>31.576093430563617</v>
      </c>
      <c r="R46" s="118">
        <f t="shared" si="9"/>
        <v>0.64664071987295479</v>
      </c>
      <c r="S46" s="118">
        <f t="shared" si="10"/>
        <v>1724.3533592801271</v>
      </c>
      <c r="AB46" s="118">
        <f t="shared" si="12"/>
        <v>0.87275324641088048</v>
      </c>
      <c r="AC46" s="118">
        <f t="shared" si="13"/>
        <v>0.87275324641088048</v>
      </c>
      <c r="AD46" s="118">
        <f t="shared" si="14"/>
        <v>13.769342022411841</v>
      </c>
    </row>
    <row r="47" spans="1:30" x14ac:dyDescent="0.3">
      <c r="A47" s="95">
        <v>30</v>
      </c>
      <c r="B47" s="95">
        <v>1750</v>
      </c>
      <c r="C47" s="95">
        <v>0.5</v>
      </c>
      <c r="D47" s="95">
        <v>0</v>
      </c>
      <c r="F47" s="95">
        <v>30.365854416759756</v>
      </c>
      <c r="G47" s="95">
        <v>0</v>
      </c>
      <c r="H47" s="95">
        <v>1749.6636084245608</v>
      </c>
      <c r="J47" s="95">
        <f t="shared" si="2"/>
        <v>30.365854416759756</v>
      </c>
      <c r="K47" s="95">
        <f t="shared" si="4"/>
        <v>0.32723988928361103</v>
      </c>
      <c r="L47" s="95">
        <f t="shared" si="17"/>
        <v>30.366091148465632</v>
      </c>
      <c r="M47" s="95">
        <f t="shared" si="3"/>
        <v>0.33639157543916554</v>
      </c>
      <c r="N47" s="95">
        <f t="shared" si="6"/>
        <v>2.1419024047422547E-3</v>
      </c>
      <c r="O47" s="95">
        <f t="shared" si="7"/>
        <v>0.32535702375847098</v>
      </c>
      <c r="P47" s="118">
        <f t="shared" si="8"/>
        <v>31.794265125332586</v>
      </c>
      <c r="Q47" s="121">
        <v>31.794265125332586</v>
      </c>
      <c r="R47" s="118">
        <f t="shared" si="9"/>
        <v>0.65092489171783463</v>
      </c>
      <c r="S47" s="118">
        <f t="shared" si="10"/>
        <v>1749.3490751082822</v>
      </c>
      <c r="AB47" s="118">
        <f t="shared" si="12"/>
        <v>0.21817169476896936</v>
      </c>
      <c r="AC47" s="118">
        <f t="shared" si="13"/>
        <v>0.21817169476896936</v>
      </c>
      <c r="AD47" s="118">
        <f t="shared" si="14"/>
        <v>13.987513717180811</v>
      </c>
    </row>
    <row r="48" spans="1:30" x14ac:dyDescent="0.3">
      <c r="A48" s="95">
        <v>31</v>
      </c>
      <c r="B48" s="95">
        <v>1790</v>
      </c>
      <c r="C48" s="95">
        <v>0.5</v>
      </c>
      <c r="D48" s="95">
        <v>0</v>
      </c>
      <c r="F48" s="95">
        <v>30.714915836694715</v>
      </c>
      <c r="G48" s="95">
        <v>0</v>
      </c>
      <c r="H48" s="95">
        <v>1789.6620853471277</v>
      </c>
      <c r="J48" s="95">
        <f t="shared" si="2"/>
        <v>30.714915836694715</v>
      </c>
      <c r="K48" s="95">
        <f t="shared" si="4"/>
        <v>0.34906141993495737</v>
      </c>
      <c r="L48" s="95">
        <f t="shared" si="17"/>
        <v>30.71515256840059</v>
      </c>
      <c r="M48" s="95">
        <f t="shared" si="3"/>
        <v>0.33791465287231404</v>
      </c>
      <c r="N48" s="95">
        <f t="shared" si="6"/>
        <v>1.5231064313134537E-3</v>
      </c>
      <c r="O48" s="95">
        <f t="shared" si="7"/>
        <v>0.32688013018978446</v>
      </c>
      <c r="P48" s="118">
        <f t="shared" si="8"/>
        <v>32.143339836962937</v>
      </c>
      <c r="Q48" s="121">
        <v>32.143339836962937</v>
      </c>
      <c r="R48" s="118">
        <f t="shared" si="9"/>
        <v>0.65397122057532997</v>
      </c>
      <c r="S48" s="118">
        <f t="shared" si="10"/>
        <v>1789.3460287794246</v>
      </c>
      <c r="AB48" s="118">
        <f t="shared" si="12"/>
        <v>0.34907471163035098</v>
      </c>
      <c r="AC48" s="118">
        <f t="shared" si="13"/>
        <v>0.34907471163035098</v>
      </c>
      <c r="AD48" s="118">
        <f t="shared" si="14"/>
        <v>14.336588428811162</v>
      </c>
    </row>
    <row r="49" spans="1:30" x14ac:dyDescent="0.3">
      <c r="A49" s="95">
        <v>32</v>
      </c>
      <c r="B49" s="95">
        <v>1855</v>
      </c>
      <c r="C49" s="95">
        <v>2</v>
      </c>
      <c r="D49" s="95">
        <v>0</v>
      </c>
      <c r="F49" s="95">
        <v>32.132842870137225</v>
      </c>
      <c r="G49" s="95">
        <v>0</v>
      </c>
      <c r="H49" s="95">
        <v>1854.6447613025596</v>
      </c>
      <c r="J49" s="95">
        <f t="shared" si="2"/>
        <v>32.132842870137225</v>
      </c>
      <c r="K49" s="95">
        <f t="shared" si="4"/>
        <v>1.4179675272464729</v>
      </c>
      <c r="L49" s="95">
        <f t="shared" si="17"/>
        <v>32.133120095647065</v>
      </c>
      <c r="M49" s="95">
        <f t="shared" si="3"/>
        <v>0.35523869744042713</v>
      </c>
      <c r="N49" s="95">
        <f t="shared" si="6"/>
        <v>1.5470080755102695E-2</v>
      </c>
      <c r="O49" s="95">
        <f t="shared" si="7"/>
        <v>0.34235021094488716</v>
      </c>
      <c r="P49" s="118">
        <f t="shared" si="8"/>
        <v>34.413189853926539</v>
      </c>
      <c r="Q49" s="121">
        <v>34.413189853926539</v>
      </c>
      <c r="R49" s="118">
        <f t="shared" si="9"/>
        <v>0.68491874675871078</v>
      </c>
      <c r="S49" s="118">
        <f t="shared" si="10"/>
        <v>1854.3150812532413</v>
      </c>
      <c r="AB49" s="118">
        <f t="shared" si="12"/>
        <v>2.269850016963602</v>
      </c>
      <c r="AC49" s="118">
        <f t="shared" si="13"/>
        <v>2.269850016963602</v>
      </c>
      <c r="AD49" s="118">
        <f t="shared" si="14"/>
        <v>16.606438445774764</v>
      </c>
    </row>
    <row r="50" spans="1:30" x14ac:dyDescent="0.3">
      <c r="A50" s="95">
        <v>33</v>
      </c>
      <c r="B50" s="95">
        <v>1890</v>
      </c>
      <c r="C50" s="95">
        <v>2</v>
      </c>
      <c r="D50" s="95">
        <v>0</v>
      </c>
      <c r="F50" s="95">
        <v>33.354325254724756</v>
      </c>
      <c r="G50" s="95">
        <v>0</v>
      </c>
      <c r="H50" s="95">
        <v>1889.623440248228</v>
      </c>
      <c r="J50" s="95">
        <f t="shared" si="2"/>
        <v>33.354325254724756</v>
      </c>
      <c r="K50" s="95">
        <f t="shared" si="4"/>
        <v>1.221482384587534</v>
      </c>
      <c r="L50" s="95">
        <f t="shared" si="17"/>
        <v>33.354602480234597</v>
      </c>
      <c r="M50" s="95">
        <f t="shared" si="3"/>
        <v>0.37655975177199252</v>
      </c>
      <c r="N50" s="95">
        <f t="shared" si="6"/>
        <v>2.1327552395205812E-2</v>
      </c>
      <c r="O50" s="95">
        <f t="shared" si="7"/>
        <v>0.36367776334009294</v>
      </c>
      <c r="P50" s="118">
        <f t="shared" si="8"/>
        <v>35.635416786137711</v>
      </c>
      <c r="Q50" s="121">
        <v>35.635416786137711</v>
      </c>
      <c r="R50" s="118">
        <f t="shared" si="9"/>
        <v>0.72759985172506303</v>
      </c>
      <c r="S50" s="118">
        <f t="shared" si="10"/>
        <v>1889.272400148275</v>
      </c>
    </row>
    <row r="51" spans="1:30" x14ac:dyDescent="0.3">
      <c r="A51" s="95">
        <v>34</v>
      </c>
      <c r="B51" s="95">
        <v>1945</v>
      </c>
      <c r="C51" s="95">
        <v>2</v>
      </c>
      <c r="D51" s="95">
        <v>0</v>
      </c>
      <c r="F51" s="95">
        <v>35.273797573362309</v>
      </c>
      <c r="G51" s="95">
        <v>0</v>
      </c>
      <c r="H51" s="95">
        <v>1944.5899357342782</v>
      </c>
      <c r="J51" s="95">
        <f t="shared" si="2"/>
        <v>35.273797573362309</v>
      </c>
      <c r="K51" s="95">
        <f t="shared" si="4"/>
        <v>1.9194723186375533</v>
      </c>
      <c r="L51" s="95">
        <f t="shared" si="17"/>
        <v>35.274074798872149</v>
      </c>
      <c r="M51" s="95">
        <f t="shared" si="3"/>
        <v>0.41006426572175769</v>
      </c>
      <c r="N51" s="95">
        <f t="shared" si="6"/>
        <v>3.3514725192466274E-2</v>
      </c>
      <c r="O51" s="95">
        <f t="shared" si="7"/>
        <v>0.39719248853255923</v>
      </c>
      <c r="P51" s="118">
        <f t="shared" si="8"/>
        <v>37.556059108183838</v>
      </c>
      <c r="R51" s="118">
        <f t="shared" si="9"/>
        <v>0.79467015952933084</v>
      </c>
      <c r="S51" s="118">
        <f t="shared" si="10"/>
        <v>1944.2053298404708</v>
      </c>
    </row>
    <row r="52" spans="1:30" x14ac:dyDescent="0.3">
      <c r="A52" s="95">
        <v>35</v>
      </c>
      <c r="B52" s="95">
        <v>1995</v>
      </c>
      <c r="C52" s="95">
        <v>2</v>
      </c>
      <c r="D52" s="95">
        <v>0</v>
      </c>
      <c r="F52" s="95">
        <v>37.018772408487358</v>
      </c>
      <c r="G52" s="95">
        <v>0</v>
      </c>
      <c r="H52" s="95">
        <v>1994.5594770852331</v>
      </c>
      <c r="J52" s="95">
        <f t="shared" si="2"/>
        <v>37.018772408487358</v>
      </c>
      <c r="K52" s="95">
        <f t="shared" si="4"/>
        <v>1.7449748351250485</v>
      </c>
      <c r="L52" s="95">
        <f t="shared" si="17"/>
        <v>37.019049633997199</v>
      </c>
      <c r="M52" s="95">
        <f t="shared" si="3"/>
        <v>0.44052291476691607</v>
      </c>
      <c r="N52" s="95">
        <f t="shared" si="6"/>
        <v>3.0467931993151159E-2</v>
      </c>
      <c r="O52" s="95">
        <f t="shared" si="7"/>
        <v>0.42766042052571041</v>
      </c>
      <c r="P52" s="118">
        <f t="shared" si="8"/>
        <v>39.302097582771225</v>
      </c>
      <c r="R52" s="118">
        <f t="shared" si="9"/>
        <v>0.85564316662411977</v>
      </c>
      <c r="S52" s="118">
        <f t="shared" si="10"/>
        <v>1994.1443568333759</v>
      </c>
    </row>
    <row r="53" spans="1:30" x14ac:dyDescent="0.3">
      <c r="A53" s="95">
        <v>36</v>
      </c>
      <c r="B53" s="95">
        <v>2085</v>
      </c>
      <c r="C53" s="95">
        <v>1.5</v>
      </c>
      <c r="D53" s="95">
        <v>0</v>
      </c>
      <c r="F53" s="95">
        <v>39.767229876226793</v>
      </c>
      <c r="G53" s="95">
        <v>0</v>
      </c>
      <c r="H53" s="95">
        <v>2084.5172148151746</v>
      </c>
      <c r="J53" s="95">
        <f t="shared" si="2"/>
        <v>39.767229876226793</v>
      </c>
      <c r="K53" s="95">
        <f t="shared" si="4"/>
        <v>2.7484661888840392</v>
      </c>
      <c r="L53" s="95">
        <f t="shared" si="17"/>
        <v>39.767515822881236</v>
      </c>
      <c r="M53" s="95">
        <f t="shared" si="3"/>
        <v>0.48278518482538857</v>
      </c>
      <c r="N53" s="95">
        <f t="shared" si="6"/>
        <v>4.1986618451574337E-2</v>
      </c>
      <c r="O53" s="95">
        <f t="shared" si="7"/>
        <v>0.46964703897728477</v>
      </c>
      <c r="P53" s="118">
        <f t="shared" si="8"/>
        <v>41.658830523998049</v>
      </c>
      <c r="R53" s="118">
        <f t="shared" si="9"/>
        <v>0.93965558769028368</v>
      </c>
      <c r="S53" s="118">
        <f t="shared" si="10"/>
        <v>2084.0603444123099</v>
      </c>
    </row>
    <row r="54" spans="1:30" x14ac:dyDescent="0.3">
      <c r="A54" s="95">
        <v>37</v>
      </c>
      <c r="B54" s="95">
        <v>2140</v>
      </c>
      <c r="C54" s="95">
        <v>1.25</v>
      </c>
      <c r="D54" s="95">
        <v>0</v>
      </c>
      <c r="F54" s="95">
        <v>41.087007387036174</v>
      </c>
      <c r="G54" s="95">
        <v>0</v>
      </c>
      <c r="H54" s="95">
        <v>2139.5013342317307</v>
      </c>
      <c r="J54" s="95">
        <f t="shared" si="2"/>
        <v>41.087007387036174</v>
      </c>
      <c r="K54" s="95">
        <f t="shared" si="4"/>
        <v>1.3197785577558447</v>
      </c>
      <c r="L54" s="95">
        <f t="shared" si="17"/>
        <v>41.087294380637083</v>
      </c>
      <c r="M54" s="95">
        <f t="shared" si="3"/>
        <v>0.49866576826934761</v>
      </c>
      <c r="N54" s="95">
        <f t="shared" si="6"/>
        <v>1.5839246661192585E-2</v>
      </c>
      <c r="O54" s="95">
        <f t="shared" si="7"/>
        <v>0.48548628563847734</v>
      </c>
      <c r="P54" s="118">
        <f t="shared" si="8"/>
        <v>42.858934793216271</v>
      </c>
      <c r="R54" s="118">
        <f t="shared" si="9"/>
        <v>0.97134320529848872</v>
      </c>
      <c r="S54" s="118">
        <f t="shared" si="10"/>
        <v>2139.0286567947014</v>
      </c>
    </row>
    <row r="55" spans="1:30" x14ac:dyDescent="0.3">
      <c r="A55" s="95">
        <v>38</v>
      </c>
      <c r="B55" s="95">
        <v>2320</v>
      </c>
      <c r="C55" s="95">
        <v>1</v>
      </c>
      <c r="D55" s="95">
        <v>0</v>
      </c>
      <c r="F55" s="95">
        <v>44.62106922646646</v>
      </c>
      <c r="G55" s="95">
        <v>0</v>
      </c>
      <c r="H55" s="95">
        <v>2319.4664947566448</v>
      </c>
      <c r="J55" s="95">
        <f t="shared" si="2"/>
        <v>44.62106922646646</v>
      </c>
      <c r="K55" s="95">
        <f t="shared" si="4"/>
        <v>3.5340646429130942</v>
      </c>
      <c r="L55" s="95">
        <f t="shared" si="17"/>
        <v>44.621359023550177</v>
      </c>
      <c r="M55" s="95">
        <f t="shared" si="3"/>
        <v>0.53350524335519367</v>
      </c>
      <c r="N55" s="95">
        <f t="shared" si="6"/>
        <v>3.4700057933907597E-2</v>
      </c>
      <c r="O55" s="95">
        <f t="shared" si="7"/>
        <v>0.52018634357238491</v>
      </c>
      <c r="P55" s="118">
        <f t="shared" si="8"/>
        <v>46.000846480295436</v>
      </c>
      <c r="R55" s="118">
        <f t="shared" si="9"/>
        <v>1.0407567012783272</v>
      </c>
      <c r="S55" s="118">
        <f t="shared" si="10"/>
        <v>2318.9592432987215</v>
      </c>
    </row>
    <row r="56" spans="1:30" x14ac:dyDescent="0.3">
      <c r="A56" s="95">
        <v>39</v>
      </c>
      <c r="B56" s="95">
        <v>2380</v>
      </c>
      <c r="C56" s="95">
        <v>1</v>
      </c>
      <c r="D56" s="95">
        <v>0</v>
      </c>
      <c r="F56" s="95">
        <v>45.668213612703468</v>
      </c>
      <c r="G56" s="95">
        <v>0</v>
      </c>
      <c r="H56" s="95">
        <v>2379.4573564660282</v>
      </c>
      <c r="J56" s="95">
        <f t="shared" si="2"/>
        <v>45.668213612703468</v>
      </c>
      <c r="K56" s="95">
        <f t="shared" si="4"/>
        <v>1.0471443862370107</v>
      </c>
      <c r="L56" s="95">
        <f t="shared" si="17"/>
        <v>45.668503409787185</v>
      </c>
      <c r="M56" s="95">
        <f t="shared" si="3"/>
        <v>0.54264353397184095</v>
      </c>
      <c r="N56" s="95">
        <f t="shared" si="6"/>
        <v>9.1389866254927878E-3</v>
      </c>
      <c r="O56" s="95">
        <f t="shared" si="7"/>
        <v>0.52932533019787775</v>
      </c>
      <c r="P56" s="118">
        <f t="shared" si="8"/>
        <v>47.048150375988492</v>
      </c>
      <c r="R56" s="118">
        <f t="shared" si="9"/>
        <v>1.0590374587772247</v>
      </c>
      <c r="S56" s="118">
        <f t="shared" si="10"/>
        <v>2378.9409625412227</v>
      </c>
    </row>
    <row r="57" spans="1:30" x14ac:dyDescent="0.3">
      <c r="A57" s="95">
        <v>40</v>
      </c>
      <c r="B57" s="95">
        <v>2585</v>
      </c>
      <c r="C57" s="95">
        <v>1</v>
      </c>
      <c r="D57" s="95">
        <v>0</v>
      </c>
      <c r="F57" s="95">
        <v>49.245956932346587</v>
      </c>
      <c r="G57" s="95">
        <v>0</v>
      </c>
      <c r="H57" s="95">
        <v>2584.4261339730883</v>
      </c>
      <c r="J57" s="95">
        <f t="shared" si="2"/>
        <v>49.245956932346587</v>
      </c>
      <c r="K57" s="95">
        <f t="shared" si="4"/>
        <v>3.5777433196431199</v>
      </c>
      <c r="L57" s="95">
        <f t="shared" si="17"/>
        <v>49.246246729430304</v>
      </c>
      <c r="M57" s="95">
        <f t="shared" si="3"/>
        <v>0.57386602691167354</v>
      </c>
      <c r="N57" s="95">
        <f t="shared" si="6"/>
        <v>3.122487097043369E-2</v>
      </c>
      <c r="O57" s="95">
        <f t="shared" si="7"/>
        <v>0.56055020116831145</v>
      </c>
      <c r="P57" s="118">
        <f t="shared" si="8"/>
        <v>50.626438686273097</v>
      </c>
      <c r="R57" s="118">
        <f t="shared" si="9"/>
        <v>1.1214967135651244</v>
      </c>
      <c r="S57" s="118">
        <f t="shared" si="10"/>
        <v>2583.8785032864348</v>
      </c>
    </row>
    <row r="58" spans="1:30" x14ac:dyDescent="0.3">
      <c r="A58" s="95">
        <v>41</v>
      </c>
      <c r="B58" s="95">
        <v>2625</v>
      </c>
      <c r="C58" s="95">
        <v>1</v>
      </c>
      <c r="D58" s="95">
        <v>0</v>
      </c>
      <c r="F58" s="95">
        <v>49.944053189837931</v>
      </c>
      <c r="G58" s="95">
        <v>0</v>
      </c>
      <c r="H58" s="95">
        <v>2624.420041779344</v>
      </c>
      <c r="J58" s="95">
        <f t="shared" si="2"/>
        <v>49.944053189837931</v>
      </c>
      <c r="K58" s="95">
        <f t="shared" si="4"/>
        <v>0.69809625749134052</v>
      </c>
      <c r="L58" s="95">
        <f t="shared" si="17"/>
        <v>49.944342986921647</v>
      </c>
      <c r="M58" s="95">
        <f t="shared" si="3"/>
        <v>0.57995822065595348</v>
      </c>
      <c r="N58" s="95">
        <f t="shared" si="6"/>
        <v>6.0926577503285255E-3</v>
      </c>
      <c r="O58" s="95">
        <f t="shared" si="7"/>
        <v>0.56664285891863997</v>
      </c>
      <c r="P58" s="118">
        <f t="shared" si="8"/>
        <v>51.324641283401803</v>
      </c>
      <c r="R58" s="118">
        <f t="shared" si="9"/>
        <v>1.133683885231056</v>
      </c>
      <c r="S58" s="118">
        <f t="shared" si="10"/>
        <v>2623.8663161147688</v>
      </c>
    </row>
    <row r="59" spans="1:30" x14ac:dyDescent="0.3">
      <c r="A59" s="95">
        <v>42</v>
      </c>
      <c r="B59" s="95">
        <v>2785</v>
      </c>
      <c r="C59" s="95">
        <v>1.25</v>
      </c>
      <c r="D59" s="95">
        <v>0</v>
      </c>
      <c r="F59" s="95">
        <v>53.085441491553745</v>
      </c>
      <c r="G59" s="95">
        <v>0</v>
      </c>
      <c r="H59" s="95">
        <v>2784.3890733570456</v>
      </c>
      <c r="J59" s="95">
        <f t="shared" si="2"/>
        <v>53.085441491553745</v>
      </c>
      <c r="K59" s="95">
        <f t="shared" si="4"/>
        <v>3.1413907937005279</v>
      </c>
      <c r="L59" s="95">
        <f t="shared" si="17"/>
        <v>53.085733780622178</v>
      </c>
      <c r="M59" s="95">
        <f t="shared" si="3"/>
        <v>0.61092664295438226</v>
      </c>
      <c r="N59" s="95">
        <f t="shared" si="6"/>
        <v>3.0844495941251191E-2</v>
      </c>
      <c r="O59" s="95">
        <f t="shared" si="7"/>
        <v>0.59748735485989113</v>
      </c>
      <c r="P59" s="118">
        <f t="shared" si="8"/>
        <v>54.815853702945716</v>
      </c>
      <c r="R59" s="118">
        <f t="shared" si="9"/>
        <v>1.195384770546468</v>
      </c>
      <c r="S59" s="118">
        <f t="shared" si="10"/>
        <v>2783.8046152294537</v>
      </c>
    </row>
    <row r="60" spans="1:30" x14ac:dyDescent="0.3">
      <c r="A60" s="95">
        <v>43</v>
      </c>
      <c r="B60" s="95">
        <v>2835</v>
      </c>
      <c r="C60" s="95">
        <v>1</v>
      </c>
      <c r="D60" s="95">
        <v>0</v>
      </c>
      <c r="F60" s="95">
        <v>54.06712533583994</v>
      </c>
      <c r="G60" s="95">
        <v>0</v>
      </c>
      <c r="H60" s="95">
        <v>2834.3793957250773</v>
      </c>
      <c r="J60" s="95">
        <f t="shared" si="2"/>
        <v>54.06712533583994</v>
      </c>
      <c r="K60" s="95">
        <f t="shared" si="4"/>
        <v>0.98168462303141502</v>
      </c>
      <c r="L60" s="95">
        <f t="shared" si="17"/>
        <v>54.067418403653591</v>
      </c>
      <c r="M60" s="95">
        <f t="shared" si="3"/>
        <v>0.6206042749226981</v>
      </c>
      <c r="N60" s="95">
        <f t="shared" si="6"/>
        <v>9.6389049816409979E-3</v>
      </c>
      <c r="O60" s="95">
        <f t="shared" si="7"/>
        <v>0.60712625984153212</v>
      </c>
      <c r="P60" s="118">
        <f t="shared" si="8"/>
        <v>55.688606949356597</v>
      </c>
      <c r="R60" s="118">
        <f t="shared" si="9"/>
        <v>1.2146662972075342</v>
      </c>
      <c r="S60" s="118">
        <f t="shared" si="10"/>
        <v>2833.7853337027923</v>
      </c>
    </row>
    <row r="61" spans="1:30" x14ac:dyDescent="0.3">
      <c r="A61" s="95">
        <v>44</v>
      </c>
      <c r="B61" s="119">
        <v>2840</v>
      </c>
      <c r="C61" s="95">
        <v>1</v>
      </c>
      <c r="D61" s="95">
        <v>0</v>
      </c>
      <c r="F61" s="95">
        <v>54.154387368026356</v>
      </c>
      <c r="G61" s="95">
        <v>0</v>
      </c>
      <c r="H61" s="119">
        <v>2839.3786342008593</v>
      </c>
      <c r="J61" s="95">
        <f t="shared" si="2"/>
        <v>54.154387368026356</v>
      </c>
      <c r="K61" s="95">
        <f t="shared" si="4"/>
        <v>8.7262032186417565E-2</v>
      </c>
      <c r="L61" s="119">
        <f t="shared" si="17"/>
        <v>54.154680435840007</v>
      </c>
      <c r="M61" s="95">
        <f t="shared" si="3"/>
        <v>0.62136579914067624</v>
      </c>
      <c r="N61" s="95">
        <f t="shared" si="6"/>
        <v>7.6158221879106568E-4</v>
      </c>
      <c r="O61" s="119">
        <f t="shared" si="7"/>
        <v>0.6078878420603232</v>
      </c>
      <c r="P61" s="118">
        <f t="shared" si="8"/>
        <v>55.775882273997688</v>
      </c>
      <c r="R61" s="118">
        <f t="shared" si="9"/>
        <v>1.2161896936657757</v>
      </c>
      <c r="S61" s="118">
        <f t="shared" si="10"/>
        <v>2838.7838103063341</v>
      </c>
    </row>
    <row r="65" spans="1:19" x14ac:dyDescent="0.3">
      <c r="A65" t="s">
        <v>262</v>
      </c>
      <c r="K65" s="122" t="s">
        <v>279</v>
      </c>
      <c r="L65" s="122" t="s">
        <v>280</v>
      </c>
      <c r="M65" s="107"/>
      <c r="N65" s="122" t="s">
        <v>281</v>
      </c>
      <c r="O65" s="122" t="s">
        <v>282</v>
      </c>
    </row>
    <row r="66" spans="1:19" x14ac:dyDescent="0.3">
      <c r="A66">
        <v>1</v>
      </c>
      <c r="B66">
        <v>0</v>
      </c>
      <c r="C66">
        <v>0</v>
      </c>
      <c r="D66">
        <v>0</v>
      </c>
      <c r="F66" s="95">
        <v>0</v>
      </c>
      <c r="G66" s="95">
        <v>0</v>
      </c>
      <c r="H66" s="95">
        <v>0</v>
      </c>
      <c r="J66" s="95">
        <f t="shared" ref="J66" si="19">F66</f>
        <v>0</v>
      </c>
      <c r="K66" s="95"/>
      <c r="L66" s="95"/>
      <c r="M66" s="95">
        <f t="shared" ref="M66" si="20">B66-H66</f>
        <v>0</v>
      </c>
    </row>
    <row r="67" spans="1:19" x14ac:dyDescent="0.3">
      <c r="A67">
        <v>2</v>
      </c>
      <c r="B67">
        <v>205</v>
      </c>
      <c r="C67">
        <v>0</v>
      </c>
      <c r="D67">
        <v>0</v>
      </c>
      <c r="F67" s="95">
        <v>0</v>
      </c>
      <c r="G67" s="95">
        <v>0</v>
      </c>
      <c r="H67" s="95">
        <v>205</v>
      </c>
      <c r="J67" s="95">
        <f t="shared" ref="J67:J130" si="21">F67</f>
        <v>0</v>
      </c>
      <c r="K67" s="95">
        <f>(B67-B66)*SIN(RADIANS(AVERAGE(C66,C67)))</f>
        <v>0</v>
      </c>
      <c r="L67" s="95">
        <f>L66+K67</f>
        <v>0</v>
      </c>
      <c r="M67" s="95">
        <f t="shared" ref="M67:M130" si="22">B67-H67</f>
        <v>0</v>
      </c>
      <c r="N67" s="95">
        <f>0.5*K67*TAN(RADIANS(AVERAGE(C66,C67)))</f>
        <v>0</v>
      </c>
      <c r="O67" s="95">
        <f>O66+N67</f>
        <v>0</v>
      </c>
      <c r="P67" s="118">
        <f>P66 + (B67-B66)*TAN(RADIANS(C67))</f>
        <v>0</v>
      </c>
      <c r="Q67" s="107"/>
      <c r="R67" s="118">
        <f t="shared" ref="R67:R70" si="23">R66 + (B67-B66)*TAN(RADIANS(C67))^2</f>
        <v>0</v>
      </c>
      <c r="S67" s="118">
        <f>B67-R67</f>
        <v>205</v>
      </c>
    </row>
    <row r="68" spans="1:19" x14ac:dyDescent="0.3">
      <c r="A68">
        <v>3</v>
      </c>
      <c r="B68">
        <v>210</v>
      </c>
      <c r="C68">
        <v>2</v>
      </c>
      <c r="D68">
        <v>0</v>
      </c>
      <c r="F68" s="95">
        <v>8.7257601998045387E-2</v>
      </c>
      <c r="G68" s="95">
        <v>0</v>
      </c>
      <c r="H68" s="95">
        <v>209.99898467046009</v>
      </c>
      <c r="J68" s="95">
        <f t="shared" si="21"/>
        <v>8.7257601998045387E-2</v>
      </c>
      <c r="K68" s="95">
        <f t="shared" ref="K68:K89" si="24">(B68-B67)*SIN(RADIANS(AVERAGE(C67,C68)))</f>
        <v>8.7262032186417565E-2</v>
      </c>
      <c r="L68" s="95">
        <f t="shared" ref="L68:L89" si="25">L67+K68</f>
        <v>8.7262032186417565E-2</v>
      </c>
      <c r="M68" s="95">
        <f t="shared" si="22"/>
        <v>1.015329539910681E-3</v>
      </c>
      <c r="N68" s="95">
        <f t="shared" ref="N68:N89" si="26">0.5*K68*TAN(RADIANS(AVERAGE(C67,C68)))</f>
        <v>7.6158221879106568E-4</v>
      </c>
      <c r="O68" s="95">
        <f t="shared" ref="O68:O89" si="27">O67+N68</f>
        <v>7.6158221879106568E-4</v>
      </c>
      <c r="P68" s="118">
        <f t="shared" ref="P68:P71" si="28">P67 + (B68-B67)*TAN(RADIANS(C68))</f>
        <v>0.17460384745873864</v>
      </c>
      <c r="Q68" s="107"/>
      <c r="R68" s="118">
        <f t="shared" si="23"/>
        <v>6.0973007094788957E-3</v>
      </c>
      <c r="S68" s="118">
        <f t="shared" ref="S68:S71" si="29">B68-R68</f>
        <v>209.99390269929052</v>
      </c>
    </row>
    <row r="69" spans="1:19" x14ac:dyDescent="0.3">
      <c r="A69">
        <v>4</v>
      </c>
      <c r="B69">
        <v>400</v>
      </c>
      <c r="C69">
        <v>1.75</v>
      </c>
      <c r="D69">
        <v>0</v>
      </c>
      <c r="F69" s="95">
        <v>6.303878406645822</v>
      </c>
      <c r="G69" s="95">
        <v>0</v>
      </c>
      <c r="H69" s="95">
        <v>399.89710564954311</v>
      </c>
      <c r="J69" s="95">
        <f t="shared" si="21"/>
        <v>6.303878406645822</v>
      </c>
      <c r="K69" s="95">
        <f t="shared" si="24"/>
        <v>6.2166257361374662</v>
      </c>
      <c r="L69" s="95">
        <f t="shared" si="25"/>
        <v>6.3038877683238841</v>
      </c>
      <c r="M69" s="95">
        <f t="shared" si="22"/>
        <v>0.10289435045689288</v>
      </c>
      <c r="N69" s="95">
        <f t="shared" si="26"/>
        <v>0.10175562740359557</v>
      </c>
      <c r="O69" s="95">
        <f t="shared" si="27"/>
        <v>0.10251720962238664</v>
      </c>
      <c r="P69" s="118">
        <f t="shared" si="28"/>
        <v>5.9796288741906229</v>
      </c>
      <c r="Q69" s="107"/>
      <c r="R69" s="118">
        <f t="shared" si="23"/>
        <v>0.18345685629360262</v>
      </c>
      <c r="S69" s="118">
        <f t="shared" si="29"/>
        <v>399.81654314370638</v>
      </c>
    </row>
    <row r="70" spans="1:19" x14ac:dyDescent="0.3">
      <c r="A70">
        <v>5</v>
      </c>
      <c r="B70">
        <v>610</v>
      </c>
      <c r="C70">
        <v>1.5</v>
      </c>
      <c r="D70">
        <v>0</v>
      </c>
      <c r="F70" s="95">
        <v>12.259011314117405</v>
      </c>
      <c r="G70" s="95">
        <v>0</v>
      </c>
      <c r="H70" s="95">
        <v>609.81248485098502</v>
      </c>
      <c r="J70" s="95">
        <f t="shared" si="21"/>
        <v>12.259011314117405</v>
      </c>
      <c r="K70" s="95">
        <f t="shared" si="24"/>
        <v>5.9551376315294684</v>
      </c>
      <c r="L70" s="95">
        <f t="shared" si="25"/>
        <v>12.259025399853353</v>
      </c>
      <c r="M70" s="95">
        <f t="shared" si="22"/>
        <v>0.18751514901498467</v>
      </c>
      <c r="N70" s="95">
        <f t="shared" si="26"/>
        <v>8.4471266976612072E-2</v>
      </c>
      <c r="O70" s="95">
        <f t="shared" si="27"/>
        <v>0.1869884765989987</v>
      </c>
      <c r="P70" s="118">
        <f t="shared" si="28"/>
        <v>11.478672403719878</v>
      </c>
      <c r="Q70" s="107"/>
      <c r="R70" s="118">
        <f t="shared" si="23"/>
        <v>0.32745437886340056</v>
      </c>
      <c r="S70" s="118">
        <f t="shared" si="29"/>
        <v>609.67254562113658</v>
      </c>
    </row>
    <row r="71" spans="1:19" x14ac:dyDescent="0.3">
      <c r="A71">
        <v>6</v>
      </c>
      <c r="B71">
        <v>710</v>
      </c>
      <c r="C71">
        <v>1.5</v>
      </c>
      <c r="D71">
        <v>0</v>
      </c>
      <c r="F71" s="95">
        <v>14.87670614490472</v>
      </c>
      <c r="G71" s="95">
        <v>0</v>
      </c>
      <c r="H71" s="95">
        <v>709.77821734854069</v>
      </c>
      <c r="J71" s="95">
        <f t="shared" si="21"/>
        <v>14.87670614490472</v>
      </c>
      <c r="K71" s="95">
        <f t="shared" si="24"/>
        <v>2.6176948307873151</v>
      </c>
      <c r="L71" s="95">
        <f t="shared" si="25"/>
        <v>14.876720230640668</v>
      </c>
      <c r="M71" s="95">
        <f t="shared" si="22"/>
        <v>0.22178265145930709</v>
      </c>
      <c r="N71" s="95">
        <f t="shared" si="26"/>
        <v>3.4273375765531341E-2</v>
      </c>
      <c r="O71" s="95">
        <f t="shared" si="27"/>
        <v>0.22126185236453005</v>
      </c>
      <c r="P71" s="118">
        <f t="shared" si="28"/>
        <v>14.097264560638571</v>
      </c>
      <c r="Q71" s="107"/>
      <c r="R71" s="118">
        <f t="shared" ref="R71:R89" si="30">R70 + (B71-B70)*TAN(RADIANS(C71))^2</f>
        <v>0.39602462770616154</v>
      </c>
      <c r="S71" s="118">
        <f t="shared" si="29"/>
        <v>709.6039753722938</v>
      </c>
    </row>
    <row r="72" spans="1:19" x14ac:dyDescent="0.3">
      <c r="A72">
        <v>7</v>
      </c>
      <c r="B72">
        <v>825</v>
      </c>
      <c r="C72">
        <v>1</v>
      </c>
      <c r="D72">
        <v>0</v>
      </c>
      <c r="F72" s="95">
        <v>17.385409963498191</v>
      </c>
      <c r="G72" s="95">
        <v>0</v>
      </c>
      <c r="H72" s="95">
        <v>824.75048564363124</v>
      </c>
      <c r="J72" s="95">
        <f t="shared" si="21"/>
        <v>17.385409963498191</v>
      </c>
      <c r="K72" s="95">
        <f t="shared" si="24"/>
        <v>2.5087117789745288</v>
      </c>
      <c r="L72" s="95">
        <f t="shared" si="25"/>
        <v>17.385432009615197</v>
      </c>
      <c r="M72" s="95">
        <f t="shared" si="22"/>
        <v>0.2495143563687634</v>
      </c>
      <c r="N72" s="95">
        <f t="shared" si="26"/>
        <v>2.7370142874412456E-2</v>
      </c>
      <c r="O72" s="95">
        <f t="shared" si="27"/>
        <v>0.2486319952389425</v>
      </c>
      <c r="P72" s="118">
        <f t="shared" ref="P72:P89" si="31">P71 + (B72-B71)*TAN(RADIANS(C72))</f>
        <v>16.104597027383594</v>
      </c>
      <c r="Q72" s="107"/>
      <c r="R72" s="118">
        <f t="shared" si="30"/>
        <v>0.43106274624571506</v>
      </c>
      <c r="S72" s="118">
        <f t="shared" ref="S72:S89" si="32">B72-R72</f>
        <v>824.56893725375426</v>
      </c>
    </row>
    <row r="73" spans="1:19" x14ac:dyDescent="0.3">
      <c r="A73">
        <v>8</v>
      </c>
      <c r="B73">
        <v>925</v>
      </c>
      <c r="C73">
        <v>1</v>
      </c>
      <c r="D73">
        <v>0</v>
      </c>
      <c r="F73" s="95">
        <v>19.130650607226542</v>
      </c>
      <c r="G73" s="95">
        <v>0</v>
      </c>
      <c r="H73" s="95">
        <v>924.73525515927031</v>
      </c>
      <c r="J73" s="95">
        <f t="shared" si="21"/>
        <v>19.130650607226542</v>
      </c>
      <c r="K73" s="95">
        <f t="shared" si="24"/>
        <v>1.7452406437283512</v>
      </c>
      <c r="L73" s="95">
        <f t="shared" si="25"/>
        <v>19.130672653343549</v>
      </c>
      <c r="M73" s="95">
        <f t="shared" si="22"/>
        <v>0.26474484072969062</v>
      </c>
      <c r="N73" s="95">
        <f t="shared" si="26"/>
        <v>1.5231644375821312E-2</v>
      </c>
      <c r="O73" s="95">
        <f t="shared" si="27"/>
        <v>0.26386363961476383</v>
      </c>
      <c r="P73" s="118">
        <f t="shared" si="31"/>
        <v>17.850103520205352</v>
      </c>
      <c r="Q73" s="107"/>
      <c r="R73" s="118">
        <f t="shared" si="30"/>
        <v>0.46153067541054421</v>
      </c>
      <c r="S73" s="118">
        <f t="shared" si="32"/>
        <v>924.53846932458941</v>
      </c>
    </row>
    <row r="74" spans="1:19" x14ac:dyDescent="0.3">
      <c r="A74">
        <v>9</v>
      </c>
      <c r="B74">
        <v>1000</v>
      </c>
      <c r="C74">
        <v>1.5</v>
      </c>
      <c r="D74">
        <v>0</v>
      </c>
      <c r="F74" s="95">
        <v>20.766761793265761</v>
      </c>
      <c r="G74" s="95">
        <v>0</v>
      </c>
      <c r="H74" s="95">
        <v>999.71716926476415</v>
      </c>
      <c r="J74" s="95">
        <f t="shared" si="21"/>
        <v>20.766761793265761</v>
      </c>
      <c r="K74" s="95">
        <f t="shared" si="24"/>
        <v>1.6361163775920839</v>
      </c>
      <c r="L74" s="95">
        <f t="shared" si="25"/>
        <v>20.766789030935634</v>
      </c>
      <c r="M74" s="95">
        <f t="shared" si="22"/>
        <v>0.2828307352358479</v>
      </c>
      <c r="N74" s="95">
        <f t="shared" si="26"/>
        <v>1.7850093178964646E-2</v>
      </c>
      <c r="O74" s="95">
        <f t="shared" si="27"/>
        <v>0.28171373279372847</v>
      </c>
      <c r="P74" s="118">
        <f t="shared" si="31"/>
        <v>19.814047637894372</v>
      </c>
      <c r="Q74" s="107"/>
      <c r="R74" s="118">
        <f t="shared" si="30"/>
        <v>0.51295836204261491</v>
      </c>
      <c r="S74" s="118">
        <f t="shared" si="32"/>
        <v>999.48704163795742</v>
      </c>
    </row>
    <row r="75" spans="1:19" x14ac:dyDescent="0.3">
      <c r="A75">
        <v>10</v>
      </c>
      <c r="B75">
        <v>1190</v>
      </c>
      <c r="C75">
        <v>0.75</v>
      </c>
      <c r="D75">
        <v>0</v>
      </c>
      <c r="F75" s="95">
        <v>24.497136727749208</v>
      </c>
      <c r="G75" s="95">
        <v>0</v>
      </c>
      <c r="H75" s="95">
        <v>1189.6791887212919</v>
      </c>
      <c r="J75" s="95">
        <f t="shared" si="21"/>
        <v>24.497136727749208</v>
      </c>
      <c r="K75" s="95">
        <f t="shared" si="24"/>
        <v>3.7304015675193769</v>
      </c>
      <c r="L75" s="95">
        <f t="shared" si="25"/>
        <v>24.49719059845501</v>
      </c>
      <c r="M75" s="95">
        <f t="shared" si="22"/>
        <v>0.32081127870810633</v>
      </c>
      <c r="N75" s="95">
        <f t="shared" si="26"/>
        <v>3.6627838930235787E-2</v>
      </c>
      <c r="O75" s="95">
        <f t="shared" si="27"/>
        <v>0.31834157172396427</v>
      </c>
      <c r="P75" s="118">
        <f t="shared" si="31"/>
        <v>22.301283884013039</v>
      </c>
      <c r="Q75" s="107"/>
      <c r="R75" s="118">
        <f t="shared" si="30"/>
        <v>0.54551806806370162</v>
      </c>
      <c r="S75" s="118">
        <f t="shared" si="32"/>
        <v>1189.4544819319362</v>
      </c>
    </row>
    <row r="76" spans="1:19" x14ac:dyDescent="0.3">
      <c r="A76">
        <v>11</v>
      </c>
      <c r="B76">
        <v>1325</v>
      </c>
      <c r="C76">
        <v>2</v>
      </c>
      <c r="D76">
        <v>0</v>
      </c>
      <c r="F76" s="95">
        <v>27.736528943620023</v>
      </c>
      <c r="G76" s="95">
        <v>0</v>
      </c>
      <c r="H76" s="95">
        <v>1324.6376396538817</v>
      </c>
      <c r="J76" s="95">
        <f t="shared" si="21"/>
        <v>27.736528943620023</v>
      </c>
      <c r="K76" s="95">
        <f t="shared" si="24"/>
        <v>3.2394564599461644</v>
      </c>
      <c r="L76" s="95">
        <f t="shared" si="25"/>
        <v>27.736647058401175</v>
      </c>
      <c r="M76" s="95">
        <f t="shared" si="22"/>
        <v>0.36236034611829382</v>
      </c>
      <c r="N76" s="95">
        <f t="shared" si="26"/>
        <v>3.8878150895654523E-2</v>
      </c>
      <c r="O76" s="95">
        <f t="shared" si="27"/>
        <v>0.35721972261961876</v>
      </c>
      <c r="P76" s="118">
        <f t="shared" si="31"/>
        <v>27.015587765398983</v>
      </c>
      <c r="Q76" s="107"/>
      <c r="R76" s="118">
        <f t="shared" si="30"/>
        <v>0.71014518721963182</v>
      </c>
      <c r="S76" s="118">
        <f t="shared" si="32"/>
        <v>1324.2898548127803</v>
      </c>
    </row>
    <row r="77" spans="1:19" x14ac:dyDescent="0.3">
      <c r="A77">
        <v>12</v>
      </c>
      <c r="B77">
        <v>1640</v>
      </c>
      <c r="C77">
        <v>3.5</v>
      </c>
      <c r="D77">
        <v>0</v>
      </c>
      <c r="F77" s="95">
        <v>42.849207833098454</v>
      </c>
      <c r="G77" s="95">
        <v>0</v>
      </c>
      <c r="H77" s="95">
        <v>1639.2658961000516</v>
      </c>
      <c r="J77" s="95">
        <f t="shared" si="21"/>
        <v>42.849207833098454</v>
      </c>
      <c r="K77" s="95">
        <f t="shared" si="24"/>
        <v>15.113110484223341</v>
      </c>
      <c r="L77" s="95">
        <f t="shared" si="25"/>
        <v>42.849757542624516</v>
      </c>
      <c r="M77" s="95">
        <f t="shared" si="22"/>
        <v>0.73410389994842262</v>
      </c>
      <c r="N77" s="95">
        <f t="shared" si="26"/>
        <v>0.3629673767212232</v>
      </c>
      <c r="O77" s="95">
        <f t="shared" si="27"/>
        <v>0.72018709934084191</v>
      </c>
      <c r="P77" s="118">
        <f t="shared" si="31"/>
        <v>46.281813112801544</v>
      </c>
      <c r="Q77" s="107"/>
      <c r="R77" s="118">
        <f t="shared" si="30"/>
        <v>1.8885180098764469</v>
      </c>
      <c r="S77" s="118">
        <f t="shared" si="32"/>
        <v>1638.1114819901236</v>
      </c>
    </row>
    <row r="78" spans="1:19" x14ac:dyDescent="0.3">
      <c r="A78">
        <v>13</v>
      </c>
      <c r="B78">
        <v>1675</v>
      </c>
      <c r="C78">
        <v>4.5</v>
      </c>
      <c r="D78">
        <v>0</v>
      </c>
      <c r="F78" s="95">
        <v>45.290653426081811</v>
      </c>
      <c r="G78" s="95">
        <v>0</v>
      </c>
      <c r="H78" s="95">
        <v>1674.1801947092267</v>
      </c>
      <c r="J78" s="95">
        <f t="shared" si="21"/>
        <v>45.290653426081811</v>
      </c>
      <c r="K78" s="95">
        <f t="shared" si="24"/>
        <v>2.4414765810443857</v>
      </c>
      <c r="L78" s="95">
        <f t="shared" si="25"/>
        <v>45.2912341236689</v>
      </c>
      <c r="M78" s="95">
        <f t="shared" si="22"/>
        <v>0.81980529077327446</v>
      </c>
      <c r="N78" s="95">
        <f t="shared" si="26"/>
        <v>8.5362336873587755E-2</v>
      </c>
      <c r="O78" s="95">
        <f t="shared" si="27"/>
        <v>0.80554943621442965</v>
      </c>
      <c r="P78" s="118">
        <f t="shared" si="31"/>
        <v>49.036372851663188</v>
      </c>
      <c r="Q78" s="107"/>
      <c r="R78" s="118">
        <f t="shared" si="30"/>
        <v>2.1053065628752337</v>
      </c>
      <c r="S78" s="118">
        <f t="shared" si="32"/>
        <v>1672.8946934371247</v>
      </c>
    </row>
    <row r="79" spans="1:19" x14ac:dyDescent="0.3">
      <c r="A79">
        <v>14</v>
      </c>
      <c r="B79">
        <v>1725</v>
      </c>
      <c r="C79">
        <v>5</v>
      </c>
      <c r="D79">
        <v>0</v>
      </c>
      <c r="F79" s="95">
        <v>49.431050663776141</v>
      </c>
      <c r="G79" s="95">
        <v>0</v>
      </c>
      <c r="H79" s="95">
        <v>1724.0083117242591</v>
      </c>
      <c r="J79" s="95">
        <f t="shared" si="21"/>
        <v>49.431050663776141</v>
      </c>
      <c r="K79" s="95">
        <f t="shared" si="24"/>
        <v>4.1404103756102169</v>
      </c>
      <c r="L79" s="95">
        <f t="shared" si="25"/>
        <v>49.431644499279116</v>
      </c>
      <c r="M79" s="95">
        <f t="shared" si="22"/>
        <v>0.99168827574089846</v>
      </c>
      <c r="N79" s="95">
        <f t="shared" si="26"/>
        <v>0.17202078574357685</v>
      </c>
      <c r="O79" s="95">
        <f t="shared" si="27"/>
        <v>0.97757022195800647</v>
      </c>
      <c r="P79" s="118">
        <f t="shared" si="31"/>
        <v>53.410806027959389</v>
      </c>
      <c r="Q79" s="107"/>
      <c r="R79" s="118">
        <f t="shared" si="30"/>
        <v>2.4880198751528511</v>
      </c>
      <c r="S79" s="118">
        <f t="shared" si="32"/>
        <v>1722.5119801248472</v>
      </c>
    </row>
    <row r="80" spans="1:19" x14ac:dyDescent="0.3">
      <c r="A80">
        <v>15</v>
      </c>
      <c r="B80">
        <v>1750</v>
      </c>
      <c r="C80">
        <v>4</v>
      </c>
      <c r="D80">
        <v>0</v>
      </c>
      <c r="F80" s="95">
        <v>51.392503161226124</v>
      </c>
      <c r="G80" s="95">
        <v>0</v>
      </c>
      <c r="H80" s="95">
        <v>1748.9309287371398</v>
      </c>
      <c r="J80" s="95">
        <f t="shared" si="21"/>
        <v>51.392503161226124</v>
      </c>
      <c r="K80" s="95">
        <f t="shared" si="24"/>
        <v>1.9614773931961236</v>
      </c>
      <c r="L80" s="95">
        <f t="shared" si="25"/>
        <v>51.393121892475243</v>
      </c>
      <c r="M80" s="95">
        <f t="shared" si="22"/>
        <v>1.0690712628602341</v>
      </c>
      <c r="N80" s="95">
        <f t="shared" si="26"/>
        <v>7.7185809371219077E-2</v>
      </c>
      <c r="O80" s="95">
        <f t="shared" si="27"/>
        <v>1.0547560313292255</v>
      </c>
      <c r="P80" s="118">
        <f t="shared" si="31"/>
        <v>55.158976326547148</v>
      </c>
      <c r="Q80" s="107"/>
      <c r="R80" s="118">
        <f t="shared" si="30"/>
        <v>2.6102638508674278</v>
      </c>
      <c r="S80" s="118">
        <f t="shared" si="32"/>
        <v>1747.3897361491327</v>
      </c>
    </row>
    <row r="81" spans="1:19" x14ac:dyDescent="0.3">
      <c r="A81">
        <v>16</v>
      </c>
      <c r="B81">
        <v>1780</v>
      </c>
      <c r="C81">
        <v>4</v>
      </c>
      <c r="D81">
        <v>0</v>
      </c>
      <c r="F81" s="95">
        <v>53.48519737354988</v>
      </c>
      <c r="G81" s="95">
        <v>0</v>
      </c>
      <c r="H81" s="95">
        <v>1778.8578502449345</v>
      </c>
      <c r="J81" s="95">
        <f t="shared" si="21"/>
        <v>53.48519737354988</v>
      </c>
      <c r="K81" s="95">
        <f t="shared" si="24"/>
        <v>2.0926942123237593</v>
      </c>
      <c r="L81" s="95">
        <f t="shared" si="25"/>
        <v>53.485816104799</v>
      </c>
      <c r="M81" s="95">
        <f t="shared" si="22"/>
        <v>1.1421497550654749</v>
      </c>
      <c r="N81" s="95">
        <f t="shared" si="26"/>
        <v>7.3167717320218081E-2</v>
      </c>
      <c r="O81" s="95">
        <f t="shared" si="27"/>
        <v>1.1279237486494436</v>
      </c>
      <c r="P81" s="118">
        <f t="shared" si="31"/>
        <v>57.256780684852458</v>
      </c>
      <c r="Q81" s="107"/>
      <c r="R81" s="118">
        <f t="shared" si="30"/>
        <v>2.7569566217249202</v>
      </c>
      <c r="S81" s="118">
        <f t="shared" si="32"/>
        <v>1777.2430433782752</v>
      </c>
    </row>
    <row r="82" spans="1:19" x14ac:dyDescent="0.3">
      <c r="A82">
        <v>17</v>
      </c>
      <c r="B82">
        <v>1825</v>
      </c>
      <c r="C82">
        <v>3</v>
      </c>
      <c r="D82">
        <v>0</v>
      </c>
      <c r="F82" s="95">
        <v>56.23234678441009</v>
      </c>
      <c r="G82" s="95">
        <v>0</v>
      </c>
      <c r="H82" s="95">
        <v>1823.7733460837514</v>
      </c>
      <c r="J82" s="95">
        <f t="shared" si="21"/>
        <v>56.23234678441009</v>
      </c>
      <c r="K82" s="95">
        <f t="shared" si="24"/>
        <v>2.7471842790685592</v>
      </c>
      <c r="L82" s="95">
        <f t="shared" si="25"/>
        <v>56.233000383867562</v>
      </c>
      <c r="M82" s="95">
        <f t="shared" si="22"/>
        <v>1.2266539162485515</v>
      </c>
      <c r="N82" s="95">
        <f t="shared" si="26"/>
        <v>8.4012494272026186E-2</v>
      </c>
      <c r="O82" s="95">
        <f t="shared" si="27"/>
        <v>1.2119362429214697</v>
      </c>
      <c r="P82" s="118">
        <f t="shared" si="31"/>
        <v>59.615130752589316</v>
      </c>
      <c r="Q82" s="107"/>
      <c r="R82" s="118">
        <f t="shared" si="30"/>
        <v>2.8805525115470187</v>
      </c>
      <c r="S82" s="118">
        <f t="shared" si="32"/>
        <v>1822.119447488453</v>
      </c>
    </row>
    <row r="83" spans="1:19" x14ac:dyDescent="0.3">
      <c r="A83">
        <v>18</v>
      </c>
      <c r="B83">
        <v>1860</v>
      </c>
      <c r="C83">
        <v>2.75</v>
      </c>
      <c r="D83">
        <v>0</v>
      </c>
      <c r="F83" s="95">
        <v>57.987846052971726</v>
      </c>
      <c r="G83" s="95">
        <v>0</v>
      </c>
      <c r="H83" s="95">
        <v>1858.7292651647413</v>
      </c>
      <c r="J83" s="95">
        <f t="shared" si="21"/>
        <v>57.987846052971726</v>
      </c>
      <c r="K83" s="95">
        <f t="shared" si="24"/>
        <v>1.7555006611552686</v>
      </c>
      <c r="L83" s="95">
        <f t="shared" si="25"/>
        <v>57.988501045022829</v>
      </c>
      <c r="M83" s="95">
        <f t="shared" si="22"/>
        <v>1.270734835258736</v>
      </c>
      <c r="N83" s="95">
        <f t="shared" si="26"/>
        <v>4.4080948343502596E-2</v>
      </c>
      <c r="O83" s="95">
        <f t="shared" si="27"/>
        <v>1.2560171912649722</v>
      </c>
      <c r="P83" s="118">
        <f t="shared" si="31"/>
        <v>61.296301309570879</v>
      </c>
      <c r="Q83" s="107"/>
      <c r="R83" s="118">
        <f t="shared" si="30"/>
        <v>2.9613049241659244</v>
      </c>
      <c r="S83" s="118">
        <f t="shared" si="32"/>
        <v>1857.0386950758341</v>
      </c>
    </row>
    <row r="84" spans="1:19" x14ac:dyDescent="0.3">
      <c r="A84">
        <v>19</v>
      </c>
      <c r="B84">
        <v>1910</v>
      </c>
      <c r="C84">
        <v>2.5</v>
      </c>
      <c r="D84">
        <v>0</v>
      </c>
      <c r="F84" s="95">
        <v>60.277787583244461</v>
      </c>
      <c r="G84" s="95">
        <v>0</v>
      </c>
      <c r="H84" s="95">
        <v>1908.6767596105869</v>
      </c>
      <c r="J84" s="95">
        <f t="shared" si="21"/>
        <v>60.277787583244461</v>
      </c>
      <c r="K84" s="95">
        <f t="shared" si="24"/>
        <v>2.2899433468260386</v>
      </c>
      <c r="L84" s="95">
        <f t="shared" si="25"/>
        <v>60.278444391848865</v>
      </c>
      <c r="M84" s="95">
        <f t="shared" si="22"/>
        <v>1.3232403894130584</v>
      </c>
      <c r="N84" s="95">
        <f t="shared" si="26"/>
        <v>5.2493487711922956E-2</v>
      </c>
      <c r="O84" s="95">
        <f t="shared" si="27"/>
        <v>1.3085106789768952</v>
      </c>
      <c r="P84" s="118">
        <f t="shared" si="31"/>
        <v>63.479348454996483</v>
      </c>
      <c r="Q84" s="107"/>
      <c r="R84" s="118">
        <f t="shared" si="30"/>
        <v>3.056618820948942</v>
      </c>
      <c r="S84" s="118">
        <f t="shared" si="32"/>
        <v>1906.9433811790511</v>
      </c>
    </row>
    <row r="85" spans="1:19" x14ac:dyDescent="0.3">
      <c r="A85">
        <v>20</v>
      </c>
      <c r="B85">
        <v>1960</v>
      </c>
      <c r="C85">
        <v>3</v>
      </c>
      <c r="D85">
        <v>0</v>
      </c>
      <c r="F85" s="95">
        <v>62.676686397353429</v>
      </c>
      <c r="G85" s="95">
        <v>0</v>
      </c>
      <c r="H85" s="95">
        <v>1958.6190204627883</v>
      </c>
      <c r="J85" s="95">
        <f t="shared" si="21"/>
        <v>62.676686397353429</v>
      </c>
      <c r="K85" s="95">
        <f t="shared" si="24"/>
        <v>2.3989064260671973</v>
      </c>
      <c r="L85" s="95">
        <f t="shared" si="25"/>
        <v>62.677350817916064</v>
      </c>
      <c r="M85" s="95">
        <f t="shared" si="22"/>
        <v>1.3809795372117151</v>
      </c>
      <c r="N85" s="95">
        <f t="shared" si="26"/>
        <v>5.7613869320829084E-2</v>
      </c>
      <c r="O85" s="95">
        <f t="shared" si="27"/>
        <v>1.3661245482977242</v>
      </c>
      <c r="P85" s="118">
        <f t="shared" si="31"/>
        <v>66.099737419148539</v>
      </c>
      <c r="Q85" s="107"/>
      <c r="R85" s="118">
        <f t="shared" si="30"/>
        <v>3.1939475874179402</v>
      </c>
      <c r="S85" s="118">
        <f t="shared" si="32"/>
        <v>1956.8060524125819</v>
      </c>
    </row>
    <row r="86" spans="1:19" x14ac:dyDescent="0.3">
      <c r="A86">
        <v>21</v>
      </c>
      <c r="B86">
        <v>2060</v>
      </c>
      <c r="C86">
        <v>1.75</v>
      </c>
      <c r="D86">
        <v>0</v>
      </c>
      <c r="F86" s="95">
        <v>66.820574233329523</v>
      </c>
      <c r="G86" s="95">
        <v>0</v>
      </c>
      <c r="H86" s="95">
        <v>2058.5311396607631</v>
      </c>
      <c r="J86" s="95">
        <f t="shared" si="21"/>
        <v>66.820574233329523</v>
      </c>
      <c r="K86" s="95">
        <f t="shared" si="24"/>
        <v>4.143970018133933</v>
      </c>
      <c r="L86" s="95">
        <f t="shared" si="25"/>
        <v>66.821320836049992</v>
      </c>
      <c r="M86" s="95">
        <f t="shared" si="22"/>
        <v>1.4688603392369259</v>
      </c>
      <c r="N86" s="95">
        <f t="shared" si="26"/>
        <v>8.5936256225175534E-2</v>
      </c>
      <c r="O86" s="95">
        <f t="shared" si="27"/>
        <v>1.4520608045228998</v>
      </c>
      <c r="P86" s="118">
        <f t="shared" si="31"/>
        <v>69.155013749007423</v>
      </c>
      <c r="Q86" s="107"/>
      <c r="R86" s="118">
        <f t="shared" si="30"/>
        <v>3.2872947219359001</v>
      </c>
      <c r="S86" s="118">
        <f t="shared" si="32"/>
        <v>2056.7127052780643</v>
      </c>
    </row>
    <row r="87" spans="1:19" x14ac:dyDescent="0.3">
      <c r="A87">
        <v>22</v>
      </c>
      <c r="B87">
        <v>2175</v>
      </c>
      <c r="C87">
        <v>3</v>
      </c>
      <c r="D87">
        <v>0</v>
      </c>
      <c r="F87" s="95">
        <v>71.586045244702035</v>
      </c>
      <c r="G87" s="95">
        <v>0</v>
      </c>
      <c r="H87" s="95">
        <v>2173.4300767384339</v>
      </c>
      <c r="J87" s="95">
        <f t="shared" si="21"/>
        <v>71.586045244702035</v>
      </c>
      <c r="K87" s="95">
        <f t="shared" si="24"/>
        <v>4.7655655208540226</v>
      </c>
      <c r="L87" s="95">
        <f t="shared" si="25"/>
        <v>71.586886356904017</v>
      </c>
      <c r="M87" s="95">
        <f t="shared" si="22"/>
        <v>1.5699232615661458</v>
      </c>
      <c r="N87" s="95">
        <f t="shared" si="26"/>
        <v>9.8826694658951858E-2</v>
      </c>
      <c r="O87" s="95">
        <f t="shared" si="27"/>
        <v>1.5508874991818515</v>
      </c>
      <c r="P87" s="118">
        <f t="shared" si="31"/>
        <v>75.181908366557167</v>
      </c>
      <c r="Q87" s="107"/>
      <c r="R87" s="118">
        <f t="shared" si="30"/>
        <v>3.6031508848145961</v>
      </c>
      <c r="S87" s="118">
        <f t="shared" si="32"/>
        <v>2171.3968491151854</v>
      </c>
    </row>
    <row r="88" spans="1:19" x14ac:dyDescent="0.3">
      <c r="A88">
        <v>23</v>
      </c>
      <c r="B88">
        <v>2225</v>
      </c>
      <c r="C88">
        <v>3</v>
      </c>
      <c r="D88">
        <v>0</v>
      </c>
      <c r="F88" s="95">
        <v>74.202843056849233</v>
      </c>
      <c r="G88" s="95">
        <v>0</v>
      </c>
      <c r="H88" s="95">
        <v>2223.3615534761625</v>
      </c>
      <c r="J88" s="95">
        <f t="shared" si="21"/>
        <v>74.202843056849233</v>
      </c>
      <c r="K88" s="95">
        <f t="shared" si="24"/>
        <v>2.6167978121471918</v>
      </c>
      <c r="L88" s="95">
        <f t="shared" si="25"/>
        <v>74.203684169051215</v>
      </c>
      <c r="M88" s="95">
        <f t="shared" si="22"/>
        <v>1.6384465238375014</v>
      </c>
      <c r="N88" s="95">
        <f t="shared" si="26"/>
        <v>6.8570281083677576E-2</v>
      </c>
      <c r="O88" s="95">
        <f t="shared" si="27"/>
        <v>1.6194577802655292</v>
      </c>
      <c r="P88" s="118">
        <f t="shared" si="31"/>
        <v>77.802297330709223</v>
      </c>
      <c r="Q88" s="107"/>
      <c r="R88" s="118">
        <f t="shared" si="30"/>
        <v>3.7404796512835943</v>
      </c>
      <c r="S88" s="118">
        <f t="shared" si="32"/>
        <v>2221.2595203487163</v>
      </c>
    </row>
    <row r="89" spans="1:19" x14ac:dyDescent="0.3">
      <c r="A89">
        <v>24</v>
      </c>
      <c r="B89">
        <v>3012.5</v>
      </c>
      <c r="C89">
        <v>3</v>
      </c>
      <c r="D89">
        <v>0</v>
      </c>
      <c r="F89" s="95">
        <v>115.4174085981675</v>
      </c>
      <c r="G89" s="95">
        <v>0</v>
      </c>
      <c r="H89" s="95">
        <v>3009.7823120953894</v>
      </c>
      <c r="J89" s="95">
        <f t="shared" si="21"/>
        <v>115.4174085981675</v>
      </c>
      <c r="K89" s="95">
        <f t="shared" si="24"/>
        <v>41.214565541318272</v>
      </c>
      <c r="L89" s="119">
        <f t="shared" si="25"/>
        <v>115.41824971036948</v>
      </c>
      <c r="M89" s="95">
        <f t="shared" si="22"/>
        <v>2.7176879046105569</v>
      </c>
      <c r="N89" s="95">
        <f t="shared" si="26"/>
        <v>1.0799819270679218</v>
      </c>
      <c r="O89" s="119">
        <f t="shared" si="27"/>
        <v>2.6994397073334513</v>
      </c>
      <c r="P89" s="118">
        <f t="shared" si="31"/>
        <v>119.07342351610419</v>
      </c>
      <c r="Q89" s="107"/>
      <c r="R89" s="118">
        <f t="shared" si="30"/>
        <v>5.9034077231703161</v>
      </c>
      <c r="S89" s="118">
        <f t="shared" si="32"/>
        <v>3006.5965922768296</v>
      </c>
    </row>
    <row r="90" spans="1:19" x14ac:dyDescent="0.3">
      <c r="F90" s="95"/>
      <c r="G90" s="95"/>
      <c r="H90" s="95"/>
      <c r="J90" s="95"/>
      <c r="K90" s="95"/>
      <c r="L90" s="95"/>
      <c r="M90" s="95"/>
    </row>
    <row r="91" spans="1:19" x14ac:dyDescent="0.3">
      <c r="F91" s="95"/>
      <c r="G91" s="95"/>
      <c r="H91" s="95"/>
      <c r="J91" s="95"/>
      <c r="K91" s="95"/>
      <c r="L91" s="95"/>
      <c r="M91" s="95"/>
    </row>
    <row r="92" spans="1:19" x14ac:dyDescent="0.3">
      <c r="F92" s="95"/>
      <c r="G92" s="95"/>
      <c r="H92" s="95"/>
      <c r="J92" s="95"/>
      <c r="K92" s="95"/>
      <c r="L92" s="95"/>
      <c r="M92" s="95"/>
    </row>
    <row r="93" spans="1:19" x14ac:dyDescent="0.3">
      <c r="F93" s="95"/>
      <c r="G93" s="95"/>
      <c r="H93" s="95"/>
      <c r="J93" s="95"/>
      <c r="K93" s="95"/>
      <c r="L93" s="95"/>
      <c r="M93" s="95"/>
    </row>
    <row r="94" spans="1:19" x14ac:dyDescent="0.3">
      <c r="A94" t="s">
        <v>261</v>
      </c>
      <c r="F94" s="95"/>
      <c r="G94" s="95"/>
      <c r="H94" s="95"/>
      <c r="J94" s="95"/>
      <c r="K94" s="122" t="s">
        <v>279</v>
      </c>
      <c r="L94" s="122" t="s">
        <v>280</v>
      </c>
      <c r="M94" s="107"/>
      <c r="N94" s="122" t="s">
        <v>281</v>
      </c>
      <c r="O94" s="122" t="s">
        <v>282</v>
      </c>
    </row>
    <row r="95" spans="1:19" x14ac:dyDescent="0.3">
      <c r="A95">
        <v>1</v>
      </c>
      <c r="B95">
        <v>0</v>
      </c>
      <c r="C95">
        <v>0</v>
      </c>
      <c r="D95">
        <v>0</v>
      </c>
      <c r="F95" s="95">
        <v>0</v>
      </c>
      <c r="G95" s="95">
        <v>0</v>
      </c>
      <c r="H95" s="95">
        <v>0</v>
      </c>
      <c r="J95" s="95">
        <f t="shared" si="21"/>
        <v>0</v>
      </c>
      <c r="K95" s="95"/>
      <c r="L95" s="95"/>
      <c r="M95" s="95">
        <f t="shared" si="22"/>
        <v>0</v>
      </c>
    </row>
    <row r="96" spans="1:19" x14ac:dyDescent="0.3">
      <c r="A96">
        <v>2</v>
      </c>
      <c r="B96">
        <v>820</v>
      </c>
      <c r="C96">
        <v>0</v>
      </c>
      <c r="D96">
        <v>0</v>
      </c>
      <c r="F96" s="95">
        <v>0</v>
      </c>
      <c r="G96" s="95">
        <v>0</v>
      </c>
      <c r="H96" s="95">
        <v>820</v>
      </c>
      <c r="J96" s="95">
        <f t="shared" si="21"/>
        <v>0</v>
      </c>
      <c r="K96" s="95">
        <f>(B96-B95)*SIN(RADIANS(AVERAGE(C95,C96)))</f>
        <v>0</v>
      </c>
      <c r="L96" s="95">
        <f>L95+K96</f>
        <v>0</v>
      </c>
      <c r="M96" s="95">
        <f t="shared" si="22"/>
        <v>0</v>
      </c>
      <c r="N96" s="95">
        <f>0.5*K96*TAN(RADIANS(AVERAGE(C95,C96)))</f>
        <v>0</v>
      </c>
      <c r="O96" s="95">
        <f>O95+N96</f>
        <v>0</v>
      </c>
      <c r="P96" s="118">
        <f>P95 + (B96-B95)*TAN(RADIANS(C96))</f>
        <v>0</v>
      </c>
      <c r="Q96" s="107"/>
      <c r="R96" s="118">
        <f t="shared" ref="R96:R99" si="33">R95 + (B96-B95)*TAN(RADIANS(C96))^2</f>
        <v>0</v>
      </c>
      <c r="S96" s="118">
        <f>B96-R96</f>
        <v>820</v>
      </c>
    </row>
    <row r="97" spans="1:19" x14ac:dyDescent="0.3">
      <c r="A97">
        <v>3</v>
      </c>
      <c r="B97">
        <v>830</v>
      </c>
      <c r="C97">
        <v>1.5</v>
      </c>
      <c r="D97">
        <v>0</v>
      </c>
      <c r="F97" s="95">
        <v>0.13089221763406786</v>
      </c>
      <c r="G97" s="95">
        <v>0</v>
      </c>
      <c r="H97" s="95">
        <v>829.99885772382174</v>
      </c>
      <c r="J97" s="95">
        <f t="shared" si="21"/>
        <v>0.13089221763406786</v>
      </c>
      <c r="K97" s="95">
        <f t="shared" ref="K97:K113" si="34">(B97-B96)*SIN(RADIANS(AVERAGE(C96,C97)))</f>
        <v>0.13089595571344442</v>
      </c>
      <c r="L97" s="95">
        <f t="shared" ref="L97:L113" si="35">L96+K97</f>
        <v>0.13089595571344442</v>
      </c>
      <c r="M97" s="95">
        <f t="shared" si="22"/>
        <v>1.1422761782569069E-3</v>
      </c>
      <c r="N97" s="95">
        <f t="shared" ref="N97:N113" si="36">0.5*K97*TAN(RADIANS(AVERAGE(C96,C97)))</f>
        <v>8.567609618969019E-4</v>
      </c>
      <c r="O97" s="95">
        <f t="shared" ref="O97:O113" si="37">O96+N97</f>
        <v>8.567609618969019E-4</v>
      </c>
      <c r="P97" s="118">
        <f t="shared" ref="P97:P100" si="38">P96 + (B97-B96)*TAN(RADIANS(C97))</f>
        <v>0.26185921569186932</v>
      </c>
      <c r="Q97" s="107"/>
      <c r="R97" s="118">
        <f t="shared" si="33"/>
        <v>6.8570248842760939E-3</v>
      </c>
      <c r="S97" s="118">
        <f t="shared" ref="S97:S100" si="39">B97-R97</f>
        <v>829.99314297511569</v>
      </c>
    </row>
    <row r="98" spans="1:19" x14ac:dyDescent="0.3">
      <c r="A98">
        <v>4</v>
      </c>
      <c r="B98">
        <v>1000</v>
      </c>
      <c r="C98">
        <v>2.75</v>
      </c>
      <c r="D98">
        <v>0</v>
      </c>
      <c r="F98" s="95">
        <v>6.4343237676861014</v>
      </c>
      <c r="G98" s="95">
        <v>0</v>
      </c>
      <c r="H98" s="95">
        <v>999.87858131431722</v>
      </c>
      <c r="J98" s="95">
        <f t="shared" si="21"/>
        <v>6.4343237676861014</v>
      </c>
      <c r="K98" s="95">
        <f t="shared" si="34"/>
        <v>6.3035565605800823</v>
      </c>
      <c r="L98" s="95">
        <f t="shared" si="35"/>
        <v>6.4344525162935264</v>
      </c>
      <c r="M98" s="95">
        <f t="shared" si="22"/>
        <v>0.12141868568278369</v>
      </c>
      <c r="N98" s="95">
        <f t="shared" si="36"/>
        <v>0.11694755695882546</v>
      </c>
      <c r="O98" s="95">
        <f t="shared" si="37"/>
        <v>0.11780431792072237</v>
      </c>
      <c r="P98" s="118">
        <f t="shared" si="38"/>
        <v>8.4275447781737363</v>
      </c>
      <c r="Q98" s="107"/>
      <c r="R98" s="118">
        <f t="shared" si="33"/>
        <v>0.39908302903324555</v>
      </c>
      <c r="S98" s="118">
        <f t="shared" si="39"/>
        <v>999.60091697096675</v>
      </c>
    </row>
    <row r="99" spans="1:19" x14ac:dyDescent="0.3">
      <c r="A99">
        <v>5</v>
      </c>
      <c r="B99">
        <v>1070</v>
      </c>
      <c r="C99">
        <v>4</v>
      </c>
      <c r="D99">
        <v>0</v>
      </c>
      <c r="F99" s="95">
        <v>10.555198297514577</v>
      </c>
      <c r="G99" s="95">
        <v>0</v>
      </c>
      <c r="H99" s="95">
        <v>1069.7557882127962</v>
      </c>
      <c r="J99" s="95">
        <f t="shared" si="21"/>
        <v>10.555198297514577</v>
      </c>
      <c r="K99" s="95">
        <f t="shared" si="34"/>
        <v>4.1209562555832324</v>
      </c>
      <c r="L99" s="95">
        <f t="shared" si="35"/>
        <v>10.55540877187676</v>
      </c>
      <c r="M99" s="95">
        <f t="shared" si="22"/>
        <v>0.24421178720376702</v>
      </c>
      <c r="N99" s="95">
        <f t="shared" si="36"/>
        <v>0.12151275377135799</v>
      </c>
      <c r="O99" s="95">
        <f t="shared" si="37"/>
        <v>0.23931707169208036</v>
      </c>
      <c r="P99" s="118">
        <f t="shared" si="38"/>
        <v>13.322421614219465</v>
      </c>
      <c r="Q99" s="107"/>
      <c r="R99" s="118">
        <f t="shared" si="33"/>
        <v>0.7413661610340605</v>
      </c>
      <c r="S99" s="118">
        <f t="shared" si="39"/>
        <v>1069.258633838966</v>
      </c>
    </row>
    <row r="100" spans="1:19" x14ac:dyDescent="0.3">
      <c r="A100">
        <v>6</v>
      </c>
      <c r="B100">
        <v>1120</v>
      </c>
      <c r="C100">
        <v>4.5</v>
      </c>
      <c r="D100">
        <v>0</v>
      </c>
      <c r="F100" s="95">
        <v>14.260611049620175</v>
      </c>
      <c r="G100" s="95">
        <v>0</v>
      </c>
      <c r="H100" s="95">
        <v>1119.6181392492865</v>
      </c>
      <c r="J100" s="95">
        <f t="shared" si="21"/>
        <v>14.260611049620175</v>
      </c>
      <c r="K100" s="95">
        <f t="shared" si="34"/>
        <v>3.7054245097699621</v>
      </c>
      <c r="L100" s="95">
        <f t="shared" si="35"/>
        <v>14.260833281646722</v>
      </c>
      <c r="M100" s="95">
        <f t="shared" si="22"/>
        <v>0.38186075071348569</v>
      </c>
      <c r="N100" s="95">
        <f t="shared" si="36"/>
        <v>0.1376803033256318</v>
      </c>
      <c r="O100" s="95">
        <f t="shared" si="37"/>
        <v>0.37699737501771213</v>
      </c>
      <c r="P100" s="118">
        <f t="shared" si="38"/>
        <v>17.257506955450388</v>
      </c>
      <c r="Q100" s="107"/>
      <c r="R100" s="118">
        <f t="shared" ref="R100:R113" si="40">R99 + (B100-B99)*TAN(RADIANS(C100))^2</f>
        <v>1.0510640938894702</v>
      </c>
      <c r="S100" s="118">
        <f t="shared" si="39"/>
        <v>1118.9489359061106</v>
      </c>
    </row>
    <row r="101" spans="1:19" x14ac:dyDescent="0.3">
      <c r="A101">
        <v>7</v>
      </c>
      <c r="B101">
        <v>1305</v>
      </c>
      <c r="C101">
        <v>1</v>
      </c>
      <c r="D101">
        <v>0</v>
      </c>
      <c r="F101" s="95">
        <v>23.135184841098116</v>
      </c>
      <c r="G101" s="95">
        <v>0</v>
      </c>
      <c r="H101" s="95">
        <v>1304.3763610798005</v>
      </c>
      <c r="J101" s="95">
        <f t="shared" si="21"/>
        <v>23.135184841098116</v>
      </c>
      <c r="K101" s="95">
        <f t="shared" si="34"/>
        <v>8.8759537764486289</v>
      </c>
      <c r="L101" s="95">
        <f t="shared" si="35"/>
        <v>23.136787058095351</v>
      </c>
      <c r="M101" s="95">
        <f t="shared" si="22"/>
        <v>0.62363892019948253</v>
      </c>
      <c r="N101" s="95">
        <f t="shared" si="36"/>
        <v>0.21317131648706758</v>
      </c>
      <c r="O101" s="95">
        <f t="shared" si="37"/>
        <v>0.59016869150477969</v>
      </c>
      <c r="P101" s="118">
        <f t="shared" ref="P101:P113" si="41">P100 + (B101-B100)*TAN(RADIANS(C101))</f>
        <v>20.486693967170641</v>
      </c>
      <c r="Q101" s="107"/>
      <c r="R101" s="118">
        <f t="shared" si="40"/>
        <v>1.1074297628444041</v>
      </c>
      <c r="S101" s="118">
        <f t="shared" ref="S101:S113" si="42">B101-R101</f>
        <v>1303.8925702371555</v>
      </c>
    </row>
    <row r="102" spans="1:19" x14ac:dyDescent="0.3">
      <c r="A102">
        <v>8</v>
      </c>
      <c r="B102">
        <v>1405</v>
      </c>
      <c r="C102">
        <v>1</v>
      </c>
      <c r="D102">
        <v>0</v>
      </c>
      <c r="F102" s="95">
        <v>24.880425484826468</v>
      </c>
      <c r="G102" s="95">
        <v>0</v>
      </c>
      <c r="H102" s="95">
        <v>1404.3611305954396</v>
      </c>
      <c r="J102" s="95">
        <f t="shared" si="21"/>
        <v>24.880425484826468</v>
      </c>
      <c r="K102" s="95">
        <f t="shared" si="34"/>
        <v>1.7452406437283512</v>
      </c>
      <c r="L102" s="95">
        <f t="shared" si="35"/>
        <v>24.882027701823702</v>
      </c>
      <c r="M102" s="95">
        <f t="shared" si="22"/>
        <v>0.63886940456040975</v>
      </c>
      <c r="N102" s="95">
        <f t="shared" si="36"/>
        <v>1.5231644375821312E-2</v>
      </c>
      <c r="O102" s="95">
        <f t="shared" si="37"/>
        <v>0.60540033588060105</v>
      </c>
      <c r="P102" s="118">
        <f t="shared" si="41"/>
        <v>22.232200459992399</v>
      </c>
      <c r="Q102" s="107"/>
      <c r="R102" s="118">
        <f t="shared" si="40"/>
        <v>1.1378976920092332</v>
      </c>
      <c r="S102" s="118">
        <f t="shared" si="42"/>
        <v>1403.8621023079907</v>
      </c>
    </row>
    <row r="103" spans="1:19" x14ac:dyDescent="0.3">
      <c r="A103">
        <v>9</v>
      </c>
      <c r="B103">
        <v>1460</v>
      </c>
      <c r="C103">
        <v>1</v>
      </c>
      <c r="D103">
        <v>0</v>
      </c>
      <c r="F103" s="95">
        <v>25.84030783887706</v>
      </c>
      <c r="G103" s="95">
        <v>0</v>
      </c>
      <c r="H103" s="95">
        <v>1459.3527538290411</v>
      </c>
      <c r="J103" s="95">
        <f t="shared" si="21"/>
        <v>25.84030783887706</v>
      </c>
      <c r="K103" s="95">
        <f t="shared" si="34"/>
        <v>0.95988235405059319</v>
      </c>
      <c r="L103" s="95">
        <f t="shared" si="35"/>
        <v>25.841910055874294</v>
      </c>
      <c r="M103" s="95">
        <f t="shared" si="22"/>
        <v>0.64724617095885151</v>
      </c>
      <c r="N103" s="95">
        <f t="shared" si="36"/>
        <v>8.3774044067017224E-3</v>
      </c>
      <c r="O103" s="95">
        <f t="shared" si="37"/>
        <v>0.61377774028730281</v>
      </c>
      <c r="P103" s="118">
        <f t="shared" si="41"/>
        <v>23.192229031044366</v>
      </c>
      <c r="Q103" s="107"/>
      <c r="R103" s="118">
        <f t="shared" si="40"/>
        <v>1.1546550530498891</v>
      </c>
      <c r="S103" s="118">
        <f t="shared" si="42"/>
        <v>1458.84534494695</v>
      </c>
    </row>
    <row r="104" spans="1:19" x14ac:dyDescent="0.3">
      <c r="A104">
        <v>10</v>
      </c>
      <c r="B104">
        <v>1510</v>
      </c>
      <c r="C104">
        <v>0.5</v>
      </c>
      <c r="D104">
        <v>0</v>
      </c>
      <c r="F104" s="95">
        <v>26.4947855407177</v>
      </c>
      <c r="G104" s="95">
        <v>0</v>
      </c>
      <c r="H104" s="95">
        <v>1509.3483115665788</v>
      </c>
      <c r="J104" s="95">
        <f t="shared" si="21"/>
        <v>26.4947855407177</v>
      </c>
      <c r="K104" s="95">
        <f t="shared" si="34"/>
        <v>0.65447977856722206</v>
      </c>
      <c r="L104" s="95">
        <f t="shared" si="35"/>
        <v>26.496389834441516</v>
      </c>
      <c r="M104" s="95">
        <f t="shared" si="22"/>
        <v>0.65168843342121363</v>
      </c>
      <c r="N104" s="95">
        <f t="shared" si="36"/>
        <v>4.2838048094845094E-3</v>
      </c>
      <c r="O104" s="95">
        <f t="shared" si="37"/>
        <v>0.61806154509678735</v>
      </c>
      <c r="P104" s="118">
        <f t="shared" si="41"/>
        <v>23.628572420582305</v>
      </c>
      <c r="Q104" s="107"/>
      <c r="R104" s="118">
        <f t="shared" si="40"/>
        <v>1.1584629641217583</v>
      </c>
      <c r="S104" s="118">
        <f t="shared" si="42"/>
        <v>1508.8415370358782</v>
      </c>
    </row>
    <row r="105" spans="1:19" x14ac:dyDescent="0.3">
      <c r="A105">
        <v>11</v>
      </c>
      <c r="B105">
        <v>1550</v>
      </c>
      <c r="C105">
        <v>1</v>
      </c>
      <c r="D105">
        <v>0</v>
      </c>
      <c r="F105" s="95">
        <v>27.018367702190215</v>
      </c>
      <c r="G105" s="95">
        <v>0</v>
      </c>
      <c r="H105" s="95">
        <v>1549.3447577566089</v>
      </c>
      <c r="J105" s="95">
        <f t="shared" si="21"/>
        <v>27.018367702190215</v>
      </c>
      <c r="K105" s="95">
        <f t="shared" si="34"/>
        <v>0.52358382285377769</v>
      </c>
      <c r="L105" s="95">
        <f t="shared" si="35"/>
        <v>27.019973657295292</v>
      </c>
      <c r="M105" s="95">
        <f t="shared" si="22"/>
        <v>0.65524224339105785</v>
      </c>
      <c r="N105" s="95">
        <f t="shared" si="36"/>
        <v>3.4270438475876076E-3</v>
      </c>
      <c r="O105" s="95">
        <f t="shared" si="37"/>
        <v>0.62148858894437498</v>
      </c>
      <c r="P105" s="118">
        <f t="shared" si="41"/>
        <v>24.326775017711007</v>
      </c>
      <c r="Q105" s="107"/>
      <c r="R105" s="118">
        <f t="shared" si="40"/>
        <v>1.1706501357876899</v>
      </c>
      <c r="S105" s="118">
        <f t="shared" si="42"/>
        <v>1548.8293498642124</v>
      </c>
    </row>
    <row r="106" spans="1:19" x14ac:dyDescent="0.3">
      <c r="A106">
        <v>12</v>
      </c>
      <c r="B106">
        <v>1630</v>
      </c>
      <c r="C106">
        <v>0.75</v>
      </c>
      <c r="D106">
        <v>0</v>
      </c>
      <c r="F106" s="95">
        <v>28.240049720794406</v>
      </c>
      <c r="G106" s="95">
        <v>0</v>
      </c>
      <c r="H106" s="95">
        <v>1629.3353655748888</v>
      </c>
      <c r="J106" s="95">
        <f t="shared" si="21"/>
        <v>28.240049720794406</v>
      </c>
      <c r="K106" s="95">
        <f t="shared" si="34"/>
        <v>1.2216829877339612</v>
      </c>
      <c r="L106" s="95">
        <f t="shared" si="35"/>
        <v>28.241656645029252</v>
      </c>
      <c r="M106" s="95">
        <f t="shared" si="22"/>
        <v>0.66463442511121684</v>
      </c>
      <c r="N106" s="95">
        <f t="shared" si="36"/>
        <v>9.32927114355637E-3</v>
      </c>
      <c r="O106" s="95">
        <f t="shared" si="37"/>
        <v>0.63081786008793139</v>
      </c>
      <c r="P106" s="118">
        <f t="shared" si="41"/>
        <v>25.374032384497813</v>
      </c>
      <c r="Q106" s="107"/>
      <c r="R106" s="118">
        <f t="shared" si="40"/>
        <v>1.1843594856913053</v>
      </c>
      <c r="S106" s="118">
        <f t="shared" si="42"/>
        <v>1628.8156405143086</v>
      </c>
    </row>
    <row r="107" spans="1:19" x14ac:dyDescent="0.3">
      <c r="A107">
        <v>13</v>
      </c>
      <c r="B107">
        <v>1750</v>
      </c>
      <c r="C107">
        <v>1</v>
      </c>
      <c r="D107">
        <v>0</v>
      </c>
      <c r="F107" s="95">
        <v>30.072572748700697</v>
      </c>
      <c r="G107" s="95">
        <v>0</v>
      </c>
      <c r="H107" s="95">
        <v>1749.3212773023088</v>
      </c>
      <c r="J107" s="95">
        <f t="shared" si="21"/>
        <v>30.072572748700697</v>
      </c>
      <c r="K107" s="95">
        <f t="shared" si="34"/>
        <v>1.8325244816009418</v>
      </c>
      <c r="L107" s="95">
        <f t="shared" si="35"/>
        <v>30.074181126630194</v>
      </c>
      <c r="M107" s="95">
        <f t="shared" si="22"/>
        <v>0.67872269769122795</v>
      </c>
      <c r="N107" s="95">
        <f t="shared" si="36"/>
        <v>1.3993906715334554E-2</v>
      </c>
      <c r="O107" s="95">
        <f t="shared" si="37"/>
        <v>0.64481176680326591</v>
      </c>
      <c r="P107" s="118">
        <f t="shared" si="41"/>
        <v>27.468640175883923</v>
      </c>
      <c r="Q107" s="107"/>
      <c r="R107" s="118">
        <f t="shared" si="40"/>
        <v>1.2209210006891003</v>
      </c>
      <c r="S107" s="118">
        <f t="shared" si="42"/>
        <v>1748.779078999311</v>
      </c>
    </row>
    <row r="108" spans="1:19" x14ac:dyDescent="0.3">
      <c r="A108">
        <v>14</v>
      </c>
      <c r="B108">
        <v>1855</v>
      </c>
      <c r="C108">
        <v>1</v>
      </c>
      <c r="D108">
        <v>0</v>
      </c>
      <c r="F108" s="95">
        <v>31.905075424615465</v>
      </c>
      <c r="G108" s="95">
        <v>0</v>
      </c>
      <c r="H108" s="95">
        <v>1854.3052852937299</v>
      </c>
      <c r="J108" s="95">
        <f t="shared" si="21"/>
        <v>31.905075424615465</v>
      </c>
      <c r="K108" s="95">
        <f t="shared" si="34"/>
        <v>1.8325026759147687</v>
      </c>
      <c r="L108" s="95">
        <f t="shared" si="35"/>
        <v>31.906683802544961</v>
      </c>
      <c r="M108" s="95">
        <f t="shared" si="22"/>
        <v>0.69471470627013332</v>
      </c>
      <c r="N108" s="95">
        <f t="shared" si="36"/>
        <v>1.5993226594612376E-2</v>
      </c>
      <c r="O108" s="95">
        <f t="shared" si="37"/>
        <v>0.66080499339787824</v>
      </c>
      <c r="P108" s="118">
        <f t="shared" si="41"/>
        <v>29.301421993346771</v>
      </c>
      <c r="Q108" s="107"/>
      <c r="R108" s="118">
        <f t="shared" si="40"/>
        <v>1.2529123263121709</v>
      </c>
      <c r="S108" s="118">
        <f t="shared" si="42"/>
        <v>1853.7470876736879</v>
      </c>
    </row>
    <row r="109" spans="1:19" x14ac:dyDescent="0.3">
      <c r="A109">
        <v>15</v>
      </c>
      <c r="B109">
        <v>2190</v>
      </c>
      <c r="C109">
        <v>4.5</v>
      </c>
      <c r="D109">
        <v>0</v>
      </c>
      <c r="F109" s="95">
        <v>47.975249587562004</v>
      </c>
      <c r="G109" s="95">
        <v>0</v>
      </c>
      <c r="H109" s="95">
        <v>2188.8674707706064</v>
      </c>
      <c r="J109" s="95">
        <f t="shared" si="21"/>
        <v>47.975249587562004</v>
      </c>
      <c r="K109" s="95">
        <f t="shared" si="34"/>
        <v>16.07267305465022</v>
      </c>
      <c r="L109" s="95">
        <f t="shared" si="35"/>
        <v>47.979356857195185</v>
      </c>
      <c r="M109" s="95">
        <f t="shared" si="22"/>
        <v>1.13252922939364</v>
      </c>
      <c r="N109" s="95">
        <f t="shared" si="36"/>
        <v>0.38601292444955482</v>
      </c>
      <c r="O109" s="95">
        <f t="shared" si="37"/>
        <v>1.0468179178474331</v>
      </c>
      <c r="P109" s="118">
        <f t="shared" si="41"/>
        <v>55.666493779593949</v>
      </c>
      <c r="Q109" s="107"/>
      <c r="R109" s="118">
        <f t="shared" si="40"/>
        <v>3.3278884764434156</v>
      </c>
      <c r="S109" s="118">
        <f t="shared" si="42"/>
        <v>2186.6721115235564</v>
      </c>
    </row>
    <row r="110" spans="1:19" x14ac:dyDescent="0.3">
      <c r="A110">
        <v>16</v>
      </c>
      <c r="B110">
        <v>2295</v>
      </c>
      <c r="C110">
        <v>5.5</v>
      </c>
      <c r="D110">
        <v>0</v>
      </c>
      <c r="F110" s="95">
        <v>57.126486423944428</v>
      </c>
      <c r="G110" s="95">
        <v>0</v>
      </c>
      <c r="H110" s="95">
        <v>2293.4665864454137</v>
      </c>
      <c r="J110" s="95">
        <f t="shared" si="21"/>
        <v>57.126486423944428</v>
      </c>
      <c r="K110" s="95">
        <f t="shared" si="34"/>
        <v>9.1513529885041081</v>
      </c>
      <c r="L110" s="95">
        <f t="shared" si="35"/>
        <v>57.130709845699293</v>
      </c>
      <c r="M110" s="95">
        <f t="shared" si="22"/>
        <v>1.5334135545863319</v>
      </c>
      <c r="N110" s="95">
        <f t="shared" si="36"/>
        <v>0.40031982120909748</v>
      </c>
      <c r="O110" s="95">
        <f t="shared" si="37"/>
        <v>1.4471377390565305</v>
      </c>
      <c r="P110" s="118">
        <f t="shared" si="41"/>
        <v>65.776843840335502</v>
      </c>
      <c r="Q110" s="107"/>
      <c r="R110" s="118">
        <f t="shared" si="40"/>
        <v>4.3014044607361468</v>
      </c>
      <c r="S110" s="118">
        <f t="shared" si="42"/>
        <v>2290.6985955392638</v>
      </c>
    </row>
    <row r="111" spans="1:19" x14ac:dyDescent="0.3">
      <c r="A111">
        <v>17</v>
      </c>
      <c r="B111">
        <v>2325</v>
      </c>
      <c r="C111">
        <v>4.5</v>
      </c>
      <c r="D111">
        <v>0</v>
      </c>
      <c r="F111" s="95">
        <v>59.741125520053693</v>
      </c>
      <c r="G111" s="95">
        <v>0</v>
      </c>
      <c r="H111" s="95">
        <v>2323.3520480667871</v>
      </c>
      <c r="J111" s="95">
        <f t="shared" si="21"/>
        <v>59.741125520053693</v>
      </c>
      <c r="K111" s="95">
        <f t="shared" si="34"/>
        <v>2.614672282429745</v>
      </c>
      <c r="L111" s="95">
        <f t="shared" si="35"/>
        <v>59.745382128129037</v>
      </c>
      <c r="M111" s="95">
        <f t="shared" si="22"/>
        <v>1.6479519332128802</v>
      </c>
      <c r="N111" s="95">
        <f t="shared" si="36"/>
        <v>0.11437709177402786</v>
      </c>
      <c r="O111" s="95">
        <f t="shared" si="37"/>
        <v>1.5615148308305584</v>
      </c>
      <c r="P111" s="118">
        <f t="shared" si="41"/>
        <v>68.13789504507406</v>
      </c>
      <c r="Q111" s="107"/>
      <c r="R111" s="118">
        <f t="shared" si="40"/>
        <v>4.4872232204493923</v>
      </c>
      <c r="S111" s="118">
        <f t="shared" si="42"/>
        <v>2320.5127767795507</v>
      </c>
    </row>
    <row r="112" spans="1:19" x14ac:dyDescent="0.3">
      <c r="A112">
        <v>18</v>
      </c>
      <c r="B112">
        <v>2375</v>
      </c>
      <c r="C112">
        <v>4.75</v>
      </c>
      <c r="D112">
        <v>0</v>
      </c>
      <c r="F112" s="95">
        <v>63.772814497529318</v>
      </c>
      <c r="G112" s="95">
        <v>0</v>
      </c>
      <c r="H112" s="95">
        <v>2373.1891980416681</v>
      </c>
      <c r="J112" s="95">
        <f t="shared" si="21"/>
        <v>63.772814497529318</v>
      </c>
      <c r="K112" s="95">
        <f t="shared" si="34"/>
        <v>4.0316921757135828</v>
      </c>
      <c r="L112" s="95">
        <f t="shared" si="35"/>
        <v>63.777074303842618</v>
      </c>
      <c r="M112" s="95">
        <f t="shared" si="22"/>
        <v>1.8108019583319219</v>
      </c>
      <c r="N112" s="95">
        <f t="shared" si="36"/>
        <v>0.16307642906538453</v>
      </c>
      <c r="O112" s="95">
        <f t="shared" si="37"/>
        <v>1.724591259895943</v>
      </c>
      <c r="P112" s="118">
        <f t="shared" si="41"/>
        <v>72.292574657435537</v>
      </c>
      <c r="Q112" s="107"/>
      <c r="R112" s="118">
        <f t="shared" si="40"/>
        <v>4.8324504740768344</v>
      </c>
      <c r="S112" s="118">
        <f t="shared" si="42"/>
        <v>2370.1675495259233</v>
      </c>
    </row>
    <row r="113" spans="1:19" x14ac:dyDescent="0.3">
      <c r="A113">
        <v>19</v>
      </c>
      <c r="B113">
        <v>2440</v>
      </c>
      <c r="C113">
        <v>4.75</v>
      </c>
      <c r="D113">
        <v>0</v>
      </c>
      <c r="F113" s="95">
        <v>69.155347985822601</v>
      </c>
      <c r="G113" s="95">
        <v>0</v>
      </c>
      <c r="H113" s="95">
        <v>2437.9659557040227</v>
      </c>
      <c r="J113" s="95">
        <f>F113</f>
        <v>69.155347985822601</v>
      </c>
      <c r="K113" s="95">
        <f t="shared" si="34"/>
        <v>5.3825334882932827</v>
      </c>
      <c r="L113" s="119">
        <f t="shared" si="35"/>
        <v>69.159607792135901</v>
      </c>
      <c r="M113" s="95">
        <f t="shared" si="22"/>
        <v>2.03404429597731</v>
      </c>
      <c r="N113" s="95">
        <f t="shared" si="36"/>
        <v>0.22362702146664992</v>
      </c>
      <c r="O113" s="119">
        <f t="shared" si="37"/>
        <v>1.948218281362593</v>
      </c>
      <c r="P113" s="118">
        <f t="shared" si="41"/>
        <v>77.693658153505453</v>
      </c>
      <c r="Q113" s="107"/>
      <c r="R113" s="118">
        <f t="shared" si="40"/>
        <v>5.2812459037925086</v>
      </c>
      <c r="S113" s="118">
        <f t="shared" si="42"/>
        <v>2434.7187540962077</v>
      </c>
    </row>
    <row r="114" spans="1:19" x14ac:dyDescent="0.3">
      <c r="F114" s="95"/>
      <c r="G114" s="95"/>
      <c r="H114" s="95"/>
      <c r="J114" s="95"/>
      <c r="K114" s="95"/>
      <c r="L114" s="95"/>
      <c r="M114" s="95"/>
    </row>
    <row r="115" spans="1:19" x14ac:dyDescent="0.3">
      <c r="F115" s="95"/>
      <c r="G115" s="95"/>
      <c r="H115" s="95"/>
      <c r="J115" s="95"/>
      <c r="K115" s="95"/>
      <c r="L115" s="95"/>
      <c r="M115" s="95"/>
    </row>
    <row r="116" spans="1:19" x14ac:dyDescent="0.3">
      <c r="F116" s="95"/>
      <c r="G116" s="95"/>
      <c r="H116" s="95"/>
      <c r="J116" s="95"/>
      <c r="K116" s="95"/>
      <c r="L116" s="95"/>
      <c r="M116" s="95"/>
    </row>
    <row r="117" spans="1:19" x14ac:dyDescent="0.3">
      <c r="F117" s="95"/>
      <c r="G117" s="95"/>
      <c r="H117" s="95"/>
      <c r="J117" s="95"/>
      <c r="K117" s="95"/>
      <c r="L117" s="95"/>
      <c r="M117" s="95"/>
    </row>
    <row r="118" spans="1:19" x14ac:dyDescent="0.3">
      <c r="A118" t="s">
        <v>263</v>
      </c>
      <c r="F118" s="95"/>
      <c r="G118" s="95"/>
      <c r="H118" s="95"/>
      <c r="J118" s="95"/>
      <c r="K118" s="122" t="s">
        <v>279</v>
      </c>
      <c r="L118" s="122" t="s">
        <v>280</v>
      </c>
      <c r="M118" s="107"/>
      <c r="N118" s="122" t="s">
        <v>281</v>
      </c>
      <c r="O118" s="122" t="s">
        <v>282</v>
      </c>
    </row>
    <row r="119" spans="1:19" x14ac:dyDescent="0.3">
      <c r="A119">
        <v>1</v>
      </c>
      <c r="B119">
        <v>0</v>
      </c>
      <c r="C119">
        <v>0</v>
      </c>
      <c r="D119">
        <v>0</v>
      </c>
      <c r="F119" s="95">
        <v>0</v>
      </c>
      <c r="G119" s="95">
        <v>0</v>
      </c>
      <c r="H119" s="95">
        <v>0</v>
      </c>
      <c r="J119" s="95">
        <f t="shared" si="21"/>
        <v>0</v>
      </c>
      <c r="K119" s="95"/>
      <c r="L119" s="95"/>
      <c r="M119" s="95">
        <f t="shared" si="22"/>
        <v>0</v>
      </c>
    </row>
    <row r="120" spans="1:19" x14ac:dyDescent="0.3">
      <c r="A120">
        <v>2</v>
      </c>
      <c r="B120">
        <v>68</v>
      </c>
      <c r="C120">
        <v>0.75</v>
      </c>
      <c r="D120">
        <v>0</v>
      </c>
      <c r="F120" s="95">
        <v>0.44505260432398414</v>
      </c>
      <c r="G120" s="95">
        <v>0</v>
      </c>
      <c r="H120" s="95">
        <v>67.998058080586063</v>
      </c>
      <c r="J120" s="95">
        <f t="shared" si="21"/>
        <v>0.44505260432398414</v>
      </c>
      <c r="K120" s="95">
        <f>(B120-B119)*SIN(RADIANS(AVERAGE(C119,C120)))</f>
        <v>0.44505578177992644</v>
      </c>
      <c r="L120" s="95">
        <f>L119+K120</f>
        <v>0.44505578177992644</v>
      </c>
      <c r="M120" s="95">
        <f t="shared" si="22"/>
        <v>1.9419194139373985E-3</v>
      </c>
      <c r="N120" s="95">
        <f>0.5*K120*TAN(RADIANS(AVERAGE(C119,C120)))</f>
        <v>1.4564624368821083E-3</v>
      </c>
      <c r="O120" s="95">
        <f>O119+N120</f>
        <v>1.4564624368821083E-3</v>
      </c>
    </row>
    <row r="121" spans="1:19" x14ac:dyDescent="0.3">
      <c r="A121">
        <v>3</v>
      </c>
      <c r="B121">
        <v>85</v>
      </c>
      <c r="C121">
        <v>3.25</v>
      </c>
      <c r="D121">
        <v>0</v>
      </c>
      <c r="F121" s="95">
        <v>1.0382969850873596</v>
      </c>
      <c r="G121" s="95">
        <v>0</v>
      </c>
      <c r="H121" s="95">
        <v>84.986354426792502</v>
      </c>
      <c r="J121" s="95">
        <f t="shared" si="21"/>
        <v>1.0382969850873596</v>
      </c>
      <c r="K121" s="95">
        <f t="shared" ref="K121:K147" si="43">(B121-B120)*SIN(RADIANS(AVERAGE(C120,C121)))</f>
        <v>0.59329144394251643</v>
      </c>
      <c r="L121" s="95">
        <f t="shared" ref="L121:L147" si="44">L120+K121</f>
        <v>1.0383472257224429</v>
      </c>
      <c r="M121" s="95">
        <f t="shared" si="22"/>
        <v>1.3645573207497819E-2</v>
      </c>
      <c r="N121" s="95">
        <f t="shared" ref="N121:N147" si="45">0.5*K121*TAN(RADIANS(AVERAGE(C120,C121)))</f>
        <v>1.0359096877671394E-2</v>
      </c>
      <c r="O121" s="95">
        <f t="shared" ref="O121:O147" si="46">O120+N121</f>
        <v>1.1815559314553503E-2</v>
      </c>
    </row>
    <row r="122" spans="1:19" x14ac:dyDescent="0.3">
      <c r="A122">
        <v>4</v>
      </c>
      <c r="B122">
        <v>243</v>
      </c>
      <c r="C122">
        <v>1</v>
      </c>
      <c r="D122">
        <v>0</v>
      </c>
      <c r="F122" s="95">
        <v>6.8965201735285184</v>
      </c>
      <c r="G122" s="95">
        <v>0</v>
      </c>
      <c r="H122" s="95">
        <v>242.86755422749462</v>
      </c>
      <c r="J122" s="95">
        <f t="shared" si="21"/>
        <v>6.8965201735285184</v>
      </c>
      <c r="K122" s="95">
        <f t="shared" si="43"/>
        <v>5.8585996268920759</v>
      </c>
      <c r="L122" s="95">
        <f t="shared" si="44"/>
        <v>6.8969468526145192</v>
      </c>
      <c r="M122" s="95">
        <f t="shared" si="22"/>
        <v>0.13244577250537759</v>
      </c>
      <c r="N122" s="95">
        <f t="shared" si="45"/>
        <v>0.10869243529114365</v>
      </c>
      <c r="O122" s="95">
        <f t="shared" si="46"/>
        <v>0.12050799460569715</v>
      </c>
    </row>
    <row r="123" spans="1:19" x14ac:dyDescent="0.3">
      <c r="A123">
        <v>5</v>
      </c>
      <c r="B123">
        <v>377</v>
      </c>
      <c r="C123">
        <v>1.75</v>
      </c>
      <c r="D123">
        <v>0</v>
      </c>
      <c r="F123" s="95">
        <v>10.1119577030603</v>
      </c>
      <c r="G123" s="95">
        <v>0</v>
      </c>
      <c r="H123" s="95">
        <v>376.82801320805936</v>
      </c>
      <c r="J123" s="95">
        <f t="shared" si="21"/>
        <v>10.1119577030603</v>
      </c>
      <c r="K123" s="95">
        <f t="shared" si="43"/>
        <v>3.2154604861687854</v>
      </c>
      <c r="L123" s="95">
        <f t="shared" si="44"/>
        <v>10.112407338783305</v>
      </c>
      <c r="M123" s="95">
        <f t="shared" si="22"/>
        <v>0.1719867919406397</v>
      </c>
      <c r="N123" s="95">
        <f t="shared" si="45"/>
        <v>3.8590164592723748E-2</v>
      </c>
      <c r="O123" s="95">
        <f t="shared" si="46"/>
        <v>0.15909815919842091</v>
      </c>
    </row>
    <row r="124" spans="1:19" x14ac:dyDescent="0.3">
      <c r="A124">
        <v>6</v>
      </c>
      <c r="B124">
        <v>512</v>
      </c>
      <c r="C124">
        <v>1</v>
      </c>
      <c r="D124">
        <v>0</v>
      </c>
      <c r="F124" s="95">
        <v>13.351391035051273</v>
      </c>
      <c r="G124" s="95">
        <v>0</v>
      </c>
      <c r="H124" s="95">
        <v>511.78817710638947</v>
      </c>
      <c r="J124" s="95">
        <f t="shared" si="21"/>
        <v>13.351391035051273</v>
      </c>
      <c r="K124" s="95">
        <f t="shared" si="43"/>
        <v>3.2394564599461644</v>
      </c>
      <c r="L124" s="95">
        <f t="shared" si="44"/>
        <v>13.351863798729468</v>
      </c>
      <c r="M124" s="95">
        <f t="shared" si="22"/>
        <v>0.21182289361053108</v>
      </c>
      <c r="N124" s="95">
        <f t="shared" si="45"/>
        <v>3.8878150895654523E-2</v>
      </c>
      <c r="O124" s="95">
        <f t="shared" si="46"/>
        <v>0.19797631009407543</v>
      </c>
    </row>
    <row r="125" spans="1:19" x14ac:dyDescent="0.3">
      <c r="A125">
        <v>7</v>
      </c>
      <c r="B125">
        <v>577</v>
      </c>
      <c r="C125">
        <v>0.75</v>
      </c>
      <c r="D125">
        <v>0</v>
      </c>
      <c r="F125" s="95">
        <v>14.34400767516718</v>
      </c>
      <c r="G125" s="95">
        <v>0</v>
      </c>
      <c r="H125" s="95">
        <v>576.78054595874198</v>
      </c>
      <c r="J125" s="95">
        <f t="shared" si="21"/>
        <v>14.34400767516718</v>
      </c>
      <c r="K125" s="95">
        <f t="shared" si="43"/>
        <v>0.99261742753384352</v>
      </c>
      <c r="L125" s="95">
        <f t="shared" si="44"/>
        <v>14.344481226263312</v>
      </c>
      <c r="M125" s="95">
        <f t="shared" si="22"/>
        <v>0.21945404125801815</v>
      </c>
      <c r="N125" s="95">
        <f t="shared" si="45"/>
        <v>7.5800328041395505E-3</v>
      </c>
      <c r="O125" s="95">
        <f t="shared" si="46"/>
        <v>0.20555634289821498</v>
      </c>
    </row>
    <row r="126" spans="1:19" x14ac:dyDescent="0.3">
      <c r="A126">
        <v>8</v>
      </c>
      <c r="B126">
        <v>615</v>
      </c>
      <c r="C126">
        <v>1</v>
      </c>
      <c r="D126">
        <v>0</v>
      </c>
      <c r="F126" s="95">
        <v>14.924306634004171</v>
      </c>
      <c r="G126" s="95">
        <v>0</v>
      </c>
      <c r="H126" s="95">
        <v>614.77608467242499</v>
      </c>
      <c r="J126" s="95">
        <f t="shared" si="21"/>
        <v>14.924306634004171</v>
      </c>
      <c r="K126" s="95">
        <f t="shared" si="43"/>
        <v>0.58029941917363159</v>
      </c>
      <c r="L126" s="95">
        <f t="shared" si="44"/>
        <v>14.924780645436943</v>
      </c>
      <c r="M126" s="95">
        <f t="shared" si="22"/>
        <v>0.22391532757501409</v>
      </c>
      <c r="N126" s="95">
        <f t="shared" si="45"/>
        <v>4.431403793189276E-3</v>
      </c>
      <c r="O126" s="95">
        <f t="shared" si="46"/>
        <v>0.20998774669140424</v>
      </c>
    </row>
    <row r="127" spans="1:19" x14ac:dyDescent="0.3">
      <c r="A127">
        <v>9</v>
      </c>
      <c r="B127">
        <v>754</v>
      </c>
      <c r="C127">
        <v>1.25</v>
      </c>
      <c r="D127">
        <v>0</v>
      </c>
      <c r="F127" s="95">
        <v>17.653387721119785</v>
      </c>
      <c r="G127" s="95">
        <v>0</v>
      </c>
      <c r="H127" s="95">
        <v>753.74918085555316</v>
      </c>
      <c r="J127" s="95">
        <f t="shared" si="21"/>
        <v>17.653387721119785</v>
      </c>
      <c r="K127" s="95">
        <f t="shared" si="43"/>
        <v>2.7290832520273338</v>
      </c>
      <c r="L127" s="95">
        <f t="shared" si="44"/>
        <v>17.653863897464277</v>
      </c>
      <c r="M127" s="95">
        <f t="shared" si="22"/>
        <v>0.25081914444683662</v>
      </c>
      <c r="N127" s="95">
        <f t="shared" si="45"/>
        <v>2.6796155848961976E-2</v>
      </c>
      <c r="O127" s="95">
        <f t="shared" si="46"/>
        <v>0.23678390254036621</v>
      </c>
    </row>
    <row r="128" spans="1:19" x14ac:dyDescent="0.3">
      <c r="A128">
        <v>10</v>
      </c>
      <c r="B128">
        <v>860</v>
      </c>
      <c r="C128">
        <v>2</v>
      </c>
      <c r="D128">
        <v>0</v>
      </c>
      <c r="F128" s="95">
        <v>20.659292874450646</v>
      </c>
      <c r="G128" s="95">
        <v>0</v>
      </c>
      <c r="H128" s="95">
        <v>859.70579507542266</v>
      </c>
      <c r="J128" s="95">
        <f t="shared" si="21"/>
        <v>20.659292874450646</v>
      </c>
      <c r="K128" s="95">
        <f t="shared" si="43"/>
        <v>3.0059266140101126</v>
      </c>
      <c r="L128" s="95">
        <f t="shared" si="44"/>
        <v>20.659790511474391</v>
      </c>
      <c r="M128" s="95">
        <f t="shared" si="22"/>
        <v>0.29420492457734326</v>
      </c>
      <c r="N128" s="95">
        <f t="shared" si="45"/>
        <v>4.2637877616766094E-2</v>
      </c>
      <c r="O128" s="95">
        <f t="shared" si="46"/>
        <v>0.27942178015713232</v>
      </c>
    </row>
    <row r="129" spans="1:15" x14ac:dyDescent="0.3">
      <c r="A129">
        <v>11</v>
      </c>
      <c r="B129">
        <v>878</v>
      </c>
      <c r="C129">
        <v>2</v>
      </c>
      <c r="D129">
        <v>0</v>
      </c>
      <c r="F129" s="95">
        <v>21.287483815095662</v>
      </c>
      <c r="G129" s="95">
        <v>0</v>
      </c>
      <c r="H129" s="95">
        <v>877.69482996176635</v>
      </c>
      <c r="J129" s="95">
        <f t="shared" si="21"/>
        <v>21.287483815095662</v>
      </c>
      <c r="K129" s="95">
        <f t="shared" si="43"/>
        <v>0.62819094064501746</v>
      </c>
      <c r="L129" s="95">
        <f t="shared" si="44"/>
        <v>21.287981452119407</v>
      </c>
      <c r="M129" s="95">
        <f t="shared" si="22"/>
        <v>0.30517003823365485</v>
      </c>
      <c r="N129" s="95">
        <f t="shared" si="45"/>
        <v>1.0968455517534417E-2</v>
      </c>
      <c r="O129" s="95">
        <f t="shared" si="46"/>
        <v>0.29039023567466671</v>
      </c>
    </row>
    <row r="130" spans="1:15" x14ac:dyDescent="0.3">
      <c r="A130">
        <v>12</v>
      </c>
      <c r="B130">
        <v>925</v>
      </c>
      <c r="C130">
        <v>1</v>
      </c>
      <c r="D130">
        <v>0</v>
      </c>
      <c r="F130" s="95">
        <v>22.517784769964358</v>
      </c>
      <c r="G130" s="95">
        <v>0</v>
      </c>
      <c r="H130" s="95">
        <v>924.67812789986135</v>
      </c>
      <c r="J130" s="95">
        <f t="shared" si="21"/>
        <v>22.517784769964358</v>
      </c>
      <c r="K130" s="95">
        <f t="shared" si="43"/>
        <v>1.2303165704700381</v>
      </c>
      <c r="L130" s="95">
        <f t="shared" si="44"/>
        <v>22.518298022589445</v>
      </c>
      <c r="M130" s="95">
        <f t="shared" si="22"/>
        <v>0.32187210013864842</v>
      </c>
      <c r="N130" s="95">
        <f t="shared" si="45"/>
        <v>1.610848660979973E-2</v>
      </c>
      <c r="O130" s="95">
        <f t="shared" si="46"/>
        <v>0.30649872228446645</v>
      </c>
    </row>
    <row r="131" spans="1:15" x14ac:dyDescent="0.3">
      <c r="A131">
        <v>13</v>
      </c>
      <c r="B131">
        <v>985</v>
      </c>
      <c r="C131">
        <v>1</v>
      </c>
      <c r="D131">
        <v>0</v>
      </c>
      <c r="F131" s="95">
        <v>23.564929156201369</v>
      </c>
      <c r="G131" s="95">
        <v>0</v>
      </c>
      <c r="H131" s="95">
        <v>984.66898960924482</v>
      </c>
      <c r="J131" s="95">
        <f t="shared" ref="J131:J189" si="47">F131</f>
        <v>23.564929156201369</v>
      </c>
      <c r="K131" s="95">
        <f t="shared" si="43"/>
        <v>1.0471443862370107</v>
      </c>
      <c r="L131" s="95">
        <f t="shared" si="44"/>
        <v>23.565442408826456</v>
      </c>
      <c r="M131" s="95">
        <f t="shared" ref="M131:M189" si="48">B131-H131</f>
        <v>0.33101039075518202</v>
      </c>
      <c r="N131" s="95">
        <f t="shared" si="45"/>
        <v>9.1389866254927878E-3</v>
      </c>
      <c r="O131" s="95">
        <f t="shared" si="46"/>
        <v>0.31563770890995924</v>
      </c>
    </row>
    <row r="132" spans="1:15" x14ac:dyDescent="0.3">
      <c r="A132">
        <v>14</v>
      </c>
      <c r="B132">
        <v>1020</v>
      </c>
      <c r="C132">
        <v>2</v>
      </c>
      <c r="D132">
        <v>0</v>
      </c>
      <c r="F132" s="95">
        <v>24.481110718337632</v>
      </c>
      <c r="G132" s="95">
        <v>0</v>
      </c>
      <c r="H132" s="95">
        <v>1019.6565519035709</v>
      </c>
      <c r="J132" s="95">
        <f t="shared" si="47"/>
        <v>24.481110718337632</v>
      </c>
      <c r="K132" s="95">
        <f t="shared" si="43"/>
        <v>0.91619319077556038</v>
      </c>
      <c r="L132" s="95">
        <f t="shared" si="44"/>
        <v>24.481635599602015</v>
      </c>
      <c r="M132" s="95">
        <f t="shared" si="48"/>
        <v>0.34344809642914242</v>
      </c>
      <c r="N132" s="95">
        <f t="shared" si="45"/>
        <v>1.1995681517935971E-2</v>
      </c>
      <c r="O132" s="95">
        <f t="shared" si="46"/>
        <v>0.32763339042789519</v>
      </c>
    </row>
    <row r="133" spans="1:15" x14ac:dyDescent="0.3">
      <c r="A133">
        <v>15</v>
      </c>
      <c r="B133">
        <v>1094</v>
      </c>
      <c r="C133">
        <v>1.5</v>
      </c>
      <c r="D133">
        <v>0</v>
      </c>
      <c r="F133" s="95">
        <v>26.740953525145613</v>
      </c>
      <c r="G133" s="95">
        <v>0</v>
      </c>
      <c r="H133" s="95">
        <v>1093.6218029259671</v>
      </c>
      <c r="J133" s="95">
        <f t="shared" si="47"/>
        <v>26.740953525145613</v>
      </c>
      <c r="K133" s="95">
        <f t="shared" si="43"/>
        <v>2.2598499775268768</v>
      </c>
      <c r="L133" s="95">
        <f t="shared" si="44"/>
        <v>26.741485577128891</v>
      </c>
      <c r="M133" s="95">
        <f t="shared" si="48"/>
        <v>0.37819707403286884</v>
      </c>
      <c r="N133" s="95">
        <f t="shared" si="45"/>
        <v>3.4522330726850015E-2</v>
      </c>
      <c r="O133" s="95">
        <f t="shared" si="46"/>
        <v>0.3621557211547452</v>
      </c>
    </row>
    <row r="134" spans="1:15" x14ac:dyDescent="0.3">
      <c r="A134">
        <v>16</v>
      </c>
      <c r="B134">
        <v>1154</v>
      </c>
      <c r="C134">
        <v>1</v>
      </c>
      <c r="D134">
        <v>0</v>
      </c>
      <c r="F134" s="95">
        <v>28.049842473976987</v>
      </c>
      <c r="G134" s="95">
        <v>0</v>
      </c>
      <c r="H134" s="95">
        <v>1153.6073342103623</v>
      </c>
      <c r="J134" s="95">
        <f t="shared" si="47"/>
        <v>28.049842473976987</v>
      </c>
      <c r="K134" s="95">
        <f t="shared" si="43"/>
        <v>1.3088931020736672</v>
      </c>
      <c r="L134" s="95">
        <f t="shared" si="44"/>
        <v>28.050378679202559</v>
      </c>
      <c r="M134" s="95">
        <f t="shared" si="48"/>
        <v>0.39266578963770371</v>
      </c>
      <c r="N134" s="95">
        <f t="shared" si="45"/>
        <v>1.4280074543171716E-2</v>
      </c>
      <c r="O134" s="95">
        <f t="shared" si="46"/>
        <v>0.37643579569791691</v>
      </c>
    </row>
    <row r="135" spans="1:15" x14ac:dyDescent="0.3">
      <c r="A135">
        <v>17</v>
      </c>
      <c r="B135">
        <v>1192</v>
      </c>
      <c r="C135">
        <v>1</v>
      </c>
      <c r="D135">
        <v>0</v>
      </c>
      <c r="F135" s="95">
        <v>28.713033918593762</v>
      </c>
      <c r="G135" s="95">
        <v>0</v>
      </c>
      <c r="H135" s="95">
        <v>1191.6015466263052</v>
      </c>
      <c r="J135" s="95">
        <f t="shared" si="47"/>
        <v>28.713033918593762</v>
      </c>
      <c r="K135" s="95">
        <f t="shared" si="43"/>
        <v>0.66319144461677348</v>
      </c>
      <c r="L135" s="95">
        <f t="shared" si="44"/>
        <v>28.713570123819334</v>
      </c>
      <c r="M135" s="95">
        <f t="shared" si="48"/>
        <v>0.39845337369479239</v>
      </c>
      <c r="N135" s="95">
        <f t="shared" si="45"/>
        <v>5.7880248628120988E-3</v>
      </c>
      <c r="O135" s="95">
        <f t="shared" si="46"/>
        <v>0.38222382056072901</v>
      </c>
    </row>
    <row r="136" spans="1:15" x14ac:dyDescent="0.3">
      <c r="A136">
        <v>18</v>
      </c>
      <c r="B136">
        <v>1236</v>
      </c>
      <c r="C136">
        <v>1.5</v>
      </c>
      <c r="D136">
        <v>0</v>
      </c>
      <c r="F136" s="95">
        <v>29.672885814403436</v>
      </c>
      <c r="G136" s="95">
        <v>0</v>
      </c>
      <c r="H136" s="95">
        <v>1235.5909362348616</v>
      </c>
      <c r="J136" s="95">
        <f t="shared" si="47"/>
        <v>29.672885814403436</v>
      </c>
      <c r="K136" s="95">
        <f t="shared" si="43"/>
        <v>0.95985494152068929</v>
      </c>
      <c r="L136" s="95">
        <f t="shared" si="44"/>
        <v>29.673425065340023</v>
      </c>
      <c r="M136" s="95">
        <f t="shared" si="48"/>
        <v>0.40906376513839859</v>
      </c>
      <c r="N136" s="95">
        <f t="shared" si="45"/>
        <v>1.0472054664992592E-2</v>
      </c>
      <c r="O136" s="95">
        <f t="shared" si="46"/>
        <v>0.39269587522572158</v>
      </c>
    </row>
    <row r="137" spans="1:15" x14ac:dyDescent="0.3">
      <c r="A137">
        <v>19</v>
      </c>
      <c r="B137">
        <v>1280</v>
      </c>
      <c r="C137">
        <v>1.5</v>
      </c>
      <c r="D137">
        <v>0</v>
      </c>
      <c r="F137" s="95">
        <v>30.824671539949854</v>
      </c>
      <c r="G137" s="95">
        <v>0</v>
      </c>
      <c r="H137" s="95">
        <v>1279.5758585337862</v>
      </c>
      <c r="J137" s="95">
        <f t="shared" si="47"/>
        <v>30.824671539949854</v>
      </c>
      <c r="K137" s="95">
        <f t="shared" si="43"/>
        <v>1.1517857255464188</v>
      </c>
      <c r="L137" s="95">
        <f t="shared" si="44"/>
        <v>30.825210790886441</v>
      </c>
      <c r="M137" s="95">
        <f t="shared" si="48"/>
        <v>0.42414146621376858</v>
      </c>
      <c r="N137" s="95">
        <f t="shared" si="45"/>
        <v>1.5080285336833794E-2</v>
      </c>
      <c r="O137" s="95">
        <f t="shared" si="46"/>
        <v>0.40777616056255539</v>
      </c>
    </row>
    <row r="138" spans="1:15" x14ac:dyDescent="0.3">
      <c r="A138">
        <v>20</v>
      </c>
      <c r="B138">
        <v>1300</v>
      </c>
      <c r="C138">
        <v>1.5</v>
      </c>
      <c r="D138">
        <v>0</v>
      </c>
      <c r="F138" s="95">
        <v>31.348210506107318</v>
      </c>
      <c r="G138" s="95">
        <v>0</v>
      </c>
      <c r="H138" s="95">
        <v>1299.5690050332973</v>
      </c>
      <c r="J138" s="95">
        <f t="shared" si="47"/>
        <v>31.348210506107318</v>
      </c>
      <c r="K138" s="95">
        <f t="shared" si="43"/>
        <v>0.52353896615746309</v>
      </c>
      <c r="L138" s="95">
        <f t="shared" si="44"/>
        <v>31.348749757043905</v>
      </c>
      <c r="M138" s="95">
        <f t="shared" si="48"/>
        <v>0.4309949667026558</v>
      </c>
      <c r="N138" s="95">
        <f t="shared" si="45"/>
        <v>6.85467515310627E-3</v>
      </c>
      <c r="O138" s="95">
        <f t="shared" si="46"/>
        <v>0.41463083571566167</v>
      </c>
    </row>
    <row r="139" spans="1:15" x14ac:dyDescent="0.3">
      <c r="A139">
        <v>21</v>
      </c>
      <c r="B139">
        <v>1471</v>
      </c>
      <c r="C139">
        <v>2.25</v>
      </c>
      <c r="D139">
        <v>0</v>
      </c>
      <c r="F139" s="95">
        <v>36.943133723640599</v>
      </c>
      <c r="G139" s="95">
        <v>0</v>
      </c>
      <c r="H139" s="95">
        <v>1470.4762292985247</v>
      </c>
      <c r="J139" s="95">
        <f t="shared" si="47"/>
        <v>36.943133723640599</v>
      </c>
      <c r="K139" s="95">
        <f t="shared" si="43"/>
        <v>5.5949631625237197</v>
      </c>
      <c r="L139" s="95">
        <f t="shared" si="44"/>
        <v>36.943712919567623</v>
      </c>
      <c r="M139" s="95">
        <f t="shared" si="48"/>
        <v>0.52377070147531413</v>
      </c>
      <c r="N139" s="95">
        <f t="shared" si="45"/>
        <v>9.158006466323601E-2</v>
      </c>
      <c r="O139" s="95">
        <f t="shared" si="46"/>
        <v>0.50621090037889771</v>
      </c>
    </row>
    <row r="140" spans="1:15" x14ac:dyDescent="0.3">
      <c r="A140">
        <v>22</v>
      </c>
      <c r="B140">
        <v>1518</v>
      </c>
      <c r="C140">
        <v>2.25</v>
      </c>
      <c r="D140">
        <v>0</v>
      </c>
      <c r="F140" s="95">
        <v>38.788345064316822</v>
      </c>
      <c r="G140" s="95">
        <v>0</v>
      </c>
      <c r="H140" s="95">
        <v>1517.4399940018386</v>
      </c>
      <c r="J140" s="95">
        <f t="shared" si="47"/>
        <v>38.788345064316822</v>
      </c>
      <c r="K140" s="95">
        <f t="shared" si="43"/>
        <v>1.8452113406762247</v>
      </c>
      <c r="L140" s="95">
        <f t="shared" si="44"/>
        <v>38.788924260243846</v>
      </c>
      <c r="M140" s="95">
        <f t="shared" si="48"/>
        <v>0.56000599816138674</v>
      </c>
      <c r="N140" s="95">
        <f t="shared" si="45"/>
        <v>3.6249275513467218E-2</v>
      </c>
      <c r="O140" s="95">
        <f t="shared" si="46"/>
        <v>0.54246017589236495</v>
      </c>
    </row>
    <row r="141" spans="1:15" x14ac:dyDescent="0.3">
      <c r="A141">
        <v>23</v>
      </c>
      <c r="B141">
        <v>1540</v>
      </c>
      <c r="C141">
        <v>2.5</v>
      </c>
      <c r="D141">
        <v>0</v>
      </c>
      <c r="F141" s="95">
        <v>39.700017745099167</v>
      </c>
      <c r="G141" s="95">
        <v>0</v>
      </c>
      <c r="H141" s="95">
        <v>1539.4210787119673</v>
      </c>
      <c r="J141" s="95">
        <f t="shared" si="47"/>
        <v>39.700017745099167</v>
      </c>
      <c r="K141" s="95">
        <f t="shared" si="43"/>
        <v>0.91167340398946517</v>
      </c>
      <c r="L141" s="95">
        <f t="shared" si="44"/>
        <v>39.700597664233314</v>
      </c>
      <c r="M141" s="95">
        <f t="shared" si="48"/>
        <v>0.57892128803268861</v>
      </c>
      <c r="N141" s="95">
        <f t="shared" si="45"/>
        <v>1.8905976369538616E-2</v>
      </c>
      <c r="O141" s="95">
        <f t="shared" si="46"/>
        <v>0.56136615226190356</v>
      </c>
    </row>
    <row r="142" spans="1:15" x14ac:dyDescent="0.3">
      <c r="A142">
        <v>24</v>
      </c>
      <c r="B142">
        <v>1599</v>
      </c>
      <c r="C142">
        <v>3</v>
      </c>
      <c r="D142">
        <v>0</v>
      </c>
      <c r="F142" s="95">
        <v>42.530718345747751</v>
      </c>
      <c r="G142" s="95">
        <v>0</v>
      </c>
      <c r="H142" s="95">
        <v>1598.352946517565</v>
      </c>
      <c r="J142" s="95">
        <f t="shared" si="47"/>
        <v>42.530718345747751</v>
      </c>
      <c r="K142" s="95">
        <f t="shared" si="43"/>
        <v>2.8307095827592925</v>
      </c>
      <c r="L142" s="95">
        <f t="shared" si="44"/>
        <v>42.531307246992604</v>
      </c>
      <c r="M142" s="95">
        <f t="shared" si="48"/>
        <v>0.64705348243501248</v>
      </c>
      <c r="N142" s="95">
        <f t="shared" si="45"/>
        <v>6.7984365798578306E-2</v>
      </c>
      <c r="O142" s="95">
        <f t="shared" si="46"/>
        <v>0.62935051806048192</v>
      </c>
    </row>
    <row r="143" spans="1:15" x14ac:dyDescent="0.3">
      <c r="A143">
        <v>25</v>
      </c>
      <c r="B143">
        <v>2372</v>
      </c>
      <c r="C143">
        <v>2</v>
      </c>
      <c r="D143">
        <v>0</v>
      </c>
      <c r="F143" s="95">
        <v>76.248076821402677</v>
      </c>
      <c r="G143" s="95">
        <v>0</v>
      </c>
      <c r="H143" s="95">
        <v>2370.607419956375</v>
      </c>
      <c r="J143" s="95">
        <f t="shared" si="47"/>
        <v>76.248076821402677</v>
      </c>
      <c r="K143" s="95">
        <f t="shared" si="43"/>
        <v>33.717786433404726</v>
      </c>
      <c r="L143" s="95">
        <f t="shared" si="44"/>
        <v>76.249093680397323</v>
      </c>
      <c r="M143" s="95">
        <f t="shared" si="48"/>
        <v>1.3925800436250029</v>
      </c>
      <c r="N143" s="95">
        <f t="shared" si="45"/>
        <v>0.73607517423514313</v>
      </c>
      <c r="O143" s="95">
        <f t="shared" si="46"/>
        <v>1.3654256922956249</v>
      </c>
    </row>
    <row r="144" spans="1:15" x14ac:dyDescent="0.3">
      <c r="A144">
        <v>26</v>
      </c>
      <c r="B144">
        <v>2600</v>
      </c>
      <c r="C144">
        <v>2.25</v>
      </c>
      <c r="D144">
        <v>0</v>
      </c>
      <c r="F144" s="95">
        <v>84.702251854989328</v>
      </c>
      <c r="G144" s="95">
        <v>0</v>
      </c>
      <c r="H144" s="95">
        <v>2598.4504458522479</v>
      </c>
      <c r="J144" s="95">
        <f t="shared" si="47"/>
        <v>84.702251854989328</v>
      </c>
      <c r="K144" s="95">
        <f t="shared" si="43"/>
        <v>8.4541817400721104</v>
      </c>
      <c r="L144" s="95">
        <f t="shared" si="44"/>
        <v>84.703275420469438</v>
      </c>
      <c r="M144" s="95">
        <f t="shared" si="48"/>
        <v>1.5495541477521328</v>
      </c>
      <c r="N144" s="95">
        <f t="shared" si="45"/>
        <v>0.15684731168595414</v>
      </c>
      <c r="O144" s="95">
        <f t="shared" si="46"/>
        <v>1.5222730039815791</v>
      </c>
    </row>
    <row r="145" spans="1:15" x14ac:dyDescent="0.3">
      <c r="A145">
        <v>27</v>
      </c>
      <c r="B145">
        <v>2776</v>
      </c>
      <c r="C145">
        <v>2.75</v>
      </c>
      <c r="D145">
        <v>0</v>
      </c>
      <c r="F145" s="95">
        <v>92.379239671398722</v>
      </c>
      <c r="G145" s="95">
        <v>0</v>
      </c>
      <c r="H145" s="95">
        <v>2774.2823749174513</v>
      </c>
      <c r="J145" s="95">
        <f t="shared" si="47"/>
        <v>92.379239671398722</v>
      </c>
      <c r="K145" s="95">
        <f t="shared" si="43"/>
        <v>7.6770121762991357</v>
      </c>
      <c r="L145" s="95">
        <f t="shared" si="44"/>
        <v>92.380287596768568</v>
      </c>
      <c r="M145" s="95">
        <f t="shared" si="48"/>
        <v>1.7176250825486932</v>
      </c>
      <c r="N145" s="95">
        <f t="shared" si="45"/>
        <v>0.16759279516867423</v>
      </c>
      <c r="O145" s="95">
        <f t="shared" si="46"/>
        <v>1.6898657991502533</v>
      </c>
    </row>
    <row r="146" spans="1:15" x14ac:dyDescent="0.3">
      <c r="A146">
        <v>28</v>
      </c>
      <c r="B146">
        <v>3409</v>
      </c>
      <c r="C146">
        <v>2</v>
      </c>
      <c r="D146">
        <v>0</v>
      </c>
      <c r="F146" s="95">
        <v>118.61038260877214</v>
      </c>
      <c r="G146" s="95">
        <v>0</v>
      </c>
      <c r="H146" s="95">
        <v>3406.7341167587283</v>
      </c>
      <c r="J146" s="95">
        <f t="shared" si="47"/>
        <v>118.61038260877214</v>
      </c>
      <c r="K146" s="95">
        <f t="shared" si="43"/>
        <v>26.231330214787796</v>
      </c>
      <c r="L146" s="95">
        <f t="shared" si="44"/>
        <v>118.61161781155636</v>
      </c>
      <c r="M146" s="95">
        <f t="shared" si="48"/>
        <v>2.2658832412716947</v>
      </c>
      <c r="N146" s="95">
        <f t="shared" si="45"/>
        <v>0.54397650190536107</v>
      </c>
      <c r="O146" s="95">
        <f t="shared" si="46"/>
        <v>2.2338423010556143</v>
      </c>
    </row>
    <row r="147" spans="1:15" x14ac:dyDescent="0.3">
      <c r="A147">
        <v>29</v>
      </c>
      <c r="B147">
        <v>3439</v>
      </c>
      <c r="C147">
        <v>2</v>
      </c>
      <c r="D147">
        <v>0</v>
      </c>
      <c r="F147" s="95">
        <v>119.65736750984718</v>
      </c>
      <c r="G147" s="95">
        <v>0</v>
      </c>
      <c r="H147" s="95">
        <v>3436.7158415693011</v>
      </c>
      <c r="J147" s="95">
        <f t="shared" si="47"/>
        <v>119.65736750984718</v>
      </c>
      <c r="K147" s="95">
        <f t="shared" si="43"/>
        <v>1.0469849010750292</v>
      </c>
      <c r="L147" s="119">
        <f t="shared" si="44"/>
        <v>119.65860271263139</v>
      </c>
      <c r="M147" s="95">
        <f t="shared" si="48"/>
        <v>2.2841584306988807</v>
      </c>
      <c r="N147" s="95">
        <f t="shared" si="45"/>
        <v>1.8280759195890697E-2</v>
      </c>
      <c r="O147" s="119">
        <f t="shared" si="46"/>
        <v>2.2521230602515052</v>
      </c>
    </row>
    <row r="148" spans="1:15" x14ac:dyDescent="0.3">
      <c r="F148" s="95"/>
      <c r="G148" s="95"/>
      <c r="H148" s="95"/>
      <c r="J148" s="95"/>
      <c r="K148" s="95"/>
      <c r="L148" s="95"/>
      <c r="M148" s="95"/>
    </row>
    <row r="149" spans="1:15" x14ac:dyDescent="0.3">
      <c r="F149" s="95"/>
      <c r="G149" s="95"/>
      <c r="H149" s="95"/>
      <c r="J149" s="95"/>
      <c r="K149" s="95"/>
      <c r="L149" s="95"/>
      <c r="M149" s="95"/>
    </row>
    <row r="150" spans="1:15" x14ac:dyDescent="0.3">
      <c r="F150" s="95"/>
      <c r="G150" s="95"/>
      <c r="H150" s="95"/>
      <c r="J150" s="95"/>
      <c r="K150" s="95"/>
      <c r="L150" s="95"/>
      <c r="M150" s="95"/>
    </row>
    <row r="151" spans="1:15" x14ac:dyDescent="0.3">
      <c r="A151" t="s">
        <v>264</v>
      </c>
      <c r="F151" s="95" t="s">
        <v>212</v>
      </c>
      <c r="G151" s="95" t="s">
        <v>213</v>
      </c>
      <c r="H151" s="95" t="s">
        <v>214</v>
      </c>
      <c r="J151" s="95"/>
      <c r="K151" s="122" t="s">
        <v>279</v>
      </c>
      <c r="L151" s="122" t="s">
        <v>280</v>
      </c>
      <c r="N151" s="122" t="s">
        <v>281</v>
      </c>
      <c r="O151" s="122" t="s">
        <v>282</v>
      </c>
    </row>
    <row r="152" spans="1:15" x14ac:dyDescent="0.3">
      <c r="A152">
        <v>1</v>
      </c>
      <c r="B152">
        <v>0</v>
      </c>
      <c r="C152">
        <v>0</v>
      </c>
      <c r="D152">
        <v>0</v>
      </c>
      <c r="F152" s="95">
        <v>0</v>
      </c>
      <c r="G152" s="95">
        <v>0</v>
      </c>
      <c r="H152" s="95">
        <v>0</v>
      </c>
      <c r="J152" s="95">
        <f t="shared" si="47"/>
        <v>0</v>
      </c>
      <c r="K152" s="95"/>
      <c r="L152" s="95"/>
      <c r="M152" s="95">
        <f t="shared" si="48"/>
        <v>0</v>
      </c>
      <c r="N152" s="95"/>
    </row>
    <row r="153" spans="1:15" x14ac:dyDescent="0.3">
      <c r="A153">
        <v>2</v>
      </c>
      <c r="B153">
        <v>990</v>
      </c>
      <c r="C153">
        <v>0</v>
      </c>
      <c r="D153">
        <v>0</v>
      </c>
      <c r="F153" s="95">
        <v>0</v>
      </c>
      <c r="G153" s="95">
        <v>0</v>
      </c>
      <c r="H153" s="95">
        <v>990</v>
      </c>
      <c r="J153" s="95">
        <f t="shared" si="47"/>
        <v>0</v>
      </c>
      <c r="K153" s="95">
        <f>(B153-B152)*SIN(RADIANS(AVERAGE(C152,C153)))</f>
        <v>0</v>
      </c>
      <c r="L153" s="95">
        <f>L152+K153</f>
        <v>0</v>
      </c>
      <c r="M153" s="95">
        <f t="shared" si="48"/>
        <v>0</v>
      </c>
      <c r="N153" s="95">
        <f>0.5*K153*TAN(RADIANS(AVERAGE(C152,C153)))</f>
        <v>0</v>
      </c>
      <c r="O153" s="95">
        <f>O152+N153</f>
        <v>0</v>
      </c>
    </row>
    <row r="154" spans="1:15" x14ac:dyDescent="0.3">
      <c r="A154">
        <v>3</v>
      </c>
      <c r="B154">
        <v>998</v>
      </c>
      <c r="C154">
        <v>8</v>
      </c>
      <c r="D154">
        <v>0</v>
      </c>
      <c r="F154" s="95">
        <v>0.55759858761946091</v>
      </c>
      <c r="G154" s="95">
        <v>0</v>
      </c>
      <c r="H154" s="95">
        <v>997.9740313067598</v>
      </c>
      <c r="J154" s="95">
        <f t="shared" si="47"/>
        <v>0.55759858761946091</v>
      </c>
      <c r="K154" s="95">
        <f t="shared" ref="K154:K189" si="49">(B154-B153)*SIN(RADIANS(AVERAGE(C153,C154)))</f>
        <v>0.55805178995300242</v>
      </c>
      <c r="L154" s="95">
        <f t="shared" ref="L154:L189" si="50">L153+K154</f>
        <v>0.55805178995300242</v>
      </c>
      <c r="M154" s="95">
        <f t="shared" si="48"/>
        <v>2.5968693240201901E-2</v>
      </c>
      <c r="N154" s="95">
        <f t="shared" ref="N154:N189" si="51">0.5*K154*TAN(RADIANS(AVERAGE(C153,C154)))</f>
        <v>1.9511391285391488E-2</v>
      </c>
      <c r="O154" s="95">
        <f t="shared" ref="O154:O161" si="52">O153+N154</f>
        <v>1.9511391285391488E-2</v>
      </c>
    </row>
    <row r="155" spans="1:15" x14ac:dyDescent="0.3">
      <c r="A155">
        <v>4</v>
      </c>
      <c r="B155">
        <v>1242</v>
      </c>
      <c r="C155">
        <v>3.25</v>
      </c>
      <c r="D155">
        <v>0</v>
      </c>
      <c r="F155" s="95">
        <v>24.466932488945066</v>
      </c>
      <c r="G155" s="95">
        <v>0</v>
      </c>
      <c r="H155" s="95">
        <v>1240.7295722611516</v>
      </c>
      <c r="J155" s="95">
        <f t="shared" si="47"/>
        <v>24.466932488945066</v>
      </c>
      <c r="K155" s="95">
        <f t="shared" si="49"/>
        <v>23.916182240412788</v>
      </c>
      <c r="L155" s="95">
        <f t="shared" si="50"/>
        <v>24.474234030365789</v>
      </c>
      <c r="M155" s="95">
        <f t="shared" si="48"/>
        <v>1.2704277388484115</v>
      </c>
      <c r="N155" s="95">
        <f t="shared" si="51"/>
        <v>1.1777691759019719</v>
      </c>
      <c r="O155" s="95">
        <f t="shared" si="52"/>
        <v>1.1972805671873634</v>
      </c>
    </row>
    <row r="156" spans="1:15" x14ac:dyDescent="0.3">
      <c r="A156">
        <v>5</v>
      </c>
      <c r="B156">
        <v>1404</v>
      </c>
      <c r="C156">
        <v>6.5</v>
      </c>
      <c r="D156">
        <v>0</v>
      </c>
      <c r="F156" s="95">
        <v>38.232199631628092</v>
      </c>
      <c r="G156" s="95">
        <v>0</v>
      </c>
      <c r="H156" s="95">
        <v>1402.1218938121708</v>
      </c>
      <c r="J156" s="95">
        <f t="shared" si="47"/>
        <v>38.232199631628092</v>
      </c>
      <c r="K156" s="95">
        <f t="shared" si="49"/>
        <v>13.767112734335548</v>
      </c>
      <c r="L156" s="95">
        <f t="shared" si="50"/>
        <v>38.241346764701333</v>
      </c>
      <c r="M156" s="95">
        <f t="shared" si="48"/>
        <v>1.8781061878291894</v>
      </c>
      <c r="N156" s="95">
        <f t="shared" si="51"/>
        <v>0.5871034716842306</v>
      </c>
      <c r="O156" s="95">
        <f t="shared" si="52"/>
        <v>1.7843840388715941</v>
      </c>
    </row>
    <row r="157" spans="1:15" x14ac:dyDescent="0.3">
      <c r="A157">
        <v>6</v>
      </c>
      <c r="B157">
        <v>1489</v>
      </c>
      <c r="C157">
        <v>4</v>
      </c>
      <c r="D157">
        <v>0</v>
      </c>
      <c r="F157" s="95">
        <v>46.00922025251954</v>
      </c>
      <c r="G157" s="95">
        <v>0</v>
      </c>
      <c r="H157" s="95">
        <v>1486.7585982689736</v>
      </c>
      <c r="J157" s="95">
        <f t="shared" si="47"/>
        <v>46.00922025251954</v>
      </c>
      <c r="K157" s="95">
        <f t="shared" si="49"/>
        <v>7.7776375863892024</v>
      </c>
      <c r="L157" s="95">
        <f t="shared" si="50"/>
        <v>46.018984351090538</v>
      </c>
      <c r="M157" s="95">
        <f t="shared" si="48"/>
        <v>2.2414017310263716</v>
      </c>
      <c r="N157" s="95">
        <f t="shared" si="51"/>
        <v>0.35733224893013599</v>
      </c>
      <c r="O157" s="95">
        <f t="shared" si="52"/>
        <v>2.1417162878017302</v>
      </c>
    </row>
    <row r="158" spans="1:15" x14ac:dyDescent="0.3">
      <c r="A158">
        <v>7</v>
      </c>
      <c r="B158">
        <v>1573</v>
      </c>
      <c r="C158">
        <v>4.75</v>
      </c>
      <c r="D158">
        <v>0</v>
      </c>
      <c r="F158" s="95">
        <v>52.417028362264162</v>
      </c>
      <c r="G158" s="95">
        <v>0</v>
      </c>
      <c r="H158" s="95">
        <v>1570.5132354157761</v>
      </c>
      <c r="J158" s="95">
        <f t="shared" si="47"/>
        <v>52.417028362264162</v>
      </c>
      <c r="K158" s="95">
        <f t="shared" si="49"/>
        <v>6.4078538583319933</v>
      </c>
      <c r="L158" s="95">
        <f t="shared" si="50"/>
        <v>52.426838209422527</v>
      </c>
      <c r="M158" s="95">
        <f t="shared" si="48"/>
        <v>2.4867645842239199</v>
      </c>
      <c r="N158" s="95">
        <f t="shared" si="51"/>
        <v>0.24512253481266294</v>
      </c>
      <c r="O158" s="95">
        <f t="shared" si="52"/>
        <v>2.3868388226143931</v>
      </c>
    </row>
    <row r="159" spans="1:15" x14ac:dyDescent="0.3">
      <c r="A159">
        <v>8</v>
      </c>
      <c r="B159">
        <v>1714</v>
      </c>
      <c r="C159">
        <v>4</v>
      </c>
      <c r="D159">
        <v>0</v>
      </c>
      <c r="F159" s="95">
        <v>63.172991975049776</v>
      </c>
      <c r="G159" s="95">
        <v>0</v>
      </c>
      <c r="H159" s="95">
        <v>1711.1013763407659</v>
      </c>
      <c r="J159" s="95">
        <f t="shared" si="47"/>
        <v>63.172991975049776</v>
      </c>
      <c r="K159" s="95">
        <f t="shared" si="49"/>
        <v>10.756040405057274</v>
      </c>
      <c r="L159" s="95">
        <f t="shared" si="50"/>
        <v>63.182878614479804</v>
      </c>
      <c r="M159" s="95">
        <f t="shared" si="48"/>
        <v>2.8986236592340902</v>
      </c>
      <c r="N159" s="95">
        <f t="shared" si="51"/>
        <v>0.41145568343554134</v>
      </c>
      <c r="O159" s="95">
        <f t="shared" si="52"/>
        <v>2.7982945060499342</v>
      </c>
    </row>
    <row r="160" spans="1:15" x14ac:dyDescent="0.3">
      <c r="A160">
        <v>9</v>
      </c>
      <c r="B160">
        <v>1763</v>
      </c>
      <c r="C160">
        <v>5.75</v>
      </c>
      <c r="D160">
        <v>0</v>
      </c>
      <c r="F160" s="95">
        <v>67.336956806700201</v>
      </c>
      <c r="G160" s="95">
        <v>0</v>
      </c>
      <c r="H160" s="95">
        <v>1759.9222197047891</v>
      </c>
      <c r="J160" s="95">
        <f t="shared" si="47"/>
        <v>67.336956806700201</v>
      </c>
      <c r="K160" s="95">
        <f t="shared" si="49"/>
        <v>4.1641266912496411</v>
      </c>
      <c r="L160" s="95">
        <f t="shared" si="50"/>
        <v>67.347005305729439</v>
      </c>
      <c r="M160" s="95">
        <f t="shared" si="48"/>
        <v>3.0777802952109141</v>
      </c>
      <c r="N160" s="95">
        <f t="shared" si="51"/>
        <v>0.17758067970695865</v>
      </c>
      <c r="O160" s="95">
        <f t="shared" si="52"/>
        <v>2.9758751857568928</v>
      </c>
    </row>
    <row r="161" spans="1:15" x14ac:dyDescent="0.3">
      <c r="A161">
        <v>10</v>
      </c>
      <c r="B161">
        <v>1804</v>
      </c>
      <c r="C161">
        <v>5</v>
      </c>
      <c r="D161">
        <v>0</v>
      </c>
      <c r="F161" s="95">
        <v>71.177559635974688</v>
      </c>
      <c r="G161" s="95">
        <v>0</v>
      </c>
      <c r="H161" s="95">
        <v>1800.7416484997161</v>
      </c>
      <c r="J161" s="95">
        <f t="shared" si="47"/>
        <v>71.177559635974688</v>
      </c>
      <c r="K161" s="95">
        <f t="shared" si="49"/>
        <v>3.840630249283191</v>
      </c>
      <c r="L161" s="95">
        <f t="shared" si="50"/>
        <v>71.187635555012633</v>
      </c>
      <c r="M161" s="95">
        <f t="shared" si="48"/>
        <v>3.2583515002838794</v>
      </c>
      <c r="N161" s="95">
        <f t="shared" si="51"/>
        <v>0.18067787616160122</v>
      </c>
      <c r="O161" s="95">
        <f t="shared" si="52"/>
        <v>3.1565530619184941</v>
      </c>
    </row>
    <row r="162" spans="1:15" x14ac:dyDescent="0.3">
      <c r="A162">
        <v>11</v>
      </c>
      <c r="B162">
        <v>1876</v>
      </c>
      <c r="C162">
        <v>5.75</v>
      </c>
      <c r="D162">
        <v>0</v>
      </c>
      <c r="F162" s="95">
        <v>77.922032897139658</v>
      </c>
      <c r="G162" s="95">
        <v>0</v>
      </c>
      <c r="H162" s="95">
        <v>1872.4245478469049</v>
      </c>
      <c r="J162" s="95">
        <f t="shared" si="47"/>
        <v>77.922032897139658</v>
      </c>
      <c r="K162" s="95">
        <f t="shared" si="49"/>
        <v>6.7445214133753595</v>
      </c>
      <c r="L162" s="95">
        <f t="shared" si="50"/>
        <v>77.932156968388</v>
      </c>
      <c r="M162" s="95">
        <f t="shared" si="48"/>
        <v>3.5754521530950569</v>
      </c>
      <c r="N162" s="95">
        <f t="shared" si="51"/>
        <v>0.31728797764964112</v>
      </c>
      <c r="O162" s="95">
        <f t="shared" ref="O162:O189" si="53">O161+N162</f>
        <v>3.4738410395681352</v>
      </c>
    </row>
    <row r="163" spans="1:15" x14ac:dyDescent="0.3">
      <c r="A163">
        <v>12</v>
      </c>
      <c r="B163">
        <v>1926</v>
      </c>
      <c r="C163">
        <v>4.75</v>
      </c>
      <c r="D163">
        <v>0</v>
      </c>
      <c r="F163" s="95">
        <v>82.497055761807999</v>
      </c>
      <c r="G163" s="95">
        <v>0</v>
      </c>
      <c r="H163" s="95">
        <v>1922.2141622706952</v>
      </c>
      <c r="J163" s="95">
        <f t="shared" si="47"/>
        <v>82.497055761807999</v>
      </c>
      <c r="K163" s="95">
        <f t="shared" si="49"/>
        <v>4.5750809331701188</v>
      </c>
      <c r="L163" s="95">
        <f t="shared" si="50"/>
        <v>82.507237901558113</v>
      </c>
      <c r="M163" s="95">
        <f t="shared" si="48"/>
        <v>3.7858377293048306</v>
      </c>
      <c r="N163" s="95">
        <f t="shared" si="51"/>
        <v>0.21019544054713879</v>
      </c>
      <c r="O163" s="95">
        <f t="shared" si="53"/>
        <v>3.6840364801152741</v>
      </c>
    </row>
    <row r="164" spans="1:15" x14ac:dyDescent="0.3">
      <c r="A164">
        <v>13</v>
      </c>
      <c r="B164">
        <v>1981</v>
      </c>
      <c r="C164">
        <v>6</v>
      </c>
      <c r="D164">
        <v>0</v>
      </c>
      <c r="F164" s="95">
        <v>87.649018555918516</v>
      </c>
      <c r="G164" s="95">
        <v>0</v>
      </c>
      <c r="H164" s="95">
        <v>1976.9712375989018</v>
      </c>
      <c r="J164" s="95">
        <f t="shared" si="47"/>
        <v>87.649018555918516</v>
      </c>
      <c r="K164" s="95">
        <f t="shared" si="49"/>
        <v>5.1520649685506221</v>
      </c>
      <c r="L164" s="95">
        <f t="shared" si="50"/>
        <v>87.659302870108732</v>
      </c>
      <c r="M164" s="95">
        <f t="shared" si="48"/>
        <v>4.0287624010982199</v>
      </c>
      <c r="N164" s="95">
        <f t="shared" si="51"/>
        <v>0.24237276070458699</v>
      </c>
      <c r="O164" s="95">
        <f t="shared" si="53"/>
        <v>3.926409240819861</v>
      </c>
    </row>
    <row r="165" spans="1:15" x14ac:dyDescent="0.3">
      <c r="A165">
        <v>14</v>
      </c>
      <c r="B165">
        <v>2034</v>
      </c>
      <c r="C165">
        <v>5.75</v>
      </c>
      <c r="D165">
        <v>0</v>
      </c>
      <c r="F165" s="95">
        <v>93.074015072257211</v>
      </c>
      <c r="G165" s="95">
        <v>0</v>
      </c>
      <c r="H165" s="95">
        <v>2029.6928172052094</v>
      </c>
      <c r="J165" s="95">
        <f t="shared" si="47"/>
        <v>93.074015072257211</v>
      </c>
      <c r="K165" s="95">
        <f t="shared" si="49"/>
        <v>5.4250008198526558</v>
      </c>
      <c r="L165" s="95">
        <f t="shared" si="50"/>
        <v>93.084303689961388</v>
      </c>
      <c r="M165" s="95">
        <f t="shared" si="48"/>
        <v>4.3071827947906058</v>
      </c>
      <c r="N165" s="95">
        <f t="shared" si="51"/>
        <v>0.27911351261290918</v>
      </c>
      <c r="O165" s="95">
        <f t="shared" si="53"/>
        <v>4.2055227534327706</v>
      </c>
    </row>
    <row r="166" spans="1:15" x14ac:dyDescent="0.3">
      <c r="A166">
        <v>15</v>
      </c>
      <c r="B166">
        <v>2093</v>
      </c>
      <c r="C166">
        <v>5.75</v>
      </c>
      <c r="D166">
        <v>0</v>
      </c>
      <c r="F166" s="95">
        <v>98.985110707369714</v>
      </c>
      <c r="G166" s="95">
        <v>0</v>
      </c>
      <c r="H166" s="95">
        <v>2088.3959597820131</v>
      </c>
      <c r="J166" s="95">
        <f t="shared" si="47"/>
        <v>98.985110707369714</v>
      </c>
      <c r="K166" s="95">
        <f t="shared" si="49"/>
        <v>5.9110956351125008</v>
      </c>
      <c r="L166" s="95">
        <f t="shared" si="50"/>
        <v>98.99539932507389</v>
      </c>
      <c r="M166" s="95">
        <f t="shared" si="48"/>
        <v>4.6040402179869488</v>
      </c>
      <c r="N166" s="95">
        <f t="shared" si="51"/>
        <v>0.29760801614437604</v>
      </c>
      <c r="O166" s="95">
        <f t="shared" si="53"/>
        <v>4.5031307695771465</v>
      </c>
    </row>
    <row r="167" spans="1:15" x14ac:dyDescent="0.3">
      <c r="A167">
        <v>16</v>
      </c>
      <c r="B167">
        <v>2145</v>
      </c>
      <c r="C167">
        <v>6</v>
      </c>
      <c r="D167">
        <v>0</v>
      </c>
      <c r="F167" s="95">
        <v>104.30774879887184</v>
      </c>
      <c r="G167" s="95">
        <v>0</v>
      </c>
      <c r="H167" s="95">
        <v>2140.1227926032961</v>
      </c>
      <c r="J167" s="95">
        <f t="shared" si="47"/>
        <v>104.30774879887184</v>
      </c>
      <c r="K167" s="95">
        <f t="shared" si="49"/>
        <v>5.3226423138177008</v>
      </c>
      <c r="L167" s="95">
        <f t="shared" si="50"/>
        <v>104.31804163889159</v>
      </c>
      <c r="M167" s="95">
        <f t="shared" si="48"/>
        <v>4.8772073967038523</v>
      </c>
      <c r="N167" s="95">
        <f t="shared" si="51"/>
        <v>0.27384721992209959</v>
      </c>
      <c r="O167" s="95">
        <f t="shared" si="53"/>
        <v>4.7769779894992457</v>
      </c>
    </row>
    <row r="168" spans="1:15" x14ac:dyDescent="0.3">
      <c r="A168">
        <v>17</v>
      </c>
      <c r="B168">
        <v>2200</v>
      </c>
      <c r="C168">
        <v>6</v>
      </c>
      <c r="D168">
        <v>0</v>
      </c>
      <c r="F168" s="95">
        <v>110.05681427859278</v>
      </c>
      <c r="G168" s="95">
        <v>0</v>
      </c>
      <c r="H168" s="95">
        <v>2194.8214968485513</v>
      </c>
      <c r="J168" s="95">
        <f t="shared" si="47"/>
        <v>110.05681427859278</v>
      </c>
      <c r="K168" s="95">
        <f t="shared" si="49"/>
        <v>5.7490654797209411</v>
      </c>
      <c r="L168" s="95">
        <f t="shared" si="50"/>
        <v>110.06710711861253</v>
      </c>
      <c r="M168" s="95">
        <f t="shared" si="48"/>
        <v>5.1785031514486946</v>
      </c>
      <c r="N168" s="95">
        <f t="shared" si="51"/>
        <v>0.3021255653691845</v>
      </c>
      <c r="O168" s="95">
        <f t="shared" si="53"/>
        <v>5.0791035548684302</v>
      </c>
    </row>
    <row r="169" spans="1:15" x14ac:dyDescent="0.3">
      <c r="A169">
        <v>18</v>
      </c>
      <c r="B169">
        <v>2255</v>
      </c>
      <c r="C169">
        <v>5</v>
      </c>
      <c r="D169">
        <v>0</v>
      </c>
      <c r="F169" s="95">
        <v>115.32826375930485</v>
      </c>
      <c r="G169" s="95">
        <v>0</v>
      </c>
      <c r="H169" s="95">
        <v>2249.5675928936344</v>
      </c>
      <c r="J169" s="95">
        <f t="shared" si="47"/>
        <v>115.32826375930485</v>
      </c>
      <c r="K169" s="95">
        <f t="shared" si="49"/>
        <v>5.2715163886123193</v>
      </c>
      <c r="L169" s="95">
        <f t="shared" si="50"/>
        <v>115.33862350722484</v>
      </c>
      <c r="M169" s="95">
        <f t="shared" si="48"/>
        <v>5.4324071063656447</v>
      </c>
      <c r="N169" s="95">
        <f t="shared" si="51"/>
        <v>0.25379464780860317</v>
      </c>
      <c r="O169" s="95">
        <f t="shared" si="53"/>
        <v>5.3328982026770335</v>
      </c>
    </row>
    <row r="170" spans="1:15" x14ac:dyDescent="0.3">
      <c r="A170">
        <v>19</v>
      </c>
      <c r="B170">
        <v>2290</v>
      </c>
      <c r="C170">
        <v>6</v>
      </c>
      <c r="D170">
        <v>0</v>
      </c>
      <c r="F170" s="95">
        <v>118.68282251975798</v>
      </c>
      <c r="G170" s="95">
        <v>0</v>
      </c>
      <c r="H170" s="95">
        <v>2284.4060176495964</v>
      </c>
      <c r="J170" s="95">
        <f t="shared" si="47"/>
        <v>118.68282251975798</v>
      </c>
      <c r="K170" s="95">
        <f t="shared" si="49"/>
        <v>3.3546013382078392</v>
      </c>
      <c r="L170" s="95">
        <f t="shared" si="50"/>
        <v>118.69322484543268</v>
      </c>
      <c r="M170" s="95">
        <f t="shared" si="48"/>
        <v>5.5939823504036212</v>
      </c>
      <c r="N170" s="95">
        <f t="shared" si="51"/>
        <v>0.16150568496911108</v>
      </c>
      <c r="O170" s="95">
        <f t="shared" si="53"/>
        <v>5.4944038876461443</v>
      </c>
    </row>
    <row r="171" spans="1:15" x14ac:dyDescent="0.3">
      <c r="A171">
        <v>20</v>
      </c>
      <c r="B171">
        <v>2354</v>
      </c>
      <c r="C171">
        <v>4.75</v>
      </c>
      <c r="D171">
        <v>0</v>
      </c>
      <c r="F171" s="95">
        <v>124.67783377108658</v>
      </c>
      <c r="G171" s="95">
        <v>0</v>
      </c>
      <c r="H171" s="95">
        <v>2348.1233416678733</v>
      </c>
      <c r="J171" s="95">
        <f t="shared" si="47"/>
        <v>124.67783377108658</v>
      </c>
      <c r="K171" s="95">
        <f t="shared" si="49"/>
        <v>5.9951301452225421</v>
      </c>
      <c r="L171" s="95">
        <f t="shared" si="50"/>
        <v>124.68835499065523</v>
      </c>
      <c r="M171" s="95">
        <f t="shared" si="48"/>
        <v>5.8766583321266808</v>
      </c>
      <c r="N171" s="95">
        <f t="shared" si="51"/>
        <v>0.28203375791079216</v>
      </c>
      <c r="O171" s="95">
        <f t="shared" si="53"/>
        <v>5.7764376455569364</v>
      </c>
    </row>
    <row r="172" spans="1:15" x14ac:dyDescent="0.3">
      <c r="A172">
        <v>21</v>
      </c>
      <c r="B172">
        <v>2428</v>
      </c>
      <c r="C172">
        <v>6</v>
      </c>
      <c r="D172">
        <v>0</v>
      </c>
      <c r="F172" s="95">
        <v>131.60956553043528</v>
      </c>
      <c r="G172" s="95">
        <v>0</v>
      </c>
      <c r="H172" s="95">
        <v>2421.7964975640061</v>
      </c>
      <c r="J172" s="95">
        <f t="shared" si="47"/>
        <v>131.60956553043528</v>
      </c>
      <c r="K172" s="95">
        <f t="shared" si="49"/>
        <v>6.9318692304135645</v>
      </c>
      <c r="L172" s="95">
        <f t="shared" si="50"/>
        <v>131.62022422106878</v>
      </c>
      <c r="M172" s="95">
        <f t="shared" si="48"/>
        <v>6.2035024359938689</v>
      </c>
      <c r="N172" s="95">
        <f t="shared" si="51"/>
        <v>0.32610153258435343</v>
      </c>
      <c r="O172" s="95">
        <f t="shared" si="53"/>
        <v>6.1025391781412894</v>
      </c>
    </row>
    <row r="173" spans="1:15" x14ac:dyDescent="0.3">
      <c r="A173">
        <v>22</v>
      </c>
      <c r="B173">
        <v>2497</v>
      </c>
      <c r="C173">
        <v>6</v>
      </c>
      <c r="D173">
        <v>0</v>
      </c>
      <c r="F173" s="95">
        <v>138.82202949590337</v>
      </c>
      <c r="G173" s="95">
        <v>0</v>
      </c>
      <c r="H173" s="95">
        <v>2490.4185083444172</v>
      </c>
      <c r="J173" s="95">
        <f t="shared" si="47"/>
        <v>138.82202949590337</v>
      </c>
      <c r="K173" s="95">
        <f t="shared" si="49"/>
        <v>7.2124639654680891</v>
      </c>
      <c r="L173" s="95">
        <f t="shared" si="50"/>
        <v>138.83268818653687</v>
      </c>
      <c r="M173" s="95">
        <f t="shared" si="48"/>
        <v>6.5814916555827949</v>
      </c>
      <c r="N173" s="95">
        <f t="shared" si="51"/>
        <v>0.37903025473588597</v>
      </c>
      <c r="O173" s="95">
        <f t="shared" si="53"/>
        <v>6.4815694328771754</v>
      </c>
    </row>
    <row r="174" spans="1:15" x14ac:dyDescent="0.3">
      <c r="A174">
        <v>23</v>
      </c>
      <c r="B174">
        <v>2533</v>
      </c>
      <c r="C174">
        <v>8.25</v>
      </c>
      <c r="D174">
        <v>0</v>
      </c>
      <c r="F174" s="95">
        <v>143.28698283858091</v>
      </c>
      <c r="G174" s="95">
        <v>0</v>
      </c>
      <c r="H174" s="95">
        <v>2526.1382178985914</v>
      </c>
      <c r="J174" s="95">
        <f t="shared" si="47"/>
        <v>143.28698283858091</v>
      </c>
      <c r="K174" s="95">
        <f t="shared" si="49"/>
        <v>4.4652402522174723</v>
      </c>
      <c r="L174" s="95">
        <f t="shared" si="50"/>
        <v>143.29792843875435</v>
      </c>
      <c r="M174" s="95">
        <f t="shared" si="48"/>
        <v>6.8617821014086076</v>
      </c>
      <c r="N174" s="95">
        <f t="shared" si="51"/>
        <v>0.27907686874888088</v>
      </c>
      <c r="O174" s="95">
        <f t="shared" si="53"/>
        <v>6.7606463016260561</v>
      </c>
    </row>
    <row r="175" spans="1:15" x14ac:dyDescent="0.3">
      <c r="A175">
        <v>24</v>
      </c>
      <c r="B175">
        <v>2590</v>
      </c>
      <c r="C175">
        <v>8</v>
      </c>
      <c r="D175">
        <v>0</v>
      </c>
      <c r="F175" s="95">
        <v>151.34296872391229</v>
      </c>
      <c r="G175" s="95">
        <v>0</v>
      </c>
      <c r="H175" s="95">
        <v>2582.5660119075787</v>
      </c>
      <c r="J175" s="95">
        <f t="shared" si="47"/>
        <v>151.34296872391229</v>
      </c>
      <c r="K175" s="95">
        <f t="shared" si="49"/>
        <v>8.0559922759433462</v>
      </c>
      <c r="L175" s="95">
        <f t="shared" si="50"/>
        <v>151.35392071469769</v>
      </c>
      <c r="M175" s="95">
        <f t="shared" si="48"/>
        <v>7.4339880924212594</v>
      </c>
      <c r="N175" s="95">
        <f t="shared" si="51"/>
        <v>0.57506199920735501</v>
      </c>
      <c r="O175" s="95">
        <f t="shared" si="53"/>
        <v>7.335708300833411</v>
      </c>
    </row>
    <row r="176" spans="1:15" x14ac:dyDescent="0.3">
      <c r="A176">
        <v>25</v>
      </c>
      <c r="B176">
        <v>2614</v>
      </c>
      <c r="C176">
        <v>7.5</v>
      </c>
      <c r="D176">
        <v>0</v>
      </c>
      <c r="F176" s="95">
        <v>154.57938078100582</v>
      </c>
      <c r="G176" s="95">
        <v>0</v>
      </c>
      <c r="H176" s="95">
        <v>2606.3467179861823</v>
      </c>
      <c r="J176" s="95">
        <f t="shared" si="47"/>
        <v>154.57938078100582</v>
      </c>
      <c r="K176" s="95">
        <f t="shared" si="49"/>
        <v>3.2364223265693521</v>
      </c>
      <c r="L176" s="95">
        <f t="shared" si="50"/>
        <v>154.59034304126703</v>
      </c>
      <c r="M176" s="95">
        <f t="shared" si="48"/>
        <v>7.6532820138177158</v>
      </c>
      <c r="N176" s="95">
        <f t="shared" si="51"/>
        <v>0.22022887388065934</v>
      </c>
      <c r="O176" s="95">
        <f t="shared" si="53"/>
        <v>7.55593717471407</v>
      </c>
    </row>
    <row r="177" spans="1:27" x14ac:dyDescent="0.3">
      <c r="A177">
        <v>26</v>
      </c>
      <c r="B177">
        <v>2686</v>
      </c>
      <c r="C177">
        <v>6.5</v>
      </c>
      <c r="D177">
        <v>0</v>
      </c>
      <c r="F177" s="95">
        <v>163.3538621360257</v>
      </c>
      <c r="G177" s="95">
        <v>0</v>
      </c>
      <c r="H177" s="95">
        <v>2677.809133867268</v>
      </c>
      <c r="J177" s="95">
        <f t="shared" si="47"/>
        <v>163.3538621360257</v>
      </c>
      <c r="K177" s="95">
        <f t="shared" si="49"/>
        <v>8.7745927251706188</v>
      </c>
      <c r="L177" s="95">
        <f t="shared" si="50"/>
        <v>163.36493576643764</v>
      </c>
      <c r="M177" s="95">
        <f t="shared" si="48"/>
        <v>8.190866132732026</v>
      </c>
      <c r="N177" s="95">
        <f t="shared" si="51"/>
        <v>0.53869225743094773</v>
      </c>
      <c r="O177" s="95">
        <f t="shared" si="53"/>
        <v>8.0946294321450178</v>
      </c>
    </row>
    <row r="178" spans="1:27" x14ac:dyDescent="0.3">
      <c r="A178">
        <v>27</v>
      </c>
      <c r="B178">
        <v>2780</v>
      </c>
      <c r="C178">
        <v>7.25</v>
      </c>
      <c r="D178">
        <v>0</v>
      </c>
      <c r="F178" s="95">
        <v>174.60592540051385</v>
      </c>
      <c r="G178" s="95">
        <v>0</v>
      </c>
      <c r="H178" s="95">
        <v>2771.1325762827996</v>
      </c>
      <c r="J178" s="95">
        <f t="shared" si="47"/>
        <v>174.60592540051385</v>
      </c>
      <c r="K178" s="95">
        <f t="shared" si="49"/>
        <v>11.252143598666477</v>
      </c>
      <c r="L178" s="95">
        <f t="shared" si="50"/>
        <v>174.6170793651041</v>
      </c>
      <c r="M178" s="95">
        <f t="shared" si="48"/>
        <v>8.8674237172003814</v>
      </c>
      <c r="N178" s="95">
        <f t="shared" si="51"/>
        <v>0.67833884153971868</v>
      </c>
      <c r="O178" s="95">
        <f t="shared" si="53"/>
        <v>8.7729682736847359</v>
      </c>
    </row>
    <row r="179" spans="1:27" x14ac:dyDescent="0.3">
      <c r="A179">
        <v>28</v>
      </c>
      <c r="B179">
        <v>2860</v>
      </c>
      <c r="C179">
        <v>8.5</v>
      </c>
      <c r="D179">
        <v>0</v>
      </c>
      <c r="F179" s="95">
        <v>185.56669535956249</v>
      </c>
      <c r="G179" s="95">
        <v>0</v>
      </c>
      <c r="H179" s="95">
        <v>2850.3765519407789</v>
      </c>
      <c r="J179" s="95">
        <f t="shared" si="47"/>
        <v>185.56669535956249</v>
      </c>
      <c r="K179" s="95">
        <f t="shared" si="49"/>
        <v>10.960987334557441</v>
      </c>
      <c r="L179" s="95">
        <f t="shared" si="50"/>
        <v>185.57806669966155</v>
      </c>
      <c r="M179" s="95">
        <f t="shared" si="48"/>
        <v>9.6234480592211185</v>
      </c>
      <c r="N179" s="95">
        <f t="shared" si="51"/>
        <v>0.75804412701770374</v>
      </c>
      <c r="O179" s="95">
        <f t="shared" si="53"/>
        <v>9.5310124007024388</v>
      </c>
    </row>
    <row r="180" spans="1:27" x14ac:dyDescent="0.3">
      <c r="A180">
        <v>29</v>
      </c>
      <c r="B180">
        <v>2895</v>
      </c>
      <c r="C180">
        <v>5.75</v>
      </c>
      <c r="D180">
        <v>0</v>
      </c>
      <c r="F180" s="95">
        <v>189.90748447640112</v>
      </c>
      <c r="G180" s="95">
        <v>0</v>
      </c>
      <c r="H180" s="95">
        <v>2885.1029453853325</v>
      </c>
      <c r="J180" s="95">
        <f t="shared" si="47"/>
        <v>189.90748447640112</v>
      </c>
      <c r="K180" s="95">
        <f t="shared" si="49"/>
        <v>4.3412058007669865</v>
      </c>
      <c r="L180" s="95">
        <f t="shared" si="50"/>
        <v>189.91927250042855</v>
      </c>
      <c r="M180" s="95">
        <f t="shared" si="48"/>
        <v>9.8970546146674678</v>
      </c>
      <c r="N180" s="95">
        <f t="shared" si="51"/>
        <v>0.2713247335058564</v>
      </c>
      <c r="O180" s="95">
        <f t="shared" si="53"/>
        <v>9.8023371342082957</v>
      </c>
    </row>
    <row r="181" spans="1:27" x14ac:dyDescent="0.3">
      <c r="A181">
        <v>30</v>
      </c>
      <c r="B181">
        <v>2953</v>
      </c>
      <c r="C181">
        <v>7.25</v>
      </c>
      <c r="D181">
        <v>0</v>
      </c>
      <c r="F181" s="95">
        <v>196.47308337158566</v>
      </c>
      <c r="G181" s="95">
        <v>0</v>
      </c>
      <c r="H181" s="95">
        <v>2942.7284673187573</v>
      </c>
      <c r="J181" s="95">
        <f t="shared" si="47"/>
        <v>196.47308337158566</v>
      </c>
      <c r="K181" s="95">
        <f t="shared" si="49"/>
        <v>6.5657863985385898</v>
      </c>
      <c r="L181" s="95">
        <f t="shared" si="50"/>
        <v>196.48505889896714</v>
      </c>
      <c r="M181" s="95">
        <f t="shared" si="48"/>
        <v>10.271532681242661</v>
      </c>
      <c r="N181" s="95">
        <f t="shared" si="51"/>
        <v>0.3740384336480822</v>
      </c>
      <c r="O181" s="95">
        <f t="shared" si="53"/>
        <v>10.176375567856377</v>
      </c>
    </row>
    <row r="182" spans="1:27" x14ac:dyDescent="0.3">
      <c r="A182">
        <v>31</v>
      </c>
      <c r="B182">
        <v>3005</v>
      </c>
      <c r="C182">
        <v>5</v>
      </c>
      <c r="D182">
        <v>0</v>
      </c>
      <c r="F182" s="95">
        <v>202.02101886670184</v>
      </c>
      <c r="G182" s="95">
        <v>0</v>
      </c>
      <c r="H182" s="95">
        <v>2994.4283023018834</v>
      </c>
      <c r="J182" s="95">
        <f t="shared" si="47"/>
        <v>202.02101886670184</v>
      </c>
      <c r="K182" s="95">
        <f t="shared" si="49"/>
        <v>5.5482919950610174</v>
      </c>
      <c r="L182" s="95">
        <f t="shared" si="50"/>
        <v>202.03335089402816</v>
      </c>
      <c r="M182" s="95">
        <f t="shared" si="48"/>
        <v>10.571697698116623</v>
      </c>
      <c r="N182" s="95">
        <f t="shared" si="51"/>
        <v>0.29769501301807288</v>
      </c>
      <c r="O182" s="95">
        <f t="shared" si="53"/>
        <v>10.47407058087445</v>
      </c>
    </row>
    <row r="183" spans="1:27" x14ac:dyDescent="0.3">
      <c r="A183">
        <v>32</v>
      </c>
      <c r="B183">
        <v>3130</v>
      </c>
      <c r="C183">
        <v>5.5</v>
      </c>
      <c r="D183">
        <v>0</v>
      </c>
      <c r="F183" s="95">
        <v>213.45868490670989</v>
      </c>
      <c r="G183" s="95">
        <v>0</v>
      </c>
      <c r="H183" s="95">
        <v>3118.9035232757487</v>
      </c>
      <c r="J183" s="95">
        <f t="shared" si="47"/>
        <v>213.45868490670989</v>
      </c>
      <c r="K183" s="95">
        <f t="shared" si="49"/>
        <v>11.437702332925298</v>
      </c>
      <c r="L183" s="95">
        <f t="shared" si="50"/>
        <v>213.47105322695347</v>
      </c>
      <c r="M183" s="95">
        <f t="shared" si="48"/>
        <v>11.096476724251261</v>
      </c>
      <c r="N183" s="95">
        <f t="shared" si="51"/>
        <v>0.52548860136784703</v>
      </c>
      <c r="O183" s="95">
        <f t="shared" si="53"/>
        <v>10.999559182242297</v>
      </c>
    </row>
    <row r="184" spans="1:27" x14ac:dyDescent="0.3">
      <c r="A184">
        <v>33</v>
      </c>
      <c r="B184">
        <v>3178</v>
      </c>
      <c r="C184">
        <v>5</v>
      </c>
      <c r="D184">
        <v>0</v>
      </c>
      <c r="F184" s="95">
        <v>217.85074866607297</v>
      </c>
      <c r="G184" s="95">
        <v>0</v>
      </c>
      <c r="H184" s="95">
        <v>3166.7020081297132</v>
      </c>
      <c r="J184" s="95">
        <f t="shared" si="47"/>
        <v>217.85074866607297</v>
      </c>
      <c r="K184" s="95">
        <f t="shared" si="49"/>
        <v>4.3920776958433141</v>
      </c>
      <c r="L184" s="95">
        <f t="shared" si="50"/>
        <v>217.86313092279678</v>
      </c>
      <c r="M184" s="95">
        <f t="shared" si="48"/>
        <v>11.297991870286751</v>
      </c>
      <c r="N184" s="95">
        <f t="shared" si="51"/>
        <v>0.20178762292525323</v>
      </c>
      <c r="O184" s="95">
        <f t="shared" si="53"/>
        <v>11.201346805167551</v>
      </c>
      <c r="Q184" t="s">
        <v>290</v>
      </c>
      <c r="R184" t="s">
        <v>291</v>
      </c>
      <c r="T184" t="s">
        <v>294</v>
      </c>
      <c r="U184" t="s">
        <v>293</v>
      </c>
      <c r="V184" s="107" t="s">
        <v>292</v>
      </c>
      <c r="X184" s="118">
        <f>H184</f>
        <v>3166.7020081297132</v>
      </c>
    </row>
    <row r="185" spans="1:27" x14ac:dyDescent="0.3">
      <c r="A185">
        <v>34</v>
      </c>
      <c r="B185">
        <v>3480</v>
      </c>
      <c r="C185">
        <v>6</v>
      </c>
      <c r="D185">
        <v>0</v>
      </c>
      <c r="F185" s="95">
        <v>246.79579854198283</v>
      </c>
      <c r="G185" s="95">
        <v>0</v>
      </c>
      <c r="H185" s="95">
        <v>3467.3078445954407</v>
      </c>
      <c r="J185" s="95">
        <f t="shared" si="47"/>
        <v>246.79579854198283</v>
      </c>
      <c r="K185" s="110">
        <f t="shared" si="49"/>
        <v>28.945417261107643</v>
      </c>
      <c r="L185" s="95">
        <f t="shared" si="50"/>
        <v>246.80854818390443</v>
      </c>
      <c r="M185" s="95">
        <f t="shared" si="48"/>
        <v>12.692155404559344</v>
      </c>
      <c r="N185" s="95">
        <f t="shared" si="51"/>
        <v>1.39356333887633</v>
      </c>
      <c r="O185" s="95">
        <f t="shared" si="53"/>
        <v>12.594910144043881</v>
      </c>
      <c r="P185">
        <f>(B185-B184)* 0.5*TAN(RADIANS(AVERAGE(C184,C185)))</f>
        <v>14.53964627782833</v>
      </c>
      <c r="Q185">
        <f>C185-C184</f>
        <v>1</v>
      </c>
      <c r="R185">
        <f>IF(Q185=0, 1, 2*TAN(RADIANS(Q185/2))/RADIANS(Q185))</f>
        <v>1.0000253855582708</v>
      </c>
      <c r="T185" s="121">
        <f>0.5*(B185-B184)*R185 * (SIN(RADIANS(C184))+SIN(RADIANS(C185)))</f>
        <v>28.945049875909845</v>
      </c>
      <c r="U185" s="124">
        <f>0.5*(B185-B184)*R185 * (COS(RADIANS(C184))+COS(RADIANS(C185)))</f>
        <v>300.60583646572752</v>
      </c>
      <c r="V185" s="107">
        <f>(B185-B184) - U185</f>
        <v>1.3941635342724794</v>
      </c>
      <c r="W185" s="118">
        <f>(B185-B184) - N185</f>
        <v>300.60643666112367</v>
      </c>
      <c r="X185" s="118">
        <f>X184+W185</f>
        <v>3467.3084447908368</v>
      </c>
      <c r="Y185">
        <f>(B185-B184) - 0.5*T185*TAN(RADIANS(AVERAGE(C184,C185)))</f>
        <v>300.60645434870918</v>
      </c>
      <c r="Z185">
        <f>(B185-B184) * ( 1 - 0.5*SIN(RADIANS(AVERAGE(C184,C185)))*TAN(RADIANS(AVERAGE(C184,C185))))</f>
        <v>300.60643666112367</v>
      </c>
      <c r="AA185">
        <f>(B185-B184) * ( 2 - 1/COS(RADIANS(AVERAGE(C184,C185))))</f>
        <v>300.60322141535937</v>
      </c>
    </row>
    <row r="186" spans="1:27" x14ac:dyDescent="0.3">
      <c r="A186">
        <v>35</v>
      </c>
      <c r="B186">
        <v>3609</v>
      </c>
      <c r="C186">
        <v>6</v>
      </c>
      <c r="D186">
        <v>0</v>
      </c>
      <c r="F186" s="95">
        <v>260.27997030351014</v>
      </c>
      <c r="G186" s="95">
        <v>0</v>
      </c>
      <c r="H186" s="95">
        <v>3595.6011690979481</v>
      </c>
      <c r="J186" s="95">
        <f t="shared" si="47"/>
        <v>260.27997030351014</v>
      </c>
      <c r="K186" s="95">
        <f t="shared" si="49"/>
        <v>13.484171761527298</v>
      </c>
      <c r="L186" s="95">
        <f t="shared" si="50"/>
        <v>260.29271994543171</v>
      </c>
      <c r="M186" s="95">
        <f t="shared" si="48"/>
        <v>13.398830902051941</v>
      </c>
      <c r="N186" s="95">
        <f t="shared" si="51"/>
        <v>0.70862178059317815</v>
      </c>
      <c r="O186" s="95">
        <f t="shared" si="53"/>
        <v>13.30353192463706</v>
      </c>
      <c r="Q186" s="107">
        <f t="shared" ref="Q186:Q189" si="54">C186-C185</f>
        <v>0</v>
      </c>
      <c r="R186" s="107">
        <f t="shared" ref="R186:R189" si="55">IF(Q186=0, 1, 2*TAN(RADIANS(Q186/2))/RADIANS(Q186))</f>
        <v>1</v>
      </c>
      <c r="S186" s="107"/>
      <c r="T186" s="107">
        <f t="shared" ref="T186:T189" si="56">0.5*(B186-B185)*R186 * (SIN(RADIANS(C185))+SIN(RADIANS(C186)))</f>
        <v>13.484171761527298</v>
      </c>
      <c r="U186" s="107">
        <f t="shared" ref="U186:U189" si="57">0.5*(B186-B185)*R186 * (COS(RADIANS(C185))+COS(RADIANS(C186)))</f>
        <v>128.29332450250726</v>
      </c>
      <c r="V186" s="107">
        <f t="shared" ref="V186:V189" si="58">(B186-B185) - U186</f>
        <v>0.70667549749273917</v>
      </c>
      <c r="W186" s="118">
        <f t="shared" ref="W186:W189" si="59">(B186-B185) - N186</f>
        <v>128.29137821940682</v>
      </c>
      <c r="X186" s="118">
        <f t="shared" ref="X186:X189" si="60">X185+W186</f>
        <v>3595.5998230102437</v>
      </c>
      <c r="Y186" s="107">
        <f t="shared" ref="Y186:Y189" si="61">(B186-B185) - 0.5*T186*TAN(RADIANS(AVERAGE(C185,C186)))</f>
        <v>128.29137821940682</v>
      </c>
      <c r="AA186" s="107">
        <f t="shared" ref="AA186:AA189" si="62">(B186-B185) * ( 2 - 1/COS(RADIANS(AVERAGE(C185,C186))))</f>
        <v>128.28943193630639</v>
      </c>
    </row>
    <row r="187" spans="1:27" x14ac:dyDescent="0.3">
      <c r="A187">
        <v>36</v>
      </c>
      <c r="B187">
        <v>3715</v>
      </c>
      <c r="C187">
        <v>5</v>
      </c>
      <c r="D187">
        <v>0</v>
      </c>
      <c r="F187" s="95">
        <v>270.43949112088245</v>
      </c>
      <c r="G187" s="95">
        <v>0</v>
      </c>
      <c r="H187" s="95">
        <v>3701.1118269302897</v>
      </c>
      <c r="J187" s="95">
        <f t="shared" si="47"/>
        <v>270.43949112088245</v>
      </c>
      <c r="K187" s="95">
        <f t="shared" si="49"/>
        <v>10.159649767143742</v>
      </c>
      <c r="L187" s="95">
        <f t="shared" si="50"/>
        <v>270.45236971257543</v>
      </c>
      <c r="M187" s="95">
        <f t="shared" si="48"/>
        <v>13.888173069710319</v>
      </c>
      <c r="N187" s="95">
        <f t="shared" si="51"/>
        <v>0.48913150304930786</v>
      </c>
      <c r="O187" s="95">
        <f t="shared" si="53"/>
        <v>13.792663427686367</v>
      </c>
      <c r="Q187" s="107">
        <f t="shared" si="54"/>
        <v>-1</v>
      </c>
      <c r="R187" s="107">
        <f t="shared" si="55"/>
        <v>1.0000253855582708</v>
      </c>
      <c r="S187" s="107"/>
      <c r="T187" s="107">
        <f t="shared" si="56"/>
        <v>10.15952081737233</v>
      </c>
      <c r="U187" s="107">
        <f t="shared" si="57"/>
        <v>105.51065783234145</v>
      </c>
      <c r="V187" s="107">
        <f t="shared" si="58"/>
        <v>0.48934216765854899</v>
      </c>
      <c r="W187" s="118">
        <f t="shared" si="59"/>
        <v>105.51086849695069</v>
      </c>
      <c r="X187" s="118">
        <f t="shared" si="60"/>
        <v>3701.1106915071941</v>
      </c>
      <c r="Y187" s="107">
        <f t="shared" si="61"/>
        <v>105.51087470517606</v>
      </c>
      <c r="AA187" s="107">
        <f t="shared" si="62"/>
        <v>105.50973996698043</v>
      </c>
    </row>
    <row r="188" spans="1:27" x14ac:dyDescent="0.3">
      <c r="A188">
        <v>37</v>
      </c>
      <c r="B188">
        <v>3785</v>
      </c>
      <c r="C188">
        <v>7</v>
      </c>
      <c r="D188">
        <v>0</v>
      </c>
      <c r="F188" s="95">
        <v>277.75611207471707</v>
      </c>
      <c r="G188" s="95">
        <v>0</v>
      </c>
      <c r="H188" s="95">
        <v>3770.7248252584741</v>
      </c>
      <c r="J188" s="95">
        <f t="shared" si="47"/>
        <v>277.75611207471707</v>
      </c>
      <c r="K188" s="95">
        <f t="shared" si="49"/>
        <v>7.3169924287357428</v>
      </c>
      <c r="L188" s="95">
        <f t="shared" si="50"/>
        <v>277.76936214131115</v>
      </c>
      <c r="M188" s="95">
        <f t="shared" si="48"/>
        <v>14.275174741525916</v>
      </c>
      <c r="N188" s="95">
        <f t="shared" si="51"/>
        <v>0.38452344683350748</v>
      </c>
      <c r="O188" s="95">
        <f t="shared" si="53"/>
        <v>14.177186874519874</v>
      </c>
      <c r="Q188" s="107">
        <f t="shared" si="54"/>
        <v>2</v>
      </c>
      <c r="R188" s="107">
        <f t="shared" si="55"/>
        <v>1.0001015515136908</v>
      </c>
      <c r="S188" s="107"/>
      <c r="T188" s="107">
        <f t="shared" si="56"/>
        <v>7.3166209538346338</v>
      </c>
      <c r="U188" s="107">
        <f t="shared" si="57"/>
        <v>69.612998328184389</v>
      </c>
      <c r="V188" s="107">
        <f t="shared" si="58"/>
        <v>0.38700167181561085</v>
      </c>
      <c r="W188" s="118">
        <f t="shared" si="59"/>
        <v>69.615476553166488</v>
      </c>
      <c r="X188" s="118">
        <f t="shared" si="60"/>
        <v>3770.7261680603606</v>
      </c>
      <c r="Y188" s="107">
        <f t="shared" si="61"/>
        <v>69.615496074959196</v>
      </c>
      <c r="AA188" s="107">
        <f t="shared" si="62"/>
        <v>69.614420430553849</v>
      </c>
    </row>
    <row r="189" spans="1:27" x14ac:dyDescent="0.3">
      <c r="A189">
        <v>38</v>
      </c>
      <c r="B189">
        <v>3864.3</v>
      </c>
      <c r="C189">
        <v>7</v>
      </c>
      <c r="D189">
        <v>0</v>
      </c>
      <c r="F189" s="95">
        <v>287.42035100674531</v>
      </c>
      <c r="G189" s="95">
        <v>0</v>
      </c>
      <c r="H189" s="95">
        <v>3849.4337350836313</v>
      </c>
      <c r="J189" s="95">
        <f t="shared" si="47"/>
        <v>287.42035100674531</v>
      </c>
      <c r="K189" s="95">
        <f t="shared" si="49"/>
        <v>9.6642389320282174</v>
      </c>
      <c r="L189" s="119">
        <f t="shared" si="50"/>
        <v>287.43360107333939</v>
      </c>
      <c r="M189" s="95">
        <f t="shared" si="48"/>
        <v>14.866264916368891</v>
      </c>
      <c r="N189" s="95">
        <f t="shared" si="51"/>
        <v>0.59330966686492015</v>
      </c>
      <c r="O189" s="119">
        <f t="shared" si="53"/>
        <v>14.770496541384794</v>
      </c>
      <c r="Q189" s="107">
        <f t="shared" si="54"/>
        <v>0</v>
      </c>
      <c r="R189" s="107">
        <f t="shared" si="55"/>
        <v>1</v>
      </c>
      <c r="S189" s="107"/>
      <c r="T189" s="107">
        <f t="shared" si="56"/>
        <v>9.6642389320282174</v>
      </c>
      <c r="U189" s="107">
        <f t="shared" si="57"/>
        <v>78.708909825157008</v>
      </c>
      <c r="V189" s="107">
        <f t="shared" si="58"/>
        <v>0.59109017484317405</v>
      </c>
      <c r="W189" s="118">
        <f t="shared" si="59"/>
        <v>78.706690333135256</v>
      </c>
      <c r="X189" s="118">
        <f t="shared" si="60"/>
        <v>3849.4328583934957</v>
      </c>
      <c r="Y189" s="107">
        <f t="shared" si="61"/>
        <v>78.706690333135256</v>
      </c>
      <c r="AA189" s="107">
        <f t="shared" si="62"/>
        <v>78.704470841113505</v>
      </c>
    </row>
    <row r="191" spans="1:27" s="107" customFormat="1" x14ac:dyDescent="0.3"/>
    <row r="192" spans="1:27" s="107" customFormat="1" x14ac:dyDescent="0.3"/>
    <row r="193" spans="1:13" s="107" customFormat="1" x14ac:dyDescent="0.3"/>
    <row r="194" spans="1:13" s="107" customFormat="1" x14ac:dyDescent="0.3"/>
    <row r="195" spans="1:13" s="107" customFormat="1" x14ac:dyDescent="0.3"/>
    <row r="196" spans="1:13" s="107" customFormat="1" x14ac:dyDescent="0.3"/>
    <row r="197" spans="1:13" s="107" customFormat="1" x14ac:dyDescent="0.3"/>
    <row r="198" spans="1:13" x14ac:dyDescent="0.3">
      <c r="J198" s="118"/>
    </row>
    <row r="199" spans="1:13" x14ac:dyDescent="0.3">
      <c r="C199" t="s">
        <v>314</v>
      </c>
    </row>
    <row r="200" spans="1:13" x14ac:dyDescent="0.3">
      <c r="A200" s="140" t="s">
        <v>308</v>
      </c>
      <c r="B200" s="140" t="s">
        <v>2</v>
      </c>
      <c r="C200" s="140" t="s">
        <v>3</v>
      </c>
      <c r="D200" s="140"/>
      <c r="E200" s="140" t="s">
        <v>309</v>
      </c>
      <c r="F200" s="140"/>
      <c r="G200" s="140" t="s">
        <v>310</v>
      </c>
      <c r="H200" s="140" t="s">
        <v>311</v>
      </c>
      <c r="I200" s="140" t="s">
        <v>312</v>
      </c>
      <c r="J200" s="140"/>
      <c r="K200" s="140" t="s">
        <v>104</v>
      </c>
      <c r="L200" s="140" t="s">
        <v>105</v>
      </c>
      <c r="M200" s="140" t="s">
        <v>313</v>
      </c>
    </row>
    <row r="201" spans="1:13" x14ac:dyDescent="0.3">
      <c r="A201" s="142">
        <v>0</v>
      </c>
      <c r="B201" s="142">
        <v>0</v>
      </c>
      <c r="C201" s="142">
        <v>55.47</v>
      </c>
      <c r="G201" s="107"/>
      <c r="H201" s="107"/>
      <c r="K201" s="141">
        <v>0</v>
      </c>
      <c r="L201" s="141">
        <v>0</v>
      </c>
      <c r="M201" s="141">
        <v>0</v>
      </c>
    </row>
    <row r="202" spans="1:13" x14ac:dyDescent="0.3">
      <c r="A202" s="142">
        <v>3137</v>
      </c>
      <c r="B202" s="142">
        <v>0</v>
      </c>
      <c r="C202" s="142">
        <v>55.47</v>
      </c>
      <c r="E202" s="141">
        <v>0</v>
      </c>
      <c r="G202" s="141">
        <v>0</v>
      </c>
      <c r="H202" s="141">
        <v>0</v>
      </c>
      <c r="I202" s="141">
        <v>3137</v>
      </c>
      <c r="K202" s="141">
        <v>0</v>
      </c>
      <c r="L202" s="141">
        <v>0</v>
      </c>
      <c r="M202" s="141">
        <v>3137</v>
      </c>
    </row>
    <row r="203" spans="1:13" x14ac:dyDescent="0.3">
      <c r="A203" s="142">
        <v>3150</v>
      </c>
      <c r="B203" s="142">
        <v>0.83</v>
      </c>
      <c r="C203" s="142">
        <v>55.47</v>
      </c>
      <c r="E203" s="141">
        <v>1.9153846153844083</v>
      </c>
      <c r="G203" s="141">
        <v>5.3372792574907055E-2</v>
      </c>
      <c r="H203" s="141">
        <v>7.7570852493516751E-2</v>
      </c>
      <c r="I203" s="141">
        <v>12.999545327732967</v>
      </c>
      <c r="K203" s="141">
        <v>5.3372792574907055E-2</v>
      </c>
      <c r="L203" s="141">
        <v>7.7570852493516751E-2</v>
      </c>
      <c r="M203" s="141">
        <v>3149.9995453277329</v>
      </c>
    </row>
    <row r="204" spans="1:13" x14ac:dyDescent="0.3">
      <c r="A204" s="142">
        <v>3175</v>
      </c>
      <c r="B204" s="142">
        <v>0.72</v>
      </c>
      <c r="C204" s="142">
        <v>56.8</v>
      </c>
      <c r="E204" s="141">
        <v>0.13374469949880308</v>
      </c>
      <c r="G204" s="141">
        <v>0.18864701658912097</v>
      </c>
      <c r="H204" s="141">
        <v>0.28060736780235773</v>
      </c>
      <c r="I204" s="141">
        <v>24.997709389613224</v>
      </c>
      <c r="K204" s="141">
        <v>0.24201980916402804</v>
      </c>
      <c r="L204" s="141">
        <v>0.35817822029587448</v>
      </c>
      <c r="M204" s="141">
        <v>3174.9972547173461</v>
      </c>
    </row>
    <row r="205" spans="1:13" x14ac:dyDescent="0.3">
      <c r="A205" s="142">
        <v>3200</v>
      </c>
      <c r="B205" s="142">
        <v>0.82</v>
      </c>
      <c r="C205" s="142">
        <v>66.83</v>
      </c>
      <c r="E205" s="141">
        <v>0.20096131591791783</v>
      </c>
      <c r="G205" s="141">
        <v>0.1563950995447122</v>
      </c>
      <c r="H205" s="141">
        <v>0.29589650977702853</v>
      </c>
      <c r="I205" s="141">
        <v>24.99775071628677</v>
      </c>
      <c r="K205" s="141">
        <v>0.39841490870874025</v>
      </c>
      <c r="L205" s="141">
        <v>0.65407473007290307</v>
      </c>
      <c r="M205" s="141">
        <v>3199.9950054336327</v>
      </c>
    </row>
    <row r="206" spans="1:13" x14ac:dyDescent="0.3">
      <c r="A206" s="142">
        <v>3225</v>
      </c>
      <c r="B206" s="142">
        <v>0.87</v>
      </c>
      <c r="C206" s="142">
        <v>68.67</v>
      </c>
      <c r="E206" s="141">
        <v>6.8259033700070471E-2</v>
      </c>
      <c r="G206" s="141">
        <v>0.1394229022905191</v>
      </c>
      <c r="H206" s="141">
        <v>0.34125747668743239</v>
      </c>
      <c r="I206" s="141">
        <v>24.997280917215633</v>
      </c>
      <c r="K206" s="141">
        <v>0.53783781099925931</v>
      </c>
      <c r="L206" s="141">
        <v>0.9953322067603354</v>
      </c>
      <c r="M206" s="141">
        <v>3224.9922863508482</v>
      </c>
    </row>
    <row r="207" spans="1:13" x14ac:dyDescent="0.3">
      <c r="A207" s="142">
        <v>3250</v>
      </c>
      <c r="B207" s="142">
        <v>0.87</v>
      </c>
      <c r="C207" s="142">
        <v>70.62</v>
      </c>
      <c r="E207" s="141">
        <v>3.5528333181798551E-2</v>
      </c>
      <c r="G207" s="141">
        <v>0.13201745145177926</v>
      </c>
      <c r="H207" s="141">
        <v>0.35583940293267829</v>
      </c>
      <c r="I207" s="141">
        <v>24.997118550036948</v>
      </c>
      <c r="K207" s="141">
        <v>0.66985526245103855</v>
      </c>
      <c r="L207" s="141">
        <v>1.3511716096930138</v>
      </c>
      <c r="M207" s="141">
        <v>3249.9894049008853</v>
      </c>
    </row>
    <row r="208" spans="1:13" x14ac:dyDescent="0.3">
      <c r="A208" s="142">
        <v>3275</v>
      </c>
      <c r="B208" s="142">
        <v>0.83</v>
      </c>
      <c r="C208" s="142">
        <v>70.150000000000006</v>
      </c>
      <c r="E208" s="141">
        <v>4.8723343704159171E-2</v>
      </c>
      <c r="G208" s="141">
        <v>0.12446524376617993</v>
      </c>
      <c r="H208" s="141">
        <v>0.34935626229501465</v>
      </c>
      <c r="I208" s="141">
        <v>24.997248497573889</v>
      </c>
      <c r="K208" s="141">
        <v>0.7943205062172185</v>
      </c>
      <c r="L208" s="141">
        <v>1.7005278719880284</v>
      </c>
      <c r="M208" s="141">
        <v>3274.9866533984591</v>
      </c>
    </row>
    <row r="209" spans="1:13" x14ac:dyDescent="0.3">
      <c r="A209" s="142">
        <v>3300</v>
      </c>
      <c r="B209" s="142">
        <v>0.78</v>
      </c>
      <c r="C209" s="142">
        <v>65.7</v>
      </c>
      <c r="E209" s="141">
        <v>9.6022636970219982E-2</v>
      </c>
      <c r="G209" s="141">
        <v>0.13150955202234008</v>
      </c>
      <c r="H209" s="141">
        <v>0.32540156919281749</v>
      </c>
      <c r="I209" s="141">
        <v>24.997534227788716</v>
      </c>
      <c r="K209" s="141">
        <v>0.92583005823955855</v>
      </c>
      <c r="L209" s="141">
        <v>2.0259294411808457</v>
      </c>
      <c r="M209" s="141">
        <v>3299.9841876262476</v>
      </c>
    </row>
    <row r="210" spans="1:13" x14ac:dyDescent="0.3">
      <c r="A210" s="142">
        <v>3325</v>
      </c>
      <c r="B210" s="142">
        <v>0.57999999999999996</v>
      </c>
      <c r="C210" s="142">
        <v>60.97</v>
      </c>
      <c r="E210" s="141">
        <v>0.24907240370946418</v>
      </c>
      <c r="G210" s="141">
        <v>0.13142815543396225</v>
      </c>
      <c r="H210" s="141">
        <v>0.2657258110830758</v>
      </c>
      <c r="I210" s="141">
        <v>24.998228595797112</v>
      </c>
      <c r="K210" s="141">
        <v>1.0572582136735207</v>
      </c>
      <c r="L210" s="141">
        <v>2.2916552522639213</v>
      </c>
      <c r="M210" s="141">
        <v>3324.9824162220448</v>
      </c>
    </row>
    <row r="211" spans="1:13" x14ac:dyDescent="0.3">
      <c r="A211" s="142">
        <v>3350</v>
      </c>
      <c r="B211" s="142">
        <v>0.52</v>
      </c>
      <c r="C211" s="142">
        <v>66.2</v>
      </c>
      <c r="E211" s="141">
        <v>9.3808700222087774E-2</v>
      </c>
      <c r="G211" s="141">
        <v>0.10718308986112295</v>
      </c>
      <c r="H211" s="141">
        <v>0.21443466811296358</v>
      </c>
      <c r="I211" s="141">
        <v>24.998848625522605</v>
      </c>
      <c r="K211" s="141">
        <v>1.1644413035346437</v>
      </c>
      <c r="L211" s="141">
        <v>2.5060899203768847</v>
      </c>
      <c r="M211" s="141">
        <v>3349.9812648475672</v>
      </c>
    </row>
    <row r="212" spans="1:13" x14ac:dyDescent="0.3">
      <c r="A212" s="142">
        <v>3375</v>
      </c>
      <c r="B212" s="142">
        <v>0.42</v>
      </c>
      <c r="C212" s="142">
        <v>67.5</v>
      </c>
      <c r="E212" s="141">
        <v>0.12067266917896825</v>
      </c>
      <c r="G212" s="141">
        <v>8.0845040813529404E-2</v>
      </c>
      <c r="H212" s="141">
        <v>0.18845163060418049</v>
      </c>
      <c r="I212" s="141">
        <v>24.999155778220171</v>
      </c>
      <c r="K212" s="141">
        <v>1.2452863443481732</v>
      </c>
      <c r="L212" s="141">
        <v>2.6945415509810653</v>
      </c>
      <c r="M212" s="141">
        <v>3374.9804206257872</v>
      </c>
    </row>
    <row r="213" spans="1:13" x14ac:dyDescent="0.3">
      <c r="A213" s="142">
        <v>3400</v>
      </c>
      <c r="B213" s="142">
        <v>0.32</v>
      </c>
      <c r="C213" s="142">
        <v>75.180000000000007</v>
      </c>
      <c r="E213" s="141">
        <v>0.13368628860802725</v>
      </c>
      <c r="G213" s="141">
        <v>5.2921848671305657E-2</v>
      </c>
      <c r="H213" s="141">
        <v>0.1521445990164226</v>
      </c>
      <c r="I213" s="141">
        <v>24.999477082337535</v>
      </c>
      <c r="K213" s="141">
        <v>1.2982081930194789</v>
      </c>
      <c r="L213" s="141">
        <v>2.8466861499974878</v>
      </c>
      <c r="M213" s="141">
        <v>3399.9798977081246</v>
      </c>
    </row>
    <row r="214" spans="1:13" x14ac:dyDescent="0.3">
      <c r="A214" s="142">
        <v>3425</v>
      </c>
      <c r="B214" s="142">
        <v>0.2</v>
      </c>
      <c r="C214" s="142">
        <v>54.48</v>
      </c>
      <c r="E214" s="141">
        <v>0.18065127015264362</v>
      </c>
      <c r="G214" s="141">
        <v>4.3207263026160944E-2</v>
      </c>
      <c r="H214" s="141">
        <v>0.10300405670381028</v>
      </c>
      <c r="I214" s="141">
        <v>24.999743273390127</v>
      </c>
      <c r="K214" s="141">
        <v>1.3414154560456397</v>
      </c>
      <c r="L214" s="141">
        <v>2.9496902067012982</v>
      </c>
      <c r="M214" s="141">
        <v>3424.9796409815149</v>
      </c>
    </row>
    <row r="215" spans="1:13" x14ac:dyDescent="0.3">
      <c r="A215" s="142">
        <v>3450</v>
      </c>
      <c r="B215" s="142">
        <v>0.08</v>
      </c>
      <c r="C215" s="142">
        <v>28.03</v>
      </c>
      <c r="E215" s="141">
        <v>0.1598733568057249</v>
      </c>
      <c r="G215" s="141">
        <v>4.0756356633597619E-2</v>
      </c>
      <c r="H215" s="141">
        <v>4.3715481081004988E-2</v>
      </c>
      <c r="I215" s="141">
        <v>24.999922925267526</v>
      </c>
      <c r="K215" s="141">
        <v>1.3821718126792373</v>
      </c>
      <c r="L215" s="141">
        <v>2.9934056877823032</v>
      </c>
      <c r="M215" s="141">
        <v>3449.9795639067825</v>
      </c>
    </row>
    <row r="216" spans="1:13" x14ac:dyDescent="0.3">
      <c r="A216" s="142">
        <v>3475</v>
      </c>
      <c r="B216" s="142">
        <v>0.13</v>
      </c>
      <c r="C216" s="142">
        <v>354.18</v>
      </c>
      <c r="E216" s="141">
        <v>9.3149869714691316E-2</v>
      </c>
      <c r="G216" s="141">
        <v>4.3621434558365077E-2</v>
      </c>
      <c r="H216" s="141">
        <v>5.3259253222595546E-3</v>
      </c>
      <c r="I216" s="141">
        <v>24.999959464077033</v>
      </c>
      <c r="K216" s="141">
        <v>1.4257932472376023</v>
      </c>
      <c r="L216" s="141">
        <v>2.9987316131045629</v>
      </c>
      <c r="M216" s="141">
        <v>3474.9795233708596</v>
      </c>
    </row>
    <row r="217" spans="1:13" x14ac:dyDescent="0.3">
      <c r="A217" s="142">
        <v>3500</v>
      </c>
      <c r="B217" s="142">
        <v>7.0000000000000007E-2</v>
      </c>
      <c r="C217" s="142">
        <v>289.58</v>
      </c>
      <c r="E217" s="141">
        <v>0.14195230939705669</v>
      </c>
      <c r="G217" s="141">
        <v>3.3333263570110738E-2</v>
      </c>
      <c r="H217" s="141">
        <v>-1.7264508716333612E-2</v>
      </c>
      <c r="I217" s="141">
        <v>24.999967376350128</v>
      </c>
      <c r="K217" s="141">
        <v>1.4591265108077129</v>
      </c>
      <c r="L217" s="141">
        <v>2.9814671043882295</v>
      </c>
      <c r="M217" s="141">
        <v>3499.9794907472096</v>
      </c>
    </row>
    <row r="218" spans="1:13" x14ac:dyDescent="0.3">
      <c r="A218" s="142">
        <v>3525</v>
      </c>
      <c r="B218" s="142">
        <v>0.12</v>
      </c>
      <c r="C218" s="142">
        <v>353.72</v>
      </c>
      <c r="E218" s="141">
        <v>0.13130147816714172</v>
      </c>
      <c r="G218" s="141">
        <v>3.1140697693697331E-2</v>
      </c>
      <c r="H218" s="141">
        <v>-1.7252294714707204E-2</v>
      </c>
      <c r="I218" s="141">
        <v>24.999970853368144</v>
      </c>
      <c r="K218" s="141">
        <v>1.4902672085014104</v>
      </c>
      <c r="L218" s="141">
        <v>2.9642148096735221</v>
      </c>
      <c r="M218" s="141">
        <v>3524.9794616005779</v>
      </c>
    </row>
    <row r="219" spans="1:13" x14ac:dyDescent="0.3">
      <c r="A219" s="142">
        <v>3550</v>
      </c>
      <c r="B219" s="142">
        <v>0.18</v>
      </c>
      <c r="C219" s="142">
        <v>356.23</v>
      </c>
      <c r="E219" s="141">
        <v>7.2413276668721813E-2</v>
      </c>
      <c r="G219" s="141">
        <v>6.5207690096561882E-2</v>
      </c>
      <c r="H219" s="141">
        <v>-5.4458013559952768E-3</v>
      </c>
      <c r="I219" s="141">
        <v>24.999913210390755</v>
      </c>
      <c r="K219" s="141">
        <v>1.5554748985979723</v>
      </c>
      <c r="L219" s="141">
        <v>2.9587690083175269</v>
      </c>
      <c r="M219" s="141">
        <v>3549.9793748109687</v>
      </c>
    </row>
    <row r="220" spans="1:13" x14ac:dyDescent="0.3">
      <c r="A220" s="142">
        <v>3575</v>
      </c>
      <c r="B220" s="142">
        <v>0.13</v>
      </c>
      <c r="C220" s="142">
        <v>333.68</v>
      </c>
      <c r="E220" s="141">
        <v>9.3554413705145625E-2</v>
      </c>
      <c r="G220" s="141">
        <v>6.4606254932765825E-2</v>
      </c>
      <c r="H220" s="141">
        <v>-1.5157123006115226E-2</v>
      </c>
      <c r="I220" s="141">
        <v>24.999909997074116</v>
      </c>
      <c r="K220" s="141">
        <v>1.620081153530738</v>
      </c>
      <c r="L220" s="141">
        <v>2.9436118853114115</v>
      </c>
      <c r="M220" s="141">
        <v>3574.9792848080428</v>
      </c>
    </row>
    <row r="221" spans="1:13" x14ac:dyDescent="0.3">
      <c r="A221" s="142">
        <v>3600</v>
      </c>
      <c r="B221" s="142">
        <v>0.23</v>
      </c>
      <c r="C221" s="142">
        <v>12.47</v>
      </c>
      <c r="E221" s="141">
        <v>0.18273527688221003</v>
      </c>
      <c r="G221" s="141">
        <v>7.4415764055531949E-2</v>
      </c>
      <c r="H221" s="141">
        <v>-1.7402001429677049E-3</v>
      </c>
      <c r="I221" s="141">
        <v>24.999881826935752</v>
      </c>
      <c r="K221" s="141">
        <v>1.6944969175862699</v>
      </c>
      <c r="L221" s="141">
        <v>2.9418716851684437</v>
      </c>
      <c r="M221" s="141">
        <v>3599.9791666349788</v>
      </c>
    </row>
    <row r="222" spans="1:13" x14ac:dyDescent="0.3">
      <c r="A222" s="142">
        <v>3625</v>
      </c>
      <c r="B222" s="142">
        <v>0.22</v>
      </c>
      <c r="C222" s="142">
        <v>5.18</v>
      </c>
      <c r="E222" s="141">
        <v>3.6358919667547236E-2</v>
      </c>
      <c r="G222" s="141">
        <v>9.6794760276807099E-2</v>
      </c>
      <c r="H222" s="141">
        <v>1.5168228643366883E-2</v>
      </c>
      <c r="I222" s="141">
        <v>24.999807721943387</v>
      </c>
      <c r="K222" s="141">
        <v>1.791291677863077</v>
      </c>
      <c r="L222" s="141">
        <v>2.9570399138118106</v>
      </c>
      <c r="M222" s="141">
        <v>3624.9789743569222</v>
      </c>
    </row>
    <row r="223" spans="1:13" x14ac:dyDescent="0.3">
      <c r="A223" s="142">
        <v>3650</v>
      </c>
      <c r="B223" s="142">
        <v>0.22</v>
      </c>
      <c r="C223" s="142">
        <v>352.23</v>
      </c>
      <c r="E223" s="141">
        <v>5.9542244213860382E-2</v>
      </c>
      <c r="G223" s="141">
        <v>9.5356193724129526E-2</v>
      </c>
      <c r="H223" s="141">
        <v>-2.1556090852800163E-3</v>
      </c>
      <c r="I223" s="141">
        <v>24.999817269109066</v>
      </c>
      <c r="K223" s="141">
        <v>1.8866478715872066</v>
      </c>
      <c r="L223" s="141">
        <v>2.9548843047265305</v>
      </c>
      <c r="M223" s="141">
        <v>3649.9787916260311</v>
      </c>
    </row>
    <row r="224" spans="1:13" x14ac:dyDescent="0.3">
      <c r="A224" s="142">
        <v>3675</v>
      </c>
      <c r="B224" s="142">
        <v>0.27</v>
      </c>
      <c r="C224" s="142">
        <v>349.2</v>
      </c>
      <c r="E224" s="141">
        <v>6.1960940115742637E-2</v>
      </c>
      <c r="G224" s="141">
        <v>0.10541705811812439</v>
      </c>
      <c r="H224" s="141">
        <v>-1.7526595460304616E-2</v>
      </c>
      <c r="I224" s="141">
        <v>24.999770754221153</v>
      </c>
      <c r="K224" s="141">
        <v>1.992064929705331</v>
      </c>
      <c r="L224" s="141">
        <v>2.9373577092662257</v>
      </c>
      <c r="M224" s="141">
        <v>3674.9785623802522</v>
      </c>
    </row>
    <row r="225" spans="1:13" x14ac:dyDescent="0.3">
      <c r="A225" s="142">
        <v>3700</v>
      </c>
      <c r="B225" s="142">
        <v>0.28000000000000003</v>
      </c>
      <c r="C225" s="142">
        <v>352.58</v>
      </c>
      <c r="E225" s="141">
        <v>2.2863545520908551E-2</v>
      </c>
      <c r="G225" s="141">
        <v>0.11843603508575973</v>
      </c>
      <c r="H225" s="141">
        <v>-1.8926418867823612E-2</v>
      </c>
      <c r="I225" s="141">
        <v>24.999712177080152</v>
      </c>
      <c r="K225" s="141">
        <v>2.1105009647910906</v>
      </c>
      <c r="L225" s="141">
        <v>2.9184312903984022</v>
      </c>
      <c r="M225" s="141">
        <v>3699.9782745573325</v>
      </c>
    </row>
    <row r="226" spans="1:13" x14ac:dyDescent="0.3">
      <c r="A226" s="142">
        <v>3725</v>
      </c>
      <c r="B226" s="142">
        <v>0.32</v>
      </c>
      <c r="C226" s="142">
        <v>4.55</v>
      </c>
      <c r="E226" s="141">
        <v>8.8965500806627379E-2</v>
      </c>
      <c r="G226" s="141">
        <v>0.13016756218129669</v>
      </c>
      <c r="H226" s="141">
        <v>-2.3506063619522155E-3</v>
      </c>
      <c r="I226" s="141">
        <v>24.999659271214863</v>
      </c>
      <c r="K226" s="141">
        <v>2.2406685269723874</v>
      </c>
      <c r="L226" s="141">
        <v>2.9160806840364502</v>
      </c>
      <c r="M226" s="141">
        <v>3724.9779338285475</v>
      </c>
    </row>
    <row r="227" spans="1:13" x14ac:dyDescent="0.3">
      <c r="A227" s="142">
        <v>3750</v>
      </c>
      <c r="B227" s="142">
        <v>0.25</v>
      </c>
      <c r="C227" s="142">
        <v>0.23</v>
      </c>
      <c r="E227" s="141">
        <v>8.7809931501575955E-2</v>
      </c>
      <c r="G227" s="141">
        <v>0.12413373455884136</v>
      </c>
      <c r="H227" s="141">
        <v>5.7571262563921016E-3</v>
      </c>
      <c r="I227" s="141">
        <v>24.99968945244181</v>
      </c>
      <c r="K227" s="141">
        <v>2.3648022615312287</v>
      </c>
      <c r="L227" s="141">
        <v>2.9218378102928422</v>
      </c>
      <c r="M227" s="141">
        <v>3749.9776232809895</v>
      </c>
    </row>
    <row r="228" spans="1:13" x14ac:dyDescent="0.3">
      <c r="A228" s="142">
        <v>3775</v>
      </c>
      <c r="B228" s="142">
        <v>0.56999999999999995</v>
      </c>
      <c r="C228" s="142">
        <v>15.48</v>
      </c>
      <c r="E228" s="141">
        <v>0.40237678471994792</v>
      </c>
      <c r="G228" s="141">
        <v>0.17438302528195682</v>
      </c>
      <c r="H228" s="141">
        <v>3.3409009634164849E-2</v>
      </c>
      <c r="I228" s="141">
        <v>24.999333802257819</v>
      </c>
      <c r="K228" s="141">
        <v>2.5391852868131854</v>
      </c>
      <c r="L228" s="141">
        <v>2.955246819927007</v>
      </c>
      <c r="M228" s="141">
        <v>3774.9769570832473</v>
      </c>
    </row>
    <row r="229" spans="1:13" x14ac:dyDescent="0.3">
      <c r="A229" s="142">
        <v>3800</v>
      </c>
      <c r="B229" s="142">
        <v>0.38</v>
      </c>
      <c r="C229" s="142">
        <v>5.03</v>
      </c>
      <c r="E229" s="141">
        <v>0.24966082195454148</v>
      </c>
      <c r="G229" s="141">
        <v>0.2024250913622993</v>
      </c>
      <c r="H229" s="141">
        <v>4.0458689465545164E-2</v>
      </c>
      <c r="I229" s="141">
        <v>24.999133993760385</v>
      </c>
      <c r="K229" s="141">
        <v>2.7416103781754848</v>
      </c>
      <c r="L229" s="141">
        <v>2.9957055093925522</v>
      </c>
      <c r="M229" s="141">
        <v>3799.9760910770078</v>
      </c>
    </row>
    <row r="230" spans="1:13" x14ac:dyDescent="0.3">
      <c r="A230" s="142">
        <v>3825</v>
      </c>
      <c r="B230" s="142">
        <v>0.4</v>
      </c>
      <c r="C230" s="142">
        <v>3.67</v>
      </c>
      <c r="E230" s="141">
        <v>2.6444541208231066E-2</v>
      </c>
      <c r="G230" s="141">
        <v>0.16967006534982715</v>
      </c>
      <c r="H230" s="141">
        <v>1.2854536124328826E-2</v>
      </c>
      <c r="I230" s="141">
        <v>24.999420775789879</v>
      </c>
      <c r="K230" s="141">
        <v>2.9112804435253121</v>
      </c>
      <c r="L230" s="141">
        <v>3.0085600455168811</v>
      </c>
      <c r="M230" s="141">
        <v>3824.9755118527978</v>
      </c>
    </row>
    <row r="231" spans="1:13" x14ac:dyDescent="0.3">
      <c r="A231" s="142">
        <v>3850</v>
      </c>
      <c r="B231" s="142">
        <v>0.42</v>
      </c>
      <c r="C231" s="142">
        <v>8.48</v>
      </c>
      <c r="E231" s="141">
        <v>4.7748712744984656E-2</v>
      </c>
      <c r="G231" s="141">
        <v>0.17771402455368704</v>
      </c>
      <c r="H231" s="141">
        <v>1.9097852847275398E-2</v>
      </c>
      <c r="I231" s="141">
        <v>24.99936054937805</v>
      </c>
      <c r="K231" s="141">
        <v>3.0889944680789991</v>
      </c>
      <c r="L231" s="141">
        <v>3.0276578983641564</v>
      </c>
      <c r="M231" s="141">
        <v>3849.9748724021761</v>
      </c>
    </row>
    <row r="232" spans="1:13" x14ac:dyDescent="0.3">
      <c r="A232" s="142">
        <v>3875</v>
      </c>
      <c r="B232" s="142">
        <v>0.42</v>
      </c>
      <c r="C232" s="142">
        <v>6.85</v>
      </c>
      <c r="E232" s="141">
        <v>1.4337616973267402E-2</v>
      </c>
      <c r="G232" s="141">
        <v>0.18160212231966852</v>
      </c>
      <c r="H232" s="141">
        <v>2.44406172303087E-2</v>
      </c>
      <c r="I232" s="141">
        <v>24.999328412189787</v>
      </c>
      <c r="K232" s="141">
        <v>3.2705965903986676</v>
      </c>
      <c r="L232" s="141">
        <v>3.0520985155944653</v>
      </c>
      <c r="M232" s="141">
        <v>3874.9742008143658</v>
      </c>
    </row>
    <row r="233" spans="1:13" x14ac:dyDescent="0.3">
      <c r="A233" s="142">
        <v>3900</v>
      </c>
      <c r="B233" s="142">
        <v>0.38</v>
      </c>
      <c r="C233" s="142">
        <v>357.23</v>
      </c>
      <c r="E233" s="141">
        <v>9.3635328630722145E-2</v>
      </c>
      <c r="G233" s="141">
        <v>0.17378059294461598</v>
      </c>
      <c r="H233" s="141">
        <v>6.9222156851500996E-3</v>
      </c>
      <c r="I233" s="141">
        <v>24.999393108432198</v>
      </c>
      <c r="K233" s="141">
        <v>3.4443771833432835</v>
      </c>
      <c r="L233" s="141">
        <v>3.0590207312796154</v>
      </c>
      <c r="M233" s="141">
        <v>3899.973593922798</v>
      </c>
    </row>
    <row r="234" spans="1:13" x14ac:dyDescent="0.3">
      <c r="A234" s="142">
        <v>3925</v>
      </c>
      <c r="B234" s="142">
        <v>0.33</v>
      </c>
      <c r="C234" s="142">
        <v>354.12</v>
      </c>
      <c r="E234" s="141">
        <v>6.4279793938619087E-2</v>
      </c>
      <c r="G234" s="141">
        <v>0.15442132262653907</v>
      </c>
      <c r="H234" s="141">
        <v>-1.13819063616816E-2</v>
      </c>
      <c r="I234" s="141">
        <v>24.999519575051323</v>
      </c>
      <c r="K234" s="141">
        <v>3.5987985059698224</v>
      </c>
      <c r="L234" s="141">
        <v>3.0476388249179336</v>
      </c>
      <c r="M234" s="141">
        <v>3924.9731134978492</v>
      </c>
    </row>
    <row r="235" spans="1:13" x14ac:dyDescent="0.3">
      <c r="A235" s="142">
        <v>3950</v>
      </c>
      <c r="B235" s="142">
        <v>0.28000000000000003</v>
      </c>
      <c r="C235" s="142">
        <v>341.05</v>
      </c>
      <c r="E235" s="141">
        <v>0.10243875446716237</v>
      </c>
      <c r="G235" s="141">
        <v>0.12939121518151639</v>
      </c>
      <c r="H235" s="141">
        <v>-2.7212833918581321E-2</v>
      </c>
      <c r="I235" s="141">
        <v>24.999648032695827</v>
      </c>
      <c r="K235" s="141">
        <v>3.7281897211513386</v>
      </c>
      <c r="L235" s="141">
        <v>3.0204259909993523</v>
      </c>
      <c r="M235" s="141">
        <v>3949.9727615305451</v>
      </c>
    </row>
    <row r="236" spans="1:13" x14ac:dyDescent="0.3">
      <c r="A236" s="142">
        <v>3975</v>
      </c>
      <c r="B236" s="142">
        <v>0.27</v>
      </c>
      <c r="C236" s="142">
        <v>1.1200000000000001</v>
      </c>
      <c r="E236" s="141">
        <v>0.11560985409676913</v>
      </c>
      <c r="G236" s="141">
        <v>0.11666896443269273</v>
      </c>
      <c r="H236" s="141">
        <v>-1.8685964692977113E-2</v>
      </c>
      <c r="I236" s="141">
        <v>24.999717836984829</v>
      </c>
      <c r="K236" s="141">
        <v>3.8448586855840312</v>
      </c>
      <c r="L236" s="141">
        <v>3.0017400263063752</v>
      </c>
      <c r="M236" s="141">
        <v>3974.97247936753</v>
      </c>
    </row>
    <row r="237" spans="1:13" x14ac:dyDescent="0.3">
      <c r="A237" s="142">
        <v>4000</v>
      </c>
      <c r="B237" s="142">
        <v>0.33</v>
      </c>
      <c r="C237" s="142">
        <v>358.2</v>
      </c>
      <c r="E237" s="141">
        <v>7.4277638346613425E-2</v>
      </c>
      <c r="G237" s="141">
        <v>0.13085231193158203</v>
      </c>
      <c r="H237" s="141">
        <v>-1.1100236606501131E-3</v>
      </c>
      <c r="I237" s="141">
        <v>24.999656310713654</v>
      </c>
      <c r="K237" s="141">
        <v>3.9757109975156131</v>
      </c>
      <c r="L237" s="141">
        <v>3.0006300026457251</v>
      </c>
      <c r="M237" s="141">
        <v>3999.9721356782438</v>
      </c>
    </row>
    <row r="238" spans="1:13" x14ac:dyDescent="0.3">
      <c r="A238" s="142">
        <v>4025</v>
      </c>
      <c r="B238" s="142">
        <v>0.35</v>
      </c>
      <c r="C238" s="142">
        <v>342.93</v>
      </c>
      <c r="E238" s="141">
        <v>0.11099355959071014</v>
      </c>
      <c r="G238" s="141">
        <v>0.14495282319074831</v>
      </c>
      <c r="H238" s="141">
        <v>-2.4675425760979929E-2</v>
      </c>
      <c r="I238" s="141">
        <v>24.999564877594818</v>
      </c>
      <c r="K238" s="141">
        <v>4.1206638207063611</v>
      </c>
      <c r="L238" s="141">
        <v>2.9759545768847451</v>
      </c>
      <c r="M238" s="141">
        <v>4024.9717005558387</v>
      </c>
    </row>
    <row r="239" spans="1:13" x14ac:dyDescent="0.3">
      <c r="A239" s="142">
        <v>4050</v>
      </c>
      <c r="B239" s="142">
        <v>0.33</v>
      </c>
      <c r="C239" s="142">
        <v>358.65</v>
      </c>
      <c r="E239" s="141">
        <v>0.11409432104944205</v>
      </c>
      <c r="G239" s="141">
        <v>0.1449683664054992</v>
      </c>
      <c r="H239" s="141">
        <v>-2.4110198051038707E-2</v>
      </c>
      <c r="I239" s="141">
        <v>24.999565185179041</v>
      </c>
      <c r="K239" s="141">
        <v>4.2656321871118603</v>
      </c>
      <c r="L239" s="141">
        <v>2.9518443788337065</v>
      </c>
      <c r="M239" s="141">
        <v>4049.9712657410178</v>
      </c>
    </row>
    <row r="240" spans="1:13" x14ac:dyDescent="0.3">
      <c r="A240" s="142">
        <v>4075</v>
      </c>
      <c r="B240" s="142">
        <v>0.33</v>
      </c>
      <c r="C240" s="142">
        <v>5.52</v>
      </c>
      <c r="E240" s="141">
        <v>4.7453331343669893E-2</v>
      </c>
      <c r="G240" s="141">
        <v>0.14363502828524471</v>
      </c>
      <c r="H240" s="141">
        <v>5.2292036283653458E-3</v>
      </c>
      <c r="I240" s="141">
        <v>24.999586333061849</v>
      </c>
      <c r="K240" s="141">
        <v>4.4092672153971053</v>
      </c>
      <c r="L240" s="141">
        <v>2.9570735824620717</v>
      </c>
      <c r="M240" s="141">
        <v>4074.9708520740796</v>
      </c>
    </row>
    <row r="241" spans="1:13" x14ac:dyDescent="0.3">
      <c r="A241" s="142">
        <v>4100</v>
      </c>
      <c r="B241" s="142">
        <v>0.33</v>
      </c>
      <c r="C241" s="142">
        <v>344.7</v>
      </c>
      <c r="E241" s="141">
        <v>0.14310635464203297</v>
      </c>
      <c r="G241" s="141">
        <v>0.14110338842019202</v>
      </c>
      <c r="H241" s="141">
        <v>-1.2072019787034764E-2</v>
      </c>
      <c r="I241" s="141">
        <v>24.999594365987384</v>
      </c>
      <c r="K241" s="141">
        <v>4.5503706038172975</v>
      </c>
      <c r="L241" s="141">
        <v>2.9450015626750368</v>
      </c>
      <c r="M241" s="141">
        <v>4099.9704464400675</v>
      </c>
    </row>
    <row r="242" spans="1:13" x14ac:dyDescent="0.3">
      <c r="A242" s="142">
        <v>4125</v>
      </c>
      <c r="B242" s="142">
        <v>0.32</v>
      </c>
      <c r="C242" s="142">
        <v>2.13</v>
      </c>
      <c r="E242" s="141">
        <v>0.11877840890251182</v>
      </c>
      <c r="G242" s="141">
        <v>0.13920737102417138</v>
      </c>
      <c r="H242" s="141">
        <v>-1.6402665687165835E-2</v>
      </c>
      <c r="I242" s="141">
        <v>24.999603933248</v>
      </c>
      <c r="K242" s="141">
        <v>4.6895779748414688</v>
      </c>
      <c r="L242" s="141">
        <v>2.9285988969878711</v>
      </c>
      <c r="M242" s="141">
        <v>4124.9700503733156</v>
      </c>
    </row>
    <row r="243" spans="1:13" x14ac:dyDescent="0.3">
      <c r="A243" s="142">
        <v>4150</v>
      </c>
      <c r="B243" s="142">
        <v>0.33</v>
      </c>
      <c r="C243" s="142">
        <v>17.62</v>
      </c>
      <c r="E243" s="141">
        <v>0.10578610771172559</v>
      </c>
      <c r="G243" s="141">
        <v>0.13838141794806455</v>
      </c>
      <c r="H243" s="141">
        <v>2.438763611569272E-2</v>
      </c>
      <c r="I243" s="141">
        <v>24.999602647453798</v>
      </c>
      <c r="K243" s="141">
        <v>4.8279593927895332</v>
      </c>
      <c r="L243" s="141">
        <v>2.9529865331035636</v>
      </c>
      <c r="M243" s="141">
        <v>4149.9696530207693</v>
      </c>
    </row>
    <row r="244" spans="1:13" x14ac:dyDescent="0.3">
      <c r="A244" s="142">
        <v>4175</v>
      </c>
      <c r="B244" s="142">
        <v>0.28000000000000003</v>
      </c>
      <c r="C244" s="142">
        <v>16.93</v>
      </c>
      <c r="E244" s="141">
        <v>6.0160589079430907E-2</v>
      </c>
      <c r="G244" s="141">
        <v>0.12705570448475326</v>
      </c>
      <c r="H244" s="141">
        <v>3.9581421415807207E-2</v>
      </c>
      <c r="I244" s="141">
        <v>24.999645003133711</v>
      </c>
      <c r="K244" s="141">
        <v>4.9550150972742868</v>
      </c>
      <c r="L244" s="141">
        <v>2.9925679545193709</v>
      </c>
      <c r="M244" s="141">
        <v>4174.9692980239033</v>
      </c>
    </row>
    <row r="245" spans="1:13" x14ac:dyDescent="0.3">
      <c r="A245" s="142">
        <v>4200</v>
      </c>
      <c r="B245" s="142">
        <v>0.28000000000000003</v>
      </c>
      <c r="C245" s="142">
        <v>33.85</v>
      </c>
      <c r="E245" s="141">
        <v>9.8863523763747019E-2</v>
      </c>
      <c r="G245" s="141">
        <v>0.10917097221170796</v>
      </c>
      <c r="H245" s="141">
        <v>5.1814840826155464E-2</v>
      </c>
      <c r="I245" s="141">
        <v>24.999705782951267</v>
      </c>
      <c r="K245" s="141">
        <v>5.064186069485995</v>
      </c>
      <c r="L245" s="141">
        <v>3.0443827953455265</v>
      </c>
      <c r="M245" s="141">
        <v>4199.9690038068547</v>
      </c>
    </row>
    <row r="246" spans="1:13" x14ac:dyDescent="0.3">
      <c r="A246" s="142">
        <v>4225</v>
      </c>
      <c r="B246" s="142">
        <v>0.22</v>
      </c>
      <c r="C246" s="142">
        <v>66.38</v>
      </c>
      <c r="E246" s="141">
        <v>0.18170685331511888</v>
      </c>
      <c r="G246" s="141">
        <v>6.9962795416891391E-2</v>
      </c>
      <c r="H246" s="141">
        <v>7.8001796004050869E-2</v>
      </c>
      <c r="I246" s="141">
        <v>24.999773142000883</v>
      </c>
      <c r="K246" s="141">
        <v>5.1341488649028868</v>
      </c>
      <c r="L246" s="141">
        <v>3.1223845913495771</v>
      </c>
      <c r="M246" s="141">
        <v>4224.9687769488555</v>
      </c>
    </row>
    <row r="247" spans="1:13" x14ac:dyDescent="0.3">
      <c r="A247" s="142">
        <v>4250</v>
      </c>
      <c r="B247" s="142">
        <v>0.13</v>
      </c>
      <c r="C247" s="142">
        <v>90.82</v>
      </c>
      <c r="E247" s="141">
        <v>0.13800203284617274</v>
      </c>
      <c r="G247" s="141">
        <v>1.8824796221890608E-2</v>
      </c>
      <c r="H247" s="141">
        <v>7.2334131225841466E-2</v>
      </c>
      <c r="I247" s="141">
        <v>24.999884071196014</v>
      </c>
      <c r="K247" s="141">
        <v>5.1529736611247774</v>
      </c>
      <c r="L247" s="141">
        <v>3.1947187225754186</v>
      </c>
      <c r="M247" s="141">
        <v>4249.9686610200515</v>
      </c>
    </row>
    <row r="248" spans="1:13" x14ac:dyDescent="0.3">
      <c r="A248" s="142">
        <v>4275</v>
      </c>
      <c r="B248" s="142">
        <v>0.22</v>
      </c>
      <c r="C248" s="142">
        <v>147.27000000000001</v>
      </c>
      <c r="E248" s="141">
        <v>0.22024996987596693</v>
      </c>
      <c r="G248" s="141">
        <v>-4.0781859935592295E-2</v>
      </c>
      <c r="H248" s="141">
        <v>5.4309472505152771E-2</v>
      </c>
      <c r="I248" s="141">
        <v>24.999897056828488</v>
      </c>
      <c r="K248" s="141">
        <v>5.1121918011891854</v>
      </c>
      <c r="L248" s="141">
        <v>3.2490281950805713</v>
      </c>
      <c r="M248" s="141">
        <v>4274.9685580768801</v>
      </c>
    </row>
    <row r="249" spans="1:13" x14ac:dyDescent="0.3">
      <c r="A249" s="142">
        <v>4300</v>
      </c>
      <c r="B249" s="142">
        <v>0.28000000000000003</v>
      </c>
      <c r="C249" s="142">
        <v>173.22</v>
      </c>
      <c r="E249" s="141">
        <v>0.15189085789455442</v>
      </c>
      <c r="G249" s="141">
        <v>-0.10103506842203125</v>
      </c>
      <c r="H249" s="141">
        <v>3.3162452529580042E-2</v>
      </c>
      <c r="I249" s="141">
        <v>24.99976875851409</v>
      </c>
      <c r="K249" s="141">
        <v>5.0111567327671542</v>
      </c>
      <c r="L249" s="141">
        <v>3.2821906476101512</v>
      </c>
      <c r="M249" s="141">
        <v>4299.9683268353938</v>
      </c>
    </row>
    <row r="250" spans="1:13" x14ac:dyDescent="0.3">
      <c r="A250" s="142">
        <v>4325</v>
      </c>
      <c r="B250" s="142">
        <v>0.5</v>
      </c>
      <c r="C250" s="142">
        <v>191.95</v>
      </c>
      <c r="E250" s="141">
        <v>0.30174204062983473</v>
      </c>
      <c r="G250" s="141">
        <v>-0.16737710727266236</v>
      </c>
      <c r="H250" s="141">
        <v>-1.5374579402023344E-2</v>
      </c>
      <c r="I250" s="141">
        <v>24.999414900840055</v>
      </c>
      <c r="K250" s="141">
        <v>4.8437796254944923</v>
      </c>
      <c r="L250" s="141">
        <v>3.266816068208128</v>
      </c>
      <c r="M250" s="141">
        <v>4324.9677417362336</v>
      </c>
    </row>
    <row r="251" spans="1:13" x14ac:dyDescent="0.3">
      <c r="A251" s="142">
        <v>4350</v>
      </c>
      <c r="B251" s="142">
        <v>0.28000000000000003</v>
      </c>
      <c r="C251" s="142">
        <v>44.52</v>
      </c>
      <c r="E251" s="141">
        <v>0.90149080526852177</v>
      </c>
      <c r="G251" s="141">
        <v>-6.3163783863051146E-2</v>
      </c>
      <c r="H251" s="141">
        <v>2.0245197023600052E-2</v>
      </c>
      <c r="I251" s="141">
        <v>24.999732930399734</v>
      </c>
      <c r="K251" s="141">
        <v>4.780615841631441</v>
      </c>
      <c r="L251" s="141">
        <v>3.2870612652317281</v>
      </c>
      <c r="M251" s="141">
        <v>4349.9674746666333</v>
      </c>
    </row>
    <row r="252" spans="1:13" x14ac:dyDescent="0.3">
      <c r="A252" s="142">
        <v>4375</v>
      </c>
      <c r="B252" s="142">
        <v>0.28000000000000003</v>
      </c>
      <c r="C252" s="142">
        <v>128.77000000000001</v>
      </c>
      <c r="E252" s="141">
        <v>0.45074321679151175</v>
      </c>
      <c r="G252" s="141">
        <v>5.3029237297385788E-3</v>
      </c>
      <c r="H252" s="141">
        <v>9.0458363029576896E-2</v>
      </c>
      <c r="I252" s="141">
        <v>24.999791013253976</v>
      </c>
      <c r="K252" s="141">
        <v>4.7859187653611794</v>
      </c>
      <c r="L252" s="141">
        <v>3.3775196282613051</v>
      </c>
      <c r="M252" s="141">
        <v>4374.9672656798875</v>
      </c>
    </row>
    <row r="253" spans="1:13" x14ac:dyDescent="0.3">
      <c r="A253" s="142">
        <v>4400</v>
      </c>
      <c r="B253" s="142">
        <v>0.53</v>
      </c>
      <c r="C253" s="142">
        <v>223.58</v>
      </c>
      <c r="E253" s="141">
        <v>0.74379188970576438</v>
      </c>
      <c r="G253" s="141">
        <v>-0.12201437831848275</v>
      </c>
      <c r="H253" s="141">
        <v>-3.208242151956682E-2</v>
      </c>
      <c r="I253" s="141">
        <v>24.999559755128736</v>
      </c>
      <c r="K253" s="141">
        <v>4.6639043870426971</v>
      </c>
      <c r="L253" s="141">
        <v>3.3454372067417384</v>
      </c>
      <c r="M253" s="141">
        <v>4399.9668254350163</v>
      </c>
    </row>
    <row r="254" spans="1:13" x14ac:dyDescent="0.3">
      <c r="A254" s="142">
        <v>4452</v>
      </c>
      <c r="B254" s="142">
        <v>0.35</v>
      </c>
      <c r="C254" s="142">
        <v>225.7</v>
      </c>
      <c r="E254" s="141">
        <v>0.10425229744966105</v>
      </c>
      <c r="G254" s="141">
        <v>-0.28514867398895938</v>
      </c>
      <c r="H254" s="141">
        <v>-0.27946411904033641</v>
      </c>
      <c r="I254" s="141">
        <v>51.998445636960717</v>
      </c>
      <c r="K254" s="141">
        <v>4.3787557130537378</v>
      </c>
      <c r="L254" s="141">
        <v>3.0659730877014022</v>
      </c>
      <c r="M254" s="141">
        <v>4451.9652710719774</v>
      </c>
    </row>
    <row r="255" spans="1:13" x14ac:dyDescent="0.3">
      <c r="A255" s="142">
        <v>4500</v>
      </c>
      <c r="B255" s="142">
        <v>0.27</v>
      </c>
      <c r="C255" s="142">
        <v>220.78</v>
      </c>
      <c r="E255" s="141">
        <v>5.2650005456363842E-2</v>
      </c>
      <c r="G255" s="141">
        <v>-0.18803202342656708</v>
      </c>
      <c r="H255" s="141">
        <v>-0.178795381007611</v>
      </c>
      <c r="I255" s="141">
        <v>47.9992943815556</v>
      </c>
      <c r="K255" s="141">
        <v>4.1907236896271707</v>
      </c>
      <c r="L255" s="141">
        <v>2.8871777066937914</v>
      </c>
      <c r="M255" s="141">
        <v>4499.9645654535334</v>
      </c>
    </row>
    <row r="256" spans="1:13" x14ac:dyDescent="0.3">
      <c r="A256" s="142">
        <v>4550</v>
      </c>
      <c r="B256" s="142">
        <v>0.08</v>
      </c>
      <c r="C256" s="142">
        <v>306.22000000000003</v>
      </c>
      <c r="E256" s="141">
        <v>0.16526207083475697</v>
      </c>
      <c r="G256" s="141">
        <v>-6.8582194711607203E-2</v>
      </c>
      <c r="H256" s="141">
        <v>-0.10510910565377596</v>
      </c>
      <c r="I256" s="141">
        <v>49.999794339513031</v>
      </c>
      <c r="K256" s="141">
        <v>4.1221414949155637</v>
      </c>
      <c r="L256" s="141">
        <v>2.7820686010400153</v>
      </c>
      <c r="M256" s="141">
        <v>4549.9643597930462</v>
      </c>
    </row>
    <row r="257" spans="1:13" x14ac:dyDescent="0.3">
      <c r="A257" s="142">
        <v>4600</v>
      </c>
      <c r="B257" s="142">
        <v>0.08</v>
      </c>
      <c r="C257" s="142">
        <v>207.42</v>
      </c>
      <c r="E257" s="141">
        <v>7.2890035473462414E-2</v>
      </c>
      <c r="G257" s="141">
        <v>-1.0359136200802055E-2</v>
      </c>
      <c r="H257" s="141">
        <v>-4.4235852596909368E-2</v>
      </c>
      <c r="I257" s="141">
        <v>49.999969992916192</v>
      </c>
      <c r="K257" s="141">
        <v>4.1117823587147617</v>
      </c>
      <c r="L257" s="141">
        <v>2.7378327484431058</v>
      </c>
      <c r="M257" s="141">
        <v>4599.964329785962</v>
      </c>
    </row>
    <row r="258" spans="1:13" x14ac:dyDescent="0.3">
      <c r="A258" s="142">
        <v>4650</v>
      </c>
      <c r="B258" s="142">
        <v>0.18</v>
      </c>
      <c r="C258" s="142">
        <v>190.18</v>
      </c>
      <c r="E258" s="141">
        <v>6.3763752179409716E-2</v>
      </c>
      <c r="G258" s="141">
        <v>-0.10828828023867799</v>
      </c>
      <c r="H258" s="141">
        <v>-2.9956020089777973E-2</v>
      </c>
      <c r="I258" s="141">
        <v>49.999866595323198</v>
      </c>
      <c r="K258" s="141">
        <v>4.0034940784760833</v>
      </c>
      <c r="L258" s="141">
        <v>2.7078767283533276</v>
      </c>
      <c r="M258" s="141">
        <v>4649.9641963812855</v>
      </c>
    </row>
    <row r="259" spans="1:13" x14ac:dyDescent="0.3">
      <c r="A259" s="142">
        <v>4700</v>
      </c>
      <c r="B259" s="142">
        <v>0.27</v>
      </c>
      <c r="C259" s="142">
        <v>195.47</v>
      </c>
      <c r="E259" s="141">
        <v>5.5362776547405117E-2</v>
      </c>
      <c r="G259" s="141">
        <v>-0.19084439358653305</v>
      </c>
      <c r="H259" s="141">
        <v>-4.530492408851626E-2</v>
      </c>
      <c r="I259" s="141">
        <v>49.999609854144978</v>
      </c>
      <c r="K259" s="141">
        <v>3.8126496848895504</v>
      </c>
      <c r="L259" s="141">
        <v>2.6625718042648114</v>
      </c>
      <c r="M259" s="141">
        <v>4699.9638062354306</v>
      </c>
    </row>
    <row r="260" spans="1:13" x14ac:dyDescent="0.3">
      <c r="A260" s="142">
        <v>4750</v>
      </c>
      <c r="B260" s="142">
        <v>0.08</v>
      </c>
      <c r="C260" s="142">
        <v>151.69999999999999</v>
      </c>
      <c r="E260" s="141">
        <v>0.13159613285622426</v>
      </c>
      <c r="G260" s="141">
        <v>-0.14427571084456531</v>
      </c>
      <c r="H260" s="141">
        <v>-1.487494043320485E-2</v>
      </c>
      <c r="I260" s="141">
        <v>49.999759104066122</v>
      </c>
      <c r="K260" s="141">
        <v>3.668373974044985</v>
      </c>
      <c r="L260" s="141">
        <v>2.6476968638316065</v>
      </c>
      <c r="M260" s="141">
        <v>4749.9635653394971</v>
      </c>
    </row>
    <row r="261" spans="1:13" x14ac:dyDescent="0.3">
      <c r="A261" s="142">
        <v>4800</v>
      </c>
      <c r="B261" s="142">
        <v>0.08</v>
      </c>
      <c r="C261" s="142">
        <v>231.32</v>
      </c>
      <c r="E261" s="141">
        <v>6.1463391143156763E-2</v>
      </c>
      <c r="G261" s="141">
        <v>-5.2550029856085895E-2</v>
      </c>
      <c r="H261" s="141">
        <v>-1.0700976101829376E-2</v>
      </c>
      <c r="I261" s="141">
        <v>49.999964580285933</v>
      </c>
      <c r="K261" s="141">
        <v>3.6158239441888993</v>
      </c>
      <c r="L261" s="141">
        <v>2.636995887729777</v>
      </c>
      <c r="M261" s="141">
        <v>4799.9635299197835</v>
      </c>
    </row>
    <row r="262" spans="1:13" x14ac:dyDescent="0.3">
      <c r="A262" s="142">
        <v>4850</v>
      </c>
      <c r="B262" s="142">
        <v>0.08</v>
      </c>
      <c r="C262" s="142">
        <v>309.37</v>
      </c>
      <c r="E262" s="141">
        <v>6.0447292948750037E-2</v>
      </c>
      <c r="G262" s="141">
        <v>3.2657297500568309E-4</v>
      </c>
      <c r="H262" s="141">
        <v>-5.4234860961712095E-2</v>
      </c>
      <c r="I262" s="141">
        <v>49.999964143550642</v>
      </c>
      <c r="K262" s="141">
        <v>3.6161505171639048</v>
      </c>
      <c r="L262" s="141">
        <v>2.5827610267680647</v>
      </c>
      <c r="M262" s="141">
        <v>4849.9634940633341</v>
      </c>
    </row>
    <row r="263" spans="1:13" x14ac:dyDescent="0.3">
      <c r="A263" s="142">
        <v>4900</v>
      </c>
      <c r="B263" s="142">
        <v>0.08</v>
      </c>
      <c r="C263" s="142">
        <v>294.97000000000003</v>
      </c>
      <c r="E263" s="141">
        <v>1.2031986572434584E-2</v>
      </c>
      <c r="G263" s="141">
        <v>3.6877730350566684E-2</v>
      </c>
      <c r="H263" s="141">
        <v>-5.8628898761822201E-2</v>
      </c>
      <c r="I263" s="141">
        <v>49.999951771626137</v>
      </c>
      <c r="K263" s="141">
        <v>3.6530282475144715</v>
      </c>
      <c r="L263" s="141">
        <v>2.5241321280062428</v>
      </c>
      <c r="M263" s="141">
        <v>4899.9634458349601</v>
      </c>
    </row>
    <row r="264" spans="1:13" x14ac:dyDescent="0.3">
      <c r="A264" s="142">
        <v>4950</v>
      </c>
      <c r="B264" s="142">
        <v>0.08</v>
      </c>
      <c r="C264" s="142">
        <v>177.18</v>
      </c>
      <c r="E264" s="141">
        <v>8.2197305381197253E-2</v>
      </c>
      <c r="G264" s="141">
        <v>-2.0128723434023912E-2</v>
      </c>
      <c r="H264" s="141">
        <v>-2.9926485560840155E-2</v>
      </c>
      <c r="I264" s="141">
        <v>49.999975082000788</v>
      </c>
      <c r="K264" s="141">
        <v>3.6328995240804476</v>
      </c>
      <c r="L264" s="141">
        <v>2.4942056424454027</v>
      </c>
      <c r="M264" s="141">
        <v>4949.9634209169608</v>
      </c>
    </row>
    <row r="265" spans="1:13" x14ac:dyDescent="0.3">
      <c r="A265" s="142">
        <v>5000</v>
      </c>
      <c r="B265" s="142">
        <v>0.27</v>
      </c>
      <c r="C265" s="142">
        <v>237.65</v>
      </c>
      <c r="E265" s="141">
        <v>0.14450857973932174</v>
      </c>
      <c r="G265" s="141">
        <v>-9.7902992640370501E-2</v>
      </c>
      <c r="H265" s="141">
        <v>-9.7807517440288511E-2</v>
      </c>
      <c r="I265" s="141">
        <v>49.99977167368592</v>
      </c>
      <c r="K265" s="141">
        <v>3.5349965314400773</v>
      </c>
      <c r="L265" s="141">
        <v>2.3963981250051143</v>
      </c>
      <c r="M265" s="141">
        <v>4999.9631925906469</v>
      </c>
    </row>
    <row r="266" spans="1:13" x14ac:dyDescent="0.3">
      <c r="A266" s="142">
        <v>5050</v>
      </c>
      <c r="B266" s="142">
        <v>0.35</v>
      </c>
      <c r="C266" s="142">
        <v>228.17</v>
      </c>
      <c r="E266" s="141">
        <v>5.6861260548814657E-2</v>
      </c>
      <c r="G266" s="141">
        <v>-0.16488792483951761</v>
      </c>
      <c r="H266" s="141">
        <v>-0.2133170930814367</v>
      </c>
      <c r="I266" s="141">
        <v>49.999267372938945</v>
      </c>
      <c r="K266" s="141">
        <v>3.3701086066005597</v>
      </c>
      <c r="L266" s="141">
        <v>2.1830810319236775</v>
      </c>
      <c r="M266" s="141">
        <v>5049.9624599635863</v>
      </c>
    </row>
    <row r="267" spans="1:13" x14ac:dyDescent="0.3">
      <c r="A267" s="142">
        <v>5100</v>
      </c>
      <c r="B267" s="142">
        <v>0</v>
      </c>
      <c r="C267" s="142">
        <v>243.63</v>
      </c>
      <c r="E267" s="141">
        <v>0.2099999999997503</v>
      </c>
      <c r="G267" s="141">
        <v>-0.10184965818558966</v>
      </c>
      <c r="H267" s="141">
        <v>-0.11379267675359704</v>
      </c>
      <c r="I267" s="141">
        <v>49.999689036964156</v>
      </c>
      <c r="K267" s="141">
        <v>3.26825894841497</v>
      </c>
      <c r="L267" s="141">
        <v>2.0692883551700807</v>
      </c>
      <c r="M267" s="141">
        <v>5099.9621490005502</v>
      </c>
    </row>
    <row r="268" spans="1:13" x14ac:dyDescent="0.3">
      <c r="A268" s="142">
        <v>5150</v>
      </c>
      <c r="B268" s="142">
        <v>0.27</v>
      </c>
      <c r="C268" s="142">
        <v>160.66999999999999</v>
      </c>
      <c r="E268" s="141">
        <v>0.16200000000001283</v>
      </c>
      <c r="G268" s="141">
        <v>-0.11116832134506537</v>
      </c>
      <c r="H268" s="141">
        <v>3.8995950435428466E-2</v>
      </c>
      <c r="I268" s="141">
        <v>49.999814945122949</v>
      </c>
      <c r="K268" s="141">
        <v>3.1570906270699046</v>
      </c>
      <c r="L268" s="141">
        <v>2.1082843056055092</v>
      </c>
      <c r="M268" s="141">
        <v>5149.9619639456732</v>
      </c>
    </row>
    <row r="269" spans="1:13" x14ac:dyDescent="0.3">
      <c r="A269" s="142">
        <v>5200</v>
      </c>
      <c r="B269" s="142">
        <v>0.35</v>
      </c>
      <c r="C269" s="142">
        <v>96.32</v>
      </c>
      <c r="E269" s="141">
        <v>0.20221544026957478</v>
      </c>
      <c r="G269" s="141">
        <v>-0.12797958419867925</v>
      </c>
      <c r="H269" s="141">
        <v>0.19078367434409998</v>
      </c>
      <c r="I269" s="141">
        <v>49.99940014051738</v>
      </c>
      <c r="K269" s="141">
        <v>3.0291110428712256</v>
      </c>
      <c r="L269" s="141">
        <v>2.299067979949609</v>
      </c>
      <c r="M269" s="141">
        <v>5199.9613640861908</v>
      </c>
    </row>
    <row r="270" spans="1:13" x14ac:dyDescent="0.3">
      <c r="A270" s="142">
        <v>5250</v>
      </c>
      <c r="B270" s="142">
        <v>0.43</v>
      </c>
      <c r="C270" s="142">
        <v>114.6</v>
      </c>
      <c r="E270" s="141">
        <v>8.8160667871877707E-2</v>
      </c>
      <c r="G270" s="141">
        <v>-9.491422560663669E-2</v>
      </c>
      <c r="H270" s="141">
        <v>0.32237933189140949</v>
      </c>
      <c r="I270" s="141">
        <v>49.998856914230693</v>
      </c>
      <c r="K270" s="141">
        <v>2.9341968172645889</v>
      </c>
      <c r="L270" s="141">
        <v>2.6214473118410186</v>
      </c>
      <c r="M270" s="141">
        <v>5249.9602210004214</v>
      </c>
    </row>
    <row r="271" spans="1:13" x14ac:dyDescent="0.3">
      <c r="A271" s="142">
        <v>5300</v>
      </c>
      <c r="B271" s="142">
        <v>0.53</v>
      </c>
      <c r="C271" s="142">
        <v>144.13</v>
      </c>
      <c r="E271" s="141">
        <v>0.15784467087494275</v>
      </c>
      <c r="G271" s="141">
        <v>-0.26549893500021221</v>
      </c>
      <c r="H271" s="141">
        <v>0.30609461128442372</v>
      </c>
      <c r="I271" s="141">
        <v>49.998314214795748</v>
      </c>
      <c r="K271" s="141">
        <v>2.6686978822643765</v>
      </c>
      <c r="L271" s="141">
        <v>2.9275419231254425</v>
      </c>
      <c r="M271" s="141">
        <v>5299.9585352152171</v>
      </c>
    </row>
    <row r="272" spans="1:13" x14ac:dyDescent="0.3">
      <c r="A272" s="142">
        <v>5350</v>
      </c>
      <c r="B272" s="142">
        <v>0.53</v>
      </c>
      <c r="C272" s="142">
        <v>142.03</v>
      </c>
      <c r="E272" s="141">
        <v>1.1654490213112158E-2</v>
      </c>
      <c r="G272" s="141">
        <v>-0.36969963486632984</v>
      </c>
      <c r="H272" s="141">
        <v>0.27778018939215648</v>
      </c>
      <c r="I272" s="141">
        <v>49.99786131828354</v>
      </c>
      <c r="K272" s="141">
        <v>2.2989982473980466</v>
      </c>
      <c r="L272" s="141">
        <v>3.205322112517599</v>
      </c>
      <c r="M272" s="141">
        <v>5349.956396533501</v>
      </c>
    </row>
    <row r="273" spans="1:13" x14ac:dyDescent="0.3">
      <c r="A273" s="142">
        <v>5413</v>
      </c>
      <c r="B273" s="142">
        <v>0.53</v>
      </c>
      <c r="C273" s="142">
        <v>137.47</v>
      </c>
      <c r="E273" s="141">
        <v>2.0080659685514184E-2</v>
      </c>
      <c r="G273" s="141">
        <v>-0.44442706830511197</v>
      </c>
      <c r="H273" s="141">
        <v>0.37623528532030964</v>
      </c>
      <c r="I273" s="141">
        <v>62.997307501413978</v>
      </c>
      <c r="K273" s="141">
        <v>1.8545711790929347</v>
      </c>
      <c r="L273" s="141">
        <v>3.5815573978379085</v>
      </c>
      <c r="M273" s="141">
        <v>5412.9537040349151</v>
      </c>
    </row>
    <row r="274" spans="1:13" x14ac:dyDescent="0.3">
      <c r="A274" s="142">
        <v>5466</v>
      </c>
      <c r="B274" s="142">
        <v>0.35</v>
      </c>
      <c r="C274" s="142">
        <v>122.68</v>
      </c>
      <c r="E274" s="141">
        <v>0.11966278721318833</v>
      </c>
      <c r="G274" s="141">
        <v>-0.26804650414298103</v>
      </c>
      <c r="H274" s="141">
        <v>0.301953860986717</v>
      </c>
      <c r="I274" s="141">
        <v>52.998431940525066</v>
      </c>
      <c r="K274" s="141">
        <v>1.5865246749499535</v>
      </c>
      <c r="L274" s="141">
        <v>3.8835112588246257</v>
      </c>
      <c r="M274" s="141">
        <v>5465.9521359754399</v>
      </c>
    </row>
    <row r="275" spans="1:13" x14ac:dyDescent="0.3">
      <c r="A275" s="142">
        <v>5512</v>
      </c>
      <c r="B275" s="142">
        <v>0.43</v>
      </c>
      <c r="C275" s="142">
        <v>188.78</v>
      </c>
      <c r="E275" s="141">
        <v>0.28085190918494118</v>
      </c>
      <c r="G275" s="141">
        <v>-0.24645137461299868</v>
      </c>
      <c r="H275" s="141">
        <v>9.1910051789815941E-2</v>
      </c>
      <c r="I275" s="141">
        <v>45.999139698010218</v>
      </c>
      <c r="K275" s="141">
        <v>1.3400733003369549</v>
      </c>
      <c r="L275" s="141">
        <v>3.9754213106144416</v>
      </c>
      <c r="M275" s="141">
        <v>5511.9512756734503</v>
      </c>
    </row>
    <row r="276" spans="1:13" x14ac:dyDescent="0.3">
      <c r="A276" s="142">
        <v>5608</v>
      </c>
      <c r="B276" s="142">
        <v>2.98</v>
      </c>
      <c r="C276" s="142">
        <v>271.39999999999998</v>
      </c>
      <c r="E276" s="141">
        <v>0.92364479469477756</v>
      </c>
      <c r="G276" s="141">
        <v>-0.2951088175314468</v>
      </c>
      <c r="H276" s="141">
        <v>-2.5502004196931054</v>
      </c>
      <c r="I276" s="141">
        <v>95.955019820490605</v>
      </c>
      <c r="K276" s="141">
        <v>1.0449644828055082</v>
      </c>
      <c r="L276" s="141">
        <v>1.4252208909213362</v>
      </c>
      <c r="M276" s="141">
        <v>5607.9062954939409</v>
      </c>
    </row>
    <row r="277" spans="1:13" x14ac:dyDescent="0.3">
      <c r="A277" s="142">
        <v>5705</v>
      </c>
      <c r="B277" s="142">
        <v>7.12</v>
      </c>
      <c r="C277" s="142">
        <v>272.82</v>
      </c>
      <c r="E277" s="141">
        <v>1.280898001962586</v>
      </c>
      <c r="G277" s="141">
        <v>0.35751351947823784</v>
      </c>
      <c r="H277" s="141">
        <v>-8.5285397394735796</v>
      </c>
      <c r="I277" s="141">
        <v>96.602484886405207</v>
      </c>
      <c r="K277" s="141">
        <v>1.402478002283746</v>
      </c>
      <c r="L277" s="141">
        <v>-7.1033188485522434</v>
      </c>
      <c r="M277" s="141">
        <v>5704.5087803803463</v>
      </c>
    </row>
    <row r="278" spans="1:13" x14ac:dyDescent="0.3">
      <c r="A278" s="142">
        <v>5801</v>
      </c>
      <c r="B278" s="142">
        <v>9.23</v>
      </c>
      <c r="C278" s="142">
        <v>265.43</v>
      </c>
      <c r="E278" s="141">
        <v>0.73531278919505094</v>
      </c>
      <c r="G278" s="141">
        <v>-0.320780877302283</v>
      </c>
      <c r="H278" s="141">
        <v>-13.618834523240954</v>
      </c>
      <c r="I278" s="141">
        <v>95.021730404877999</v>
      </c>
      <c r="K278" s="141">
        <v>1.0816971249814631</v>
      </c>
      <c r="L278" s="141">
        <v>-20.722153371793198</v>
      </c>
      <c r="M278" s="141">
        <v>5799.5305107852246</v>
      </c>
    </row>
    <row r="279" spans="1:13" x14ac:dyDescent="0.3">
      <c r="A279" s="142">
        <v>5897</v>
      </c>
      <c r="B279" s="142">
        <v>11.07</v>
      </c>
      <c r="C279" s="142">
        <v>259.45</v>
      </c>
      <c r="E279" s="141">
        <v>0.66189237530546496</v>
      </c>
      <c r="G279" s="141">
        <v>-2.3011649680025501</v>
      </c>
      <c r="H279" s="141">
        <v>-16.737126065770173</v>
      </c>
      <c r="I279" s="141">
        <v>94.496157481549233</v>
      </c>
      <c r="K279" s="141">
        <v>-1.219467843021087</v>
      </c>
      <c r="L279" s="141">
        <v>-37.459279437563367</v>
      </c>
      <c r="M279" s="141">
        <v>5894.0266682667734</v>
      </c>
    </row>
    <row r="280" spans="1:13" x14ac:dyDescent="0.3">
      <c r="A280" s="142">
        <v>5995</v>
      </c>
      <c r="B280" s="142">
        <v>13.88</v>
      </c>
      <c r="C280" s="142">
        <v>250.32</v>
      </c>
      <c r="E280" s="141">
        <v>1.0484131691644789</v>
      </c>
      <c r="G280" s="141">
        <v>-5.6828554832593374</v>
      </c>
      <c r="H280" s="141">
        <v>-20.323369930309436</v>
      </c>
      <c r="I280" s="141">
        <v>95.685978921528061</v>
      </c>
      <c r="K280" s="141">
        <v>-6.902323326280424</v>
      </c>
      <c r="L280" s="141">
        <v>-57.782649367872807</v>
      </c>
      <c r="M280" s="141">
        <v>5989.7126471883012</v>
      </c>
    </row>
    <row r="281" spans="1:13" x14ac:dyDescent="0.3">
      <c r="A281" s="142">
        <v>6091</v>
      </c>
      <c r="B281" s="142">
        <v>16.27</v>
      </c>
      <c r="C281" s="142">
        <v>240.12</v>
      </c>
      <c r="E281" s="141">
        <v>1.1131874177931389</v>
      </c>
      <c r="G281" s="141">
        <v>-10.580700698339029</v>
      </c>
      <c r="H281" s="141">
        <v>-22.50959891424046</v>
      </c>
      <c r="I281" s="141">
        <v>92.705978806140749</v>
      </c>
      <c r="K281" s="141">
        <v>-17.483024024619453</v>
      </c>
      <c r="L281" s="141">
        <v>-80.292248282113263</v>
      </c>
      <c r="M281" s="141">
        <v>6082.4186259944418</v>
      </c>
    </row>
    <row r="282" spans="1:13" x14ac:dyDescent="0.3">
      <c r="A282" s="142">
        <v>6186</v>
      </c>
      <c r="B282" s="142">
        <v>17.829999999999998</v>
      </c>
      <c r="C282" s="142">
        <v>236.25</v>
      </c>
      <c r="E282" s="141">
        <v>0.60891697746374396</v>
      </c>
      <c r="G282" s="141">
        <v>-14.711461640487089</v>
      </c>
      <c r="H282" s="141">
        <v>-23.634095134138676</v>
      </c>
      <c r="I282" s="141">
        <v>90.824835084015774</v>
      </c>
      <c r="K282" s="141">
        <v>-32.194485665106541</v>
      </c>
      <c r="L282" s="141">
        <v>-103.92634341625194</v>
      </c>
      <c r="M282" s="141">
        <v>6173.2434610784576</v>
      </c>
    </row>
    <row r="283" spans="1:13" x14ac:dyDescent="0.3">
      <c r="A283" s="142">
        <v>6281</v>
      </c>
      <c r="B283" s="142">
        <v>17.829999999999998</v>
      </c>
      <c r="C283" s="142">
        <v>230.27</v>
      </c>
      <c r="E283" s="141">
        <v>0.57798497608594324</v>
      </c>
      <c r="G283" s="141">
        <v>-17.378033631778944</v>
      </c>
      <c r="H283" s="141">
        <v>-23.280483698010151</v>
      </c>
      <c r="I283" s="141">
        <v>90.444765393709091</v>
      </c>
      <c r="K283" s="141">
        <v>-49.572519296885488</v>
      </c>
      <c r="L283" s="141">
        <v>-127.2068271142621</v>
      </c>
      <c r="M283" s="141">
        <v>6263.6882264721671</v>
      </c>
    </row>
    <row r="284" spans="1:13" x14ac:dyDescent="0.3">
      <c r="A284" s="142">
        <v>6341</v>
      </c>
      <c r="B284" s="142">
        <v>17.7</v>
      </c>
      <c r="C284" s="142">
        <v>223.8</v>
      </c>
      <c r="E284" s="141">
        <v>0.98869954274671179</v>
      </c>
      <c r="G284" s="141">
        <v>-12.455707547474869</v>
      </c>
      <c r="H284" s="141">
        <v>-13.378848099177695</v>
      </c>
      <c r="I284" s="141">
        <v>57.14459258051243</v>
      </c>
      <c r="K284" s="141">
        <v>-62.028226844360361</v>
      </c>
      <c r="L284" s="141">
        <v>-140.5856752134398</v>
      </c>
      <c r="M284" s="141">
        <v>6320.83281905268</v>
      </c>
    </row>
    <row r="285" spans="1:13" x14ac:dyDescent="0.3">
      <c r="A285" s="142">
        <v>6436</v>
      </c>
      <c r="B285" s="142">
        <v>19.2</v>
      </c>
      <c r="C285" s="142">
        <v>223</v>
      </c>
      <c r="E285" s="141">
        <v>0.48037356944296411</v>
      </c>
      <c r="G285" s="141">
        <v>-21.849231960855203</v>
      </c>
      <c r="H285" s="141">
        <v>-20.650456800453906</v>
      </c>
      <c r="I285" s="141">
        <v>90.114591369049677</v>
      </c>
      <c r="K285" s="141">
        <v>-83.877458805215568</v>
      </c>
      <c r="L285" s="141">
        <v>-161.23613201389369</v>
      </c>
      <c r="M285" s="141">
        <v>6410.9474104217297</v>
      </c>
    </row>
    <row r="286" spans="1:13" x14ac:dyDescent="0.3">
      <c r="A286" s="142">
        <v>6534</v>
      </c>
      <c r="B286" s="142">
        <v>22.9</v>
      </c>
      <c r="C286" s="142">
        <v>220.9</v>
      </c>
      <c r="E286" s="141">
        <v>1.1557768305453175</v>
      </c>
      <c r="G286" s="141">
        <v>-26.206771488666018</v>
      </c>
      <c r="H286" s="141">
        <v>-23.482528247031816</v>
      </c>
      <c r="I286" s="141">
        <v>91.445619198808672</v>
      </c>
      <c r="K286" s="141">
        <v>-110.08423029388159</v>
      </c>
      <c r="L286" s="141">
        <v>-184.7186602609255</v>
      </c>
      <c r="M286" s="141">
        <v>6502.3930296205381</v>
      </c>
    </row>
    <row r="287" spans="1:13" x14ac:dyDescent="0.3">
      <c r="A287" s="142">
        <v>6627</v>
      </c>
      <c r="B287" s="142">
        <v>25.6</v>
      </c>
      <c r="C287" s="142">
        <v>218.9</v>
      </c>
      <c r="E287" s="141">
        <v>0.91026815697256069</v>
      </c>
      <c r="G287" s="141">
        <v>-29.318989999787867</v>
      </c>
      <c r="H287" s="141">
        <v>-24.469024896375998</v>
      </c>
      <c r="I287" s="141">
        <v>84.787472810891998</v>
      </c>
      <c r="K287" s="141">
        <v>-139.40322029366945</v>
      </c>
      <c r="L287" s="141">
        <v>-209.1876851573015</v>
      </c>
      <c r="M287" s="141">
        <v>6587.1805024314299</v>
      </c>
    </row>
    <row r="288" spans="1:13" x14ac:dyDescent="0.3">
      <c r="A288" s="142">
        <v>6645</v>
      </c>
      <c r="B288" s="142">
        <v>26.19</v>
      </c>
      <c r="C288" s="142">
        <v>218.74</v>
      </c>
      <c r="E288" s="141">
        <v>0.99020483587635</v>
      </c>
      <c r="G288" s="141">
        <v>-6.1247115784455453</v>
      </c>
      <c r="H288" s="141">
        <v>-4.9277661049047241</v>
      </c>
      <c r="I288" s="141">
        <v>16.192656549987301</v>
      </c>
      <c r="K288" s="141">
        <v>-145.527931872115</v>
      </c>
      <c r="L288" s="141">
        <v>-214.11545126220622</v>
      </c>
      <c r="M288" s="141">
        <v>6603.373158981417</v>
      </c>
    </row>
    <row r="289" spans="1:13" x14ac:dyDescent="0.3">
      <c r="A289" s="142">
        <v>6727</v>
      </c>
      <c r="B289" s="142">
        <v>28</v>
      </c>
      <c r="C289" s="142">
        <v>216.4</v>
      </c>
      <c r="E289" s="141">
        <v>0.76835479260619766</v>
      </c>
      <c r="G289" s="141">
        <v>-29.610415242812937</v>
      </c>
      <c r="H289" s="141">
        <v>-22.748693789019161</v>
      </c>
      <c r="I289" s="141">
        <v>72.999776856387356</v>
      </c>
      <c r="K289" s="141">
        <v>-175.13834711492794</v>
      </c>
      <c r="L289" s="141">
        <v>-236.86414505122539</v>
      </c>
      <c r="M289" s="141">
        <v>6676.3729358378041</v>
      </c>
    </row>
    <row r="290" spans="1:13" x14ac:dyDescent="0.3">
      <c r="A290" s="142">
        <v>6823</v>
      </c>
      <c r="B290" s="142">
        <v>32.1</v>
      </c>
      <c r="C290" s="142">
        <v>213.7</v>
      </c>
      <c r="E290" s="141">
        <v>1.3488270436884271</v>
      </c>
      <c r="G290" s="141">
        <v>-39.377375443863123</v>
      </c>
      <c r="H290" s="141">
        <v>-27.537992416818607</v>
      </c>
      <c r="I290" s="141">
        <v>83.082631684272641</v>
      </c>
      <c r="K290" s="141">
        <v>-214.51572255879105</v>
      </c>
      <c r="L290" s="141">
        <v>-264.40213746804397</v>
      </c>
      <c r="M290" s="141">
        <v>6759.4555675220763</v>
      </c>
    </row>
    <row r="291" spans="1:13" x14ac:dyDescent="0.3">
      <c r="A291" s="142">
        <v>6919</v>
      </c>
      <c r="B291" s="142">
        <v>34.6</v>
      </c>
      <c r="C291" s="142">
        <v>212</v>
      </c>
      <c r="E291" s="141">
        <v>0.83398829562577059</v>
      </c>
      <c r="G291" s="141">
        <v>-44.343603710176417</v>
      </c>
      <c r="H291" s="141">
        <v>-28.601405509266968</v>
      </c>
      <c r="I291" s="141">
        <v>80.186896061845289</v>
      </c>
      <c r="K291" s="141">
        <v>-258.85932626896749</v>
      </c>
      <c r="L291" s="141">
        <v>-293.00354297731093</v>
      </c>
      <c r="M291" s="141">
        <v>6839.6424635839212</v>
      </c>
    </row>
    <row r="292" spans="1:13" x14ac:dyDescent="0.3">
      <c r="A292" s="142">
        <v>7014</v>
      </c>
      <c r="B292" s="142">
        <v>36.9</v>
      </c>
      <c r="C292" s="142">
        <v>208.8</v>
      </c>
      <c r="E292" s="141">
        <v>0.93580389589809965</v>
      </c>
      <c r="G292" s="141">
        <v>-47.87694858374217</v>
      </c>
      <c r="H292" s="141">
        <v>-28.039135230065561</v>
      </c>
      <c r="I292" s="141">
        <v>77.10118690106836</v>
      </c>
      <c r="K292" s="141">
        <v>-306.73627485270964</v>
      </c>
      <c r="L292" s="141">
        <v>-321.04267820737647</v>
      </c>
      <c r="M292" s="141">
        <v>6916.7436504849893</v>
      </c>
    </row>
    <row r="293" spans="1:13" x14ac:dyDescent="0.3">
      <c r="A293" s="142">
        <v>7110</v>
      </c>
      <c r="B293" s="142">
        <v>38.9</v>
      </c>
      <c r="C293" s="142">
        <v>207.7</v>
      </c>
      <c r="E293" s="141">
        <v>0.65968627232559041</v>
      </c>
      <c r="G293" s="141">
        <v>-51.948920367285851</v>
      </c>
      <c r="H293" s="141">
        <v>-27.898753575215661</v>
      </c>
      <c r="I293" s="141">
        <v>75.749103845576371</v>
      </c>
      <c r="K293" s="141">
        <v>-358.68519521999548</v>
      </c>
      <c r="L293" s="141">
        <v>-348.94143178259213</v>
      </c>
      <c r="M293" s="141">
        <v>6992.4927543305657</v>
      </c>
    </row>
    <row r="294" spans="1:13" x14ac:dyDescent="0.3">
      <c r="A294" s="142">
        <v>7243</v>
      </c>
      <c r="B294" s="142">
        <v>35.1</v>
      </c>
      <c r="C294" s="142">
        <v>210.8</v>
      </c>
      <c r="E294" s="141">
        <v>0.95464452943844491</v>
      </c>
      <c r="G294" s="141">
        <v>-69.850175770520721</v>
      </c>
      <c r="H294" s="141">
        <v>-39.008748025891173</v>
      </c>
      <c r="I294" s="141">
        <v>106.20842213392935</v>
      </c>
      <c r="K294" s="141">
        <v>-428.53537099051618</v>
      </c>
      <c r="L294" s="141">
        <v>-387.95017980848331</v>
      </c>
      <c r="M294" s="141">
        <v>7098.7011764644949</v>
      </c>
    </row>
    <row r="295" spans="1:13" x14ac:dyDescent="0.3">
      <c r="A295" s="142">
        <v>7326</v>
      </c>
      <c r="B295" s="142">
        <v>36.56</v>
      </c>
      <c r="C295" s="142">
        <v>210.65</v>
      </c>
      <c r="E295" s="141">
        <v>0.52866401471601554</v>
      </c>
      <c r="G295" s="141">
        <v>-41.765996916411396</v>
      </c>
      <c r="H295" s="141">
        <v>-24.822183628592729</v>
      </c>
      <c r="I295" s="141">
        <v>67.291058815946144</v>
      </c>
      <c r="K295" s="141">
        <v>-470.30136790692757</v>
      </c>
      <c r="L295" s="141">
        <v>-412.77236343707602</v>
      </c>
      <c r="M295" s="141">
        <v>7165.9922352804406</v>
      </c>
    </row>
    <row r="296" spans="1:13" x14ac:dyDescent="0.3">
      <c r="A296" s="142">
        <v>7422</v>
      </c>
      <c r="B296" s="142">
        <v>37.619999999999997</v>
      </c>
      <c r="C296" s="142">
        <v>209.96</v>
      </c>
      <c r="E296" s="141">
        <v>0.35585525585040861</v>
      </c>
      <c r="G296" s="141">
        <v>-49.984145900255797</v>
      </c>
      <c r="H296" s="141">
        <v>-29.209287740682097</v>
      </c>
      <c r="I296" s="141">
        <v>76.577407302996363</v>
      </c>
      <c r="K296" s="141">
        <v>-520.28551380718341</v>
      </c>
      <c r="L296" s="141">
        <v>-441.98165117775812</v>
      </c>
      <c r="M296" s="141">
        <v>7242.5696425834367</v>
      </c>
    </row>
    <row r="297" spans="1:13" x14ac:dyDescent="0.3">
      <c r="A297" s="142">
        <v>7518</v>
      </c>
      <c r="B297" s="142">
        <v>38.61</v>
      </c>
      <c r="C297" s="142">
        <v>208.66</v>
      </c>
      <c r="E297" s="141">
        <v>0.39822086326275818</v>
      </c>
      <c r="G297" s="141">
        <v>-51.67009510522962</v>
      </c>
      <c r="H297" s="141">
        <v>-28.999274670251999</v>
      </c>
      <c r="I297" s="141">
        <v>75.530546478697488</v>
      </c>
      <c r="K297" s="141">
        <v>-571.95560891241303</v>
      </c>
      <c r="L297" s="141">
        <v>-470.98092584801014</v>
      </c>
      <c r="M297" s="141">
        <v>7318.1001890621337</v>
      </c>
    </row>
    <row r="298" spans="1:13" x14ac:dyDescent="0.3">
      <c r="A298" s="142">
        <v>7614</v>
      </c>
      <c r="B298" s="142">
        <v>40.130000000000003</v>
      </c>
      <c r="C298" s="142">
        <v>206.4</v>
      </c>
      <c r="E298" s="141">
        <v>0.65287258291401373</v>
      </c>
      <c r="G298" s="141">
        <v>-53.99974693125462</v>
      </c>
      <c r="H298" s="141">
        <v>-28.124540711962386</v>
      </c>
      <c r="I298" s="141">
        <v>74.216012260026602</v>
      </c>
      <c r="K298" s="141">
        <v>-625.95535584366769</v>
      </c>
      <c r="L298" s="141">
        <v>-499.10546655997251</v>
      </c>
      <c r="M298" s="141">
        <v>7392.3162013221599</v>
      </c>
    </row>
    <row r="299" spans="1:13" x14ac:dyDescent="0.3">
      <c r="A299" s="142">
        <v>7711</v>
      </c>
      <c r="B299" s="142">
        <v>41.62</v>
      </c>
      <c r="C299" s="142">
        <v>203.71</v>
      </c>
      <c r="E299" s="141">
        <v>0.71320599679742103</v>
      </c>
      <c r="G299" s="141">
        <v>-57.501240882987723</v>
      </c>
      <c r="H299" s="141">
        <v>-26.855785181638971</v>
      </c>
      <c r="I299" s="141">
        <v>73.349192487770082</v>
      </c>
      <c r="K299" s="141">
        <v>-683.45659672665545</v>
      </c>
      <c r="L299" s="141">
        <v>-525.96125174161148</v>
      </c>
      <c r="M299" s="141">
        <v>7465.6653938099298</v>
      </c>
    </row>
    <row r="300" spans="1:13" x14ac:dyDescent="0.3">
      <c r="A300" s="142">
        <v>7800</v>
      </c>
      <c r="B300" s="142">
        <v>42.57</v>
      </c>
      <c r="C300" s="142">
        <v>202.23</v>
      </c>
      <c r="E300" s="141">
        <v>0.46300147324854873</v>
      </c>
      <c r="G300" s="141">
        <v>-54.930470131415795</v>
      </c>
      <c r="H300" s="141">
        <v>-23.274984757537624</v>
      </c>
      <c r="I300" s="141">
        <v>66.041950147336479</v>
      </c>
      <c r="K300" s="141">
        <v>-738.38706685807119</v>
      </c>
      <c r="L300" s="141">
        <v>-549.23623649914907</v>
      </c>
      <c r="M300" s="141">
        <v>7531.7073439572659</v>
      </c>
    </row>
    <row r="301" spans="1:13" x14ac:dyDescent="0.3">
      <c r="A301" s="142">
        <v>7852</v>
      </c>
      <c r="B301" s="142">
        <v>43.35</v>
      </c>
      <c r="C301" s="142">
        <v>201.41</v>
      </c>
      <c r="E301" s="141">
        <v>0.55356220282020407</v>
      </c>
      <c r="G301" s="141">
        <v>-32.898340252881411</v>
      </c>
      <c r="H301" s="141">
        <v>-13.169723327944046</v>
      </c>
      <c r="I301" s="141">
        <v>38.055149486804225</v>
      </c>
      <c r="K301" s="141">
        <v>-771.28540711095263</v>
      </c>
      <c r="L301" s="141">
        <v>-562.40595982709317</v>
      </c>
      <c r="M301" s="141">
        <v>7569.7624934440701</v>
      </c>
    </row>
    <row r="302" spans="1:13" x14ac:dyDescent="0.3">
      <c r="A302" s="142">
        <v>7948</v>
      </c>
      <c r="B302" s="142">
        <v>44.89</v>
      </c>
      <c r="C302" s="142">
        <v>199.46</v>
      </c>
      <c r="E302" s="141">
        <v>0.64149334532507896</v>
      </c>
      <c r="G302" s="141">
        <v>-62.623375759193145</v>
      </c>
      <c r="H302" s="141">
        <v>-23.316160269780951</v>
      </c>
      <c r="I302" s="141">
        <v>68.917949005171579</v>
      </c>
      <c r="K302" s="141">
        <v>-833.90878287014573</v>
      </c>
      <c r="L302" s="141">
        <v>-585.72212009687416</v>
      </c>
      <c r="M302" s="141">
        <v>7638.680442449242</v>
      </c>
    </row>
    <row r="303" spans="1:13" x14ac:dyDescent="0.3">
      <c r="A303" s="142">
        <v>8044</v>
      </c>
      <c r="B303" s="142">
        <v>46.52</v>
      </c>
      <c r="C303" s="142">
        <v>197.46</v>
      </c>
      <c r="E303" s="141">
        <v>0.67787861961765128</v>
      </c>
      <c r="G303" s="141">
        <v>-65.173290624325887</v>
      </c>
      <c r="H303" s="141">
        <v>-21.738548889737022</v>
      </c>
      <c r="I303" s="141">
        <v>67.043097371443196</v>
      </c>
      <c r="K303" s="141">
        <v>-899.08207349447162</v>
      </c>
      <c r="L303" s="141">
        <v>-607.46066898661115</v>
      </c>
      <c r="M303" s="141">
        <v>7705.7235398206849</v>
      </c>
    </row>
    <row r="304" spans="1:13" x14ac:dyDescent="0.3">
      <c r="A304" s="142">
        <v>8140</v>
      </c>
      <c r="B304" s="142">
        <v>47.78</v>
      </c>
      <c r="C304" s="142">
        <v>195.61</v>
      </c>
      <c r="E304" s="141">
        <v>0.57848957254781486</v>
      </c>
      <c r="G304" s="141">
        <v>-67.466879465830942</v>
      </c>
      <c r="H304" s="141">
        <v>-20.01734774289201</v>
      </c>
      <c r="I304" s="141">
        <v>65.289542052508054</v>
      </c>
      <c r="K304" s="141">
        <v>-966.54895296030259</v>
      </c>
      <c r="L304" s="141">
        <v>-627.47801672950311</v>
      </c>
      <c r="M304" s="141">
        <v>7771.0130818731932</v>
      </c>
    </row>
    <row r="305" spans="1:13" x14ac:dyDescent="0.3">
      <c r="A305" s="142">
        <v>8237</v>
      </c>
      <c r="B305" s="142">
        <v>48.82</v>
      </c>
      <c r="C305" s="142">
        <v>194.19</v>
      </c>
      <c r="E305" s="141">
        <v>0.45931217290687448</v>
      </c>
      <c r="G305" s="141">
        <v>-69.986256657437607</v>
      </c>
      <c r="H305" s="141">
        <v>-18.614393370220128</v>
      </c>
      <c r="I305" s="141">
        <v>64.528299720483602</v>
      </c>
      <c r="K305" s="141">
        <v>-1036.5352096177403</v>
      </c>
      <c r="L305" s="141">
        <v>-646.09241009972322</v>
      </c>
      <c r="M305" s="141">
        <v>7835.5413815936772</v>
      </c>
    </row>
    <row r="306" spans="1:13" x14ac:dyDescent="0.3">
      <c r="A306" s="142">
        <v>8332</v>
      </c>
      <c r="B306" s="142">
        <v>50.34</v>
      </c>
      <c r="C306" s="142">
        <v>192.84</v>
      </c>
      <c r="E306" s="141">
        <v>0.57941098705071381</v>
      </c>
      <c r="G306" s="141">
        <v>-70.319077008108763</v>
      </c>
      <c r="H306" s="141">
        <v>-16.891688453544084</v>
      </c>
      <c r="I306" s="141">
        <v>61.59648561201309</v>
      </c>
      <c r="K306" s="141">
        <v>-1106.854286625849</v>
      </c>
      <c r="L306" s="141">
        <v>-662.98409855326736</v>
      </c>
      <c r="M306" s="141">
        <v>7897.1378672056899</v>
      </c>
    </row>
    <row r="307" spans="1:13" x14ac:dyDescent="0.3">
      <c r="A307" s="142">
        <v>8427</v>
      </c>
      <c r="B307" s="142">
        <v>52.36</v>
      </c>
      <c r="C307" s="142">
        <v>191.08</v>
      </c>
      <c r="E307" s="141">
        <v>0.77152665708965784</v>
      </c>
      <c r="G307" s="141">
        <v>-72.576647841842174</v>
      </c>
      <c r="H307" s="141">
        <v>-15.357271732293377</v>
      </c>
      <c r="I307" s="141">
        <v>59.333101857715619</v>
      </c>
      <c r="K307" s="141">
        <v>-1179.4309344676913</v>
      </c>
      <c r="L307" s="141">
        <v>-678.34137028556074</v>
      </c>
      <c r="M307" s="141">
        <v>7956.4709690634054</v>
      </c>
    </row>
    <row r="308" spans="1:13" x14ac:dyDescent="0.3">
      <c r="A308" s="142">
        <v>8524</v>
      </c>
      <c r="B308" s="142">
        <v>54.19</v>
      </c>
      <c r="C308" s="142">
        <v>189.4</v>
      </c>
      <c r="E308" s="141">
        <v>0.7026559832367868</v>
      </c>
      <c r="G308" s="141">
        <v>-76.503023823067196</v>
      </c>
      <c r="H308" s="141">
        <v>-13.806410965918571</v>
      </c>
      <c r="I308" s="141">
        <v>58.003772257968585</v>
      </c>
      <c r="K308" s="141">
        <v>-1255.9339582907585</v>
      </c>
      <c r="L308" s="141">
        <v>-692.14778125147927</v>
      </c>
      <c r="M308" s="141">
        <v>8014.4747413213736</v>
      </c>
    </row>
    <row r="309" spans="1:13" x14ac:dyDescent="0.3">
      <c r="A309" s="142">
        <v>8620</v>
      </c>
      <c r="B309" s="142">
        <v>55.66</v>
      </c>
      <c r="C309" s="142">
        <v>187.76</v>
      </c>
      <c r="E309" s="141">
        <v>0.62202833846869443</v>
      </c>
      <c r="G309" s="141">
        <v>-77.682152778388499</v>
      </c>
      <c r="H309" s="141">
        <v>-11.710342947862953</v>
      </c>
      <c r="I309" s="141">
        <v>55.167237903055025</v>
      </c>
      <c r="K309" s="141">
        <v>-1333.6161110691469</v>
      </c>
      <c r="L309" s="141">
        <v>-703.85812419934223</v>
      </c>
      <c r="M309" s="141">
        <v>8069.6419792244287</v>
      </c>
    </row>
    <row r="310" spans="1:13" x14ac:dyDescent="0.3">
      <c r="A310" s="142">
        <v>8716</v>
      </c>
      <c r="B310" s="142">
        <v>56.87</v>
      </c>
      <c r="C310" s="142">
        <v>186.21</v>
      </c>
      <c r="E310" s="141">
        <v>0.55246728889760244</v>
      </c>
      <c r="G310" s="141">
        <v>-79.23805567218065</v>
      </c>
      <c r="H310" s="141">
        <v>-9.7004814763437412</v>
      </c>
      <c r="I310" s="141">
        <v>53.315101309415354</v>
      </c>
      <c r="K310" s="141">
        <v>-1412.8541667413276</v>
      </c>
      <c r="L310" s="141">
        <v>-713.55860567568595</v>
      </c>
      <c r="M310" s="141">
        <v>8122.9570805338444</v>
      </c>
    </row>
    <row r="311" spans="1:13" x14ac:dyDescent="0.3">
      <c r="A311" s="142">
        <v>8812</v>
      </c>
      <c r="B311" s="142">
        <v>58.11</v>
      </c>
      <c r="C311" s="142">
        <v>184.78</v>
      </c>
      <c r="E311" s="141">
        <v>0.5405152360537917</v>
      </c>
      <c r="G311" s="141">
        <v>-80.580338442380082</v>
      </c>
      <c r="H311" s="141">
        <v>-7.7449074001349141</v>
      </c>
      <c r="I311" s="141">
        <v>51.595790466911637</v>
      </c>
      <c r="K311" s="141">
        <v>-1493.4345051837076</v>
      </c>
      <c r="L311" s="141">
        <v>-721.30351307582089</v>
      </c>
      <c r="M311" s="141">
        <v>8174.5528710007557</v>
      </c>
    </row>
    <row r="312" spans="1:13" x14ac:dyDescent="0.3">
      <c r="A312" s="142">
        <v>8909</v>
      </c>
      <c r="B312" s="142">
        <v>59.39</v>
      </c>
      <c r="C312" s="142">
        <v>183.78</v>
      </c>
      <c r="E312" s="141">
        <v>0.47604813865231999</v>
      </c>
      <c r="G312" s="141">
        <v>-82.692221780419899</v>
      </c>
      <c r="H312" s="141">
        <v>-6.1837129090394027</v>
      </c>
      <c r="I312" s="141">
        <v>50.320893189550482</v>
      </c>
      <c r="K312" s="141">
        <v>-1576.1267269641276</v>
      </c>
      <c r="L312" s="141">
        <v>-727.48722598486029</v>
      </c>
      <c r="M312" s="141">
        <v>8224.8737641903062</v>
      </c>
    </row>
    <row r="313" spans="1:13" x14ac:dyDescent="0.3">
      <c r="A313" s="142">
        <v>9005</v>
      </c>
      <c r="B313" s="142">
        <v>61.09</v>
      </c>
      <c r="C313" s="142">
        <v>183.01</v>
      </c>
      <c r="E313" s="141">
        <v>0.57083700085215383</v>
      </c>
      <c r="G313" s="141">
        <v>-83.188806362527274</v>
      </c>
      <c r="H313" s="141">
        <v>-4.9302818754024154</v>
      </c>
      <c r="I313" s="141">
        <v>47.650123003108163</v>
      </c>
      <c r="K313" s="141">
        <v>-1659.3155333266548</v>
      </c>
      <c r="L313" s="141">
        <v>-732.41750786026273</v>
      </c>
      <c r="M313" s="141">
        <v>8272.5238871934143</v>
      </c>
    </row>
    <row r="314" spans="1:13" x14ac:dyDescent="0.3">
      <c r="A314" s="142">
        <v>9100</v>
      </c>
      <c r="B314" s="142">
        <v>62.94</v>
      </c>
      <c r="C314" s="142">
        <v>182.17</v>
      </c>
      <c r="E314" s="141">
        <v>0.629415708557578</v>
      </c>
      <c r="G314" s="141">
        <v>-83.801513797321917</v>
      </c>
      <c r="H314" s="141">
        <v>-3.785467142728506</v>
      </c>
      <c r="I314" s="141">
        <v>44.57652337860317</v>
      </c>
      <c r="K314" s="141">
        <v>-1743.1170471239766</v>
      </c>
      <c r="L314" s="141">
        <v>-736.20297500299125</v>
      </c>
      <c r="M314" s="141">
        <v>8317.1004105720167</v>
      </c>
    </row>
    <row r="315" spans="1:13" x14ac:dyDescent="0.3">
      <c r="A315" s="142">
        <v>9197</v>
      </c>
      <c r="B315" s="142">
        <v>64.91</v>
      </c>
      <c r="C315" s="142">
        <v>181.9</v>
      </c>
      <c r="E315" s="141">
        <v>0.61387706186518931</v>
      </c>
      <c r="G315" s="141">
        <v>-87.06799804970268</v>
      </c>
      <c r="H315" s="141">
        <v>-3.0920060904429643</v>
      </c>
      <c r="I315" s="141">
        <v>42.63405060357487</v>
      </c>
      <c r="K315" s="141">
        <v>-1830.1850451736793</v>
      </c>
      <c r="L315" s="141">
        <v>-739.29498109343422</v>
      </c>
      <c r="M315" s="141">
        <v>8359.7344611755907</v>
      </c>
    </row>
    <row r="316" spans="1:13" x14ac:dyDescent="0.3">
      <c r="A316" s="142">
        <v>9293</v>
      </c>
      <c r="B316" s="142">
        <v>65.17</v>
      </c>
      <c r="C316" s="142">
        <v>181.76</v>
      </c>
      <c r="E316" s="141">
        <v>9.041449013487525E-2</v>
      </c>
      <c r="G316" s="141">
        <v>-86.989360809566335</v>
      </c>
      <c r="H316" s="141">
        <v>-2.7792317025868707</v>
      </c>
      <c r="I316" s="141">
        <v>40.510583722374996</v>
      </c>
      <c r="K316" s="141">
        <v>-1917.1744059832456</v>
      </c>
      <c r="L316" s="141">
        <v>-742.07421279602113</v>
      </c>
      <c r="M316" s="141">
        <v>8400.2450448979653</v>
      </c>
    </row>
    <row r="317" spans="1:13" x14ac:dyDescent="0.3">
      <c r="A317" s="142">
        <v>9390</v>
      </c>
      <c r="B317" s="142">
        <v>65.08</v>
      </c>
      <c r="C317" s="142">
        <v>181.47</v>
      </c>
      <c r="E317" s="141">
        <v>8.5999106125460079E-2</v>
      </c>
      <c r="G317" s="141">
        <v>-87.965985984766576</v>
      </c>
      <c r="H317" s="141">
        <v>-2.480241182020261</v>
      </c>
      <c r="I317" s="141">
        <v>40.802147566272353</v>
      </c>
      <c r="K317" s="141">
        <v>-2005.1403919680122</v>
      </c>
      <c r="L317" s="141">
        <v>-744.55445397804135</v>
      </c>
      <c r="M317" s="141">
        <v>8441.047192464237</v>
      </c>
    </row>
    <row r="318" spans="1:13" x14ac:dyDescent="0.3">
      <c r="A318" s="142">
        <v>9484</v>
      </c>
      <c r="B318" s="142">
        <v>65.16</v>
      </c>
      <c r="C318" s="142">
        <v>181.43</v>
      </c>
      <c r="E318" s="141">
        <v>2.8035725895426855E-2</v>
      </c>
      <c r="G318" s="141">
        <v>-85.248631851444642</v>
      </c>
      <c r="H318" s="141">
        <v>-2.1578615519623598</v>
      </c>
      <c r="I318" s="141">
        <v>39.547600054913119</v>
      </c>
      <c r="K318" s="141">
        <v>-2090.3890238194567</v>
      </c>
      <c r="L318" s="141">
        <v>-746.71231553000371</v>
      </c>
      <c r="M318" s="141">
        <v>8480.5947925191504</v>
      </c>
    </row>
    <row r="319" spans="1:13" x14ac:dyDescent="0.3">
      <c r="A319" s="142">
        <v>9580</v>
      </c>
      <c r="B319" s="142">
        <v>65.16</v>
      </c>
      <c r="C319" s="142">
        <v>181.15</v>
      </c>
      <c r="E319" s="141">
        <v>7.9404873203326398E-2</v>
      </c>
      <c r="G319" s="141">
        <v>-87.096307643115864</v>
      </c>
      <c r="H319" s="141">
        <v>-1.9612827734319831</v>
      </c>
      <c r="I319" s="141">
        <v>40.328296023928502</v>
      </c>
      <c r="K319" s="141">
        <v>-2177.4853314625725</v>
      </c>
      <c r="L319" s="141">
        <v>-748.67359830343571</v>
      </c>
      <c r="M319" s="141">
        <v>8520.9230885430788</v>
      </c>
    </row>
    <row r="320" spans="1:13" x14ac:dyDescent="0.3">
      <c r="A320" s="142">
        <v>9678</v>
      </c>
      <c r="B320" s="142">
        <v>65.09</v>
      </c>
      <c r="C320" s="142">
        <v>180.63</v>
      </c>
      <c r="E320" s="141">
        <v>0.14599686827757491</v>
      </c>
      <c r="G320" s="141">
        <v>-88.897162283881144</v>
      </c>
      <c r="H320" s="141">
        <v>-1.3811032357541797</v>
      </c>
      <c r="I320" s="141">
        <v>41.222950394122194</v>
      </c>
      <c r="K320" s="141">
        <v>-2266.3824937464537</v>
      </c>
      <c r="L320" s="141">
        <v>-750.05470153918986</v>
      </c>
      <c r="M320" s="141">
        <v>8562.1460389372005</v>
      </c>
    </row>
    <row r="321" spans="1:13" x14ac:dyDescent="0.3">
      <c r="A321" s="142">
        <v>9774</v>
      </c>
      <c r="B321" s="142">
        <v>65.13</v>
      </c>
      <c r="C321" s="142">
        <v>180.28</v>
      </c>
      <c r="E321" s="141">
        <v>0.10000026800596722</v>
      </c>
      <c r="G321" s="141">
        <v>-87.080347910323837</v>
      </c>
      <c r="H321" s="141">
        <v>-0.69149810531142175</v>
      </c>
      <c r="I321" s="141">
        <v>40.404342365581712</v>
      </c>
      <c r="K321" s="141">
        <v>-2353.4628416567775</v>
      </c>
      <c r="L321" s="141">
        <v>-750.7461996445013</v>
      </c>
      <c r="M321" s="141">
        <v>8602.5503813027826</v>
      </c>
    </row>
    <row r="322" spans="1:13" x14ac:dyDescent="0.3">
      <c r="A322" s="142">
        <v>9870</v>
      </c>
      <c r="B322" s="142">
        <v>65.19</v>
      </c>
      <c r="C322" s="142">
        <v>180.25</v>
      </c>
      <c r="E322" s="141">
        <v>2.0589873183399731E-2</v>
      </c>
      <c r="G322" s="141">
        <v>-87.117567647155894</v>
      </c>
      <c r="H322" s="141">
        <v>-0.40292676880102618</v>
      </c>
      <c r="I322" s="141">
        <v>40.328228843589613</v>
      </c>
      <c r="K322" s="141">
        <v>-2440.5804093039333</v>
      </c>
      <c r="L322" s="141">
        <v>-751.14912641330238</v>
      </c>
      <c r="M322" s="141">
        <v>8642.878610146372</v>
      </c>
    </row>
    <row r="323" spans="1:13" x14ac:dyDescent="0.3">
      <c r="A323" s="142">
        <v>9964</v>
      </c>
      <c r="B323" s="142">
        <v>65.12</v>
      </c>
      <c r="C323" s="142">
        <v>180.36</v>
      </c>
      <c r="E323" s="141">
        <v>3.8909845717738173E-2</v>
      </c>
      <c r="G323" s="141">
        <v>-85.298858118868012</v>
      </c>
      <c r="H323" s="141">
        <v>-0.4540486353042294</v>
      </c>
      <c r="I323" s="141">
        <v>39.495509991473995</v>
      </c>
      <c r="K323" s="141">
        <v>-2525.8792674228011</v>
      </c>
      <c r="L323" s="141">
        <v>-751.60317504860666</v>
      </c>
      <c r="M323" s="141">
        <v>8682.3741201378452</v>
      </c>
    </row>
    <row r="324" spans="1:13" x14ac:dyDescent="0.3">
      <c r="A324" s="142">
        <v>10062</v>
      </c>
      <c r="B324" s="142">
        <v>65.33</v>
      </c>
      <c r="C324" s="142">
        <v>180.52</v>
      </c>
      <c r="E324" s="141">
        <v>7.8168831537929528E-2</v>
      </c>
      <c r="G324" s="141">
        <v>-88.977407019124939</v>
      </c>
      <c r="H324" s="141">
        <v>-0.68341595209943529</v>
      </c>
      <c r="I324" s="141">
        <v>41.067482102790329</v>
      </c>
      <c r="K324" s="141">
        <v>-2614.8566744419259</v>
      </c>
      <c r="L324" s="141">
        <v>-752.28659100070604</v>
      </c>
      <c r="M324" s="141">
        <v>8723.4416022406349</v>
      </c>
    </row>
    <row r="325" spans="1:13" x14ac:dyDescent="0.3">
      <c r="A325" s="142">
        <v>10157</v>
      </c>
      <c r="B325" s="142">
        <v>65.319999999999993</v>
      </c>
      <c r="C325" s="142">
        <v>180.77</v>
      </c>
      <c r="E325" s="141">
        <v>7.1808177972758208E-2</v>
      </c>
      <c r="G325" s="141">
        <v>-86.320027629613648</v>
      </c>
      <c r="H325" s="141">
        <v>-0.97177030654758045</v>
      </c>
      <c r="I325" s="141">
        <v>39.659761048948667</v>
      </c>
      <c r="K325" s="141">
        <v>-2701.1767020715397</v>
      </c>
      <c r="L325" s="141">
        <v>-753.25836130725361</v>
      </c>
      <c r="M325" s="141">
        <v>8763.1013632895829</v>
      </c>
    </row>
    <row r="326" spans="1:13" x14ac:dyDescent="0.3">
      <c r="A326" s="142">
        <v>10254</v>
      </c>
      <c r="B326" s="142">
        <v>65.27</v>
      </c>
      <c r="C326" s="142">
        <v>181.07</v>
      </c>
      <c r="E326" s="141">
        <v>8.5697921724767714E-2</v>
      </c>
      <c r="G326" s="141">
        <v>-88.110257946641184</v>
      </c>
      <c r="H326" s="141">
        <v>-1.4148642644602363</v>
      </c>
      <c r="I326" s="141">
        <v>40.540871542532877</v>
      </c>
      <c r="K326" s="141">
        <v>-2789.2869600181807</v>
      </c>
      <c r="L326" s="141">
        <v>-754.67322557171383</v>
      </c>
      <c r="M326" s="141">
        <v>8803.6422348321157</v>
      </c>
    </row>
    <row r="327" spans="1:13" x14ac:dyDescent="0.3">
      <c r="A327" s="142">
        <v>10350</v>
      </c>
      <c r="B327" s="142">
        <v>65.36</v>
      </c>
      <c r="C327" s="142">
        <v>181.21</v>
      </c>
      <c r="E327" s="141">
        <v>4.8695357636677365E-2</v>
      </c>
      <c r="G327" s="141">
        <v>-87.209979970164227</v>
      </c>
      <c r="H327" s="141">
        <v>-1.7354629630372063</v>
      </c>
      <c r="I327" s="141">
        <v>40.092416756170387</v>
      </c>
      <c r="K327" s="141">
        <v>-2876.4969399883448</v>
      </c>
      <c r="L327" s="141">
        <v>-756.40868853475104</v>
      </c>
      <c r="M327" s="141">
        <v>8843.7346515882855</v>
      </c>
    </row>
    <row r="328" spans="1:13" x14ac:dyDescent="0.3">
      <c r="A328" s="142">
        <v>10446</v>
      </c>
      <c r="B328" s="142">
        <v>65.33</v>
      </c>
      <c r="C328" s="142">
        <v>181.18</v>
      </c>
      <c r="E328" s="141">
        <v>1.2668337988531861E-2</v>
      </c>
      <c r="G328" s="141">
        <v>-87.229286311711178</v>
      </c>
      <c r="H328" s="141">
        <v>-1.8195803016503262</v>
      </c>
      <c r="I328" s="141">
        <v>40.046727114856715</v>
      </c>
      <c r="K328" s="141">
        <v>-2963.7262263000562</v>
      </c>
      <c r="L328" s="141">
        <v>-758.22826883640141</v>
      </c>
      <c r="M328" s="141">
        <v>8883.7813787031428</v>
      </c>
    </row>
    <row r="329" spans="1:13" x14ac:dyDescent="0.3">
      <c r="A329" s="142">
        <v>10541</v>
      </c>
      <c r="B329" s="142">
        <v>65.319999999999993</v>
      </c>
      <c r="C329" s="142">
        <v>181.24</v>
      </c>
      <c r="E329" s="141">
        <v>1.7504497786333235E-2</v>
      </c>
      <c r="G329" s="141">
        <v>-86.306335030075616</v>
      </c>
      <c r="H329" s="141">
        <v>-1.8229281496050163</v>
      </c>
      <c r="I329" s="141">
        <v>39.659712085634972</v>
      </c>
      <c r="K329" s="141">
        <v>-3050.032561330132</v>
      </c>
      <c r="L329" s="141">
        <v>-760.0511969860064</v>
      </c>
      <c r="M329" s="141">
        <v>8923.4410907887777</v>
      </c>
    </row>
    <row r="330" spans="1:13" x14ac:dyDescent="0.3">
      <c r="A330" s="142">
        <v>10638</v>
      </c>
      <c r="B330" s="142">
        <v>65.3</v>
      </c>
      <c r="C330" s="142">
        <v>181.33</v>
      </c>
      <c r="E330" s="141">
        <v>2.6035852585003117E-2</v>
      </c>
      <c r="G330" s="141">
        <v>-88.11018969304186</v>
      </c>
      <c r="H330" s="141">
        <v>-1.9764154256035757</v>
      </c>
      <c r="I330" s="141">
        <v>40.517731448018196</v>
      </c>
      <c r="K330" s="141">
        <v>-3138.1427510231738</v>
      </c>
      <c r="L330" s="141">
        <v>-762.02761241160999</v>
      </c>
      <c r="M330" s="141">
        <v>8963.9588222367965</v>
      </c>
    </row>
    <row r="331" spans="1:13" x14ac:dyDescent="0.3">
      <c r="A331" s="142">
        <v>10734</v>
      </c>
      <c r="B331" s="142">
        <v>65.290000000000006</v>
      </c>
      <c r="C331" s="142">
        <v>181.31</v>
      </c>
      <c r="E331" s="141">
        <v>6.4811048641371773E-3</v>
      </c>
      <c r="G331" s="141">
        <v>-87.19013940065804</v>
      </c>
      <c r="H331" s="141">
        <v>-2.009072682803053</v>
      </c>
      <c r="I331" s="141">
        <v>40.122850317769675</v>
      </c>
      <c r="K331" s="141">
        <v>-3225.3328904238319</v>
      </c>
      <c r="L331" s="141">
        <v>-764.03668509441309</v>
      </c>
      <c r="M331" s="141">
        <v>9004.0816725545665</v>
      </c>
    </row>
    <row r="332" spans="1:13" x14ac:dyDescent="0.3">
      <c r="A332" s="142">
        <v>10831</v>
      </c>
      <c r="B332" s="142">
        <v>65.430000000000007</v>
      </c>
      <c r="C332" s="142">
        <v>181.25</v>
      </c>
      <c r="E332" s="141">
        <v>4.6468236893792411E-2</v>
      </c>
      <c r="G332" s="141">
        <v>-88.145663604842312</v>
      </c>
      <c r="H332" s="141">
        <v>-1.9694948130725534</v>
      </c>
      <c r="I332" s="141">
        <v>40.440792352370543</v>
      </c>
      <c r="K332" s="141">
        <v>-3313.4785540286744</v>
      </c>
      <c r="L332" s="141">
        <v>-766.0061799074856</v>
      </c>
      <c r="M332" s="141">
        <v>9044.5224649069369</v>
      </c>
    </row>
    <row r="333" spans="1:13" x14ac:dyDescent="0.3">
      <c r="A333" s="142">
        <v>10928</v>
      </c>
      <c r="B333" s="142">
        <v>65.39</v>
      </c>
      <c r="C333" s="142">
        <v>181.14</v>
      </c>
      <c r="E333" s="141">
        <v>3.3317177190119604E-2</v>
      </c>
      <c r="G333" s="141">
        <v>-88.183744931545078</v>
      </c>
      <c r="H333" s="141">
        <v>-1.8395008136841529</v>
      </c>
      <c r="I333" s="141">
        <v>40.363852576944851</v>
      </c>
      <c r="K333" s="141">
        <v>-3401.6622989602192</v>
      </c>
      <c r="L333" s="141">
        <v>-767.84568072116974</v>
      </c>
      <c r="M333" s="141">
        <v>9084.8863174838825</v>
      </c>
    </row>
    <row r="334" spans="1:13" x14ac:dyDescent="0.3">
      <c r="A334" s="142">
        <v>11058</v>
      </c>
      <c r="B334" s="142">
        <v>63.67</v>
      </c>
      <c r="C334" s="142">
        <v>177.78</v>
      </c>
      <c r="E334" s="141">
        <v>0.80467117371232821</v>
      </c>
      <c r="G334" s="141">
        <v>-117.33294910951822</v>
      </c>
      <c r="H334" s="141">
        <v>1.0812610789972574</v>
      </c>
      <c r="I334" s="141">
        <v>55.915959504391623</v>
      </c>
      <c r="K334" s="141">
        <v>-3518.9952480697375</v>
      </c>
      <c r="L334" s="141">
        <v>-766.76441964217247</v>
      </c>
      <c r="M334" s="141">
        <v>9140.8022769882737</v>
      </c>
    </row>
    <row r="335" spans="1:13" x14ac:dyDescent="0.3">
      <c r="A335" s="142">
        <v>11156</v>
      </c>
      <c r="B335" s="142">
        <v>62.87</v>
      </c>
      <c r="C335" s="142">
        <v>177.33</v>
      </c>
      <c r="E335" s="141">
        <v>0.27406557049106661</v>
      </c>
      <c r="G335" s="141">
        <v>-87.446671799450158</v>
      </c>
      <c r="H335" s="141">
        <v>3.7326952804594815</v>
      </c>
      <c r="I335" s="141">
        <v>44.078919790259249</v>
      </c>
      <c r="K335" s="141">
        <v>-3606.4419198691876</v>
      </c>
      <c r="L335" s="141">
        <v>-763.03172436171303</v>
      </c>
      <c r="M335" s="141">
        <v>9184.8811967785332</v>
      </c>
    </row>
    <row r="336" spans="1:13" x14ac:dyDescent="0.3">
      <c r="A336" s="142">
        <v>11250</v>
      </c>
      <c r="B336" s="142">
        <v>63.65</v>
      </c>
      <c r="C336" s="142">
        <v>178.4</v>
      </c>
      <c r="E336" s="141">
        <v>0.39366561347775875</v>
      </c>
      <c r="G336" s="141">
        <v>-83.886869118769525</v>
      </c>
      <c r="H336" s="141">
        <v>3.1246153903171678</v>
      </c>
      <c r="I336" s="141">
        <v>42.295256282231072</v>
      </c>
      <c r="K336" s="141">
        <v>-3690.3287889879571</v>
      </c>
      <c r="L336" s="141">
        <v>-759.90710897139581</v>
      </c>
      <c r="M336" s="141">
        <v>9227.1764530607634</v>
      </c>
    </row>
    <row r="337" spans="1:13" x14ac:dyDescent="0.3">
      <c r="A337" s="142">
        <v>11346</v>
      </c>
      <c r="B337" s="142">
        <v>63.59</v>
      </c>
      <c r="C337" s="142">
        <v>179.24</v>
      </c>
      <c r="E337" s="141">
        <v>0.2359109275708883</v>
      </c>
      <c r="G337" s="141">
        <v>-85.983903732256337</v>
      </c>
      <c r="H337" s="141">
        <v>1.771242784870025</v>
      </c>
      <c r="I337" s="141">
        <v>42.655570252861622</v>
      </c>
      <c r="K337" s="141">
        <v>-3776.3126927202134</v>
      </c>
      <c r="L337" s="141">
        <v>-758.13586618652585</v>
      </c>
      <c r="M337" s="141">
        <v>9269.8320233136255</v>
      </c>
    </row>
    <row r="338" spans="1:13" x14ac:dyDescent="0.3">
      <c r="A338" s="142">
        <v>11443</v>
      </c>
      <c r="B338" s="142">
        <v>63.59</v>
      </c>
      <c r="C338" s="142">
        <v>180.25</v>
      </c>
      <c r="E338" s="141">
        <v>0.27976953629684592</v>
      </c>
      <c r="G338" s="141">
        <v>-86.874081565163621</v>
      </c>
      <c r="H338" s="141">
        <v>0.38664343612791591</v>
      </c>
      <c r="I338" s="141">
        <v>43.145672069135543</v>
      </c>
      <c r="K338" s="141">
        <v>-3863.1867742853769</v>
      </c>
      <c r="L338" s="141">
        <v>-757.74922275039796</v>
      </c>
      <c r="M338" s="141">
        <v>9312.9776953827604</v>
      </c>
    </row>
    <row r="339" spans="1:13" x14ac:dyDescent="0.3">
      <c r="A339" s="142">
        <v>11539</v>
      </c>
      <c r="B339" s="142">
        <v>63.58</v>
      </c>
      <c r="C339" s="142">
        <v>180.94</v>
      </c>
      <c r="E339" s="141">
        <v>0.19313779358039543</v>
      </c>
      <c r="G339" s="141">
        <v>-85.971790162760385</v>
      </c>
      <c r="H339" s="141">
        <v>-0.89280167964061807</v>
      </c>
      <c r="I339" s="141">
        <v>42.707901379242919</v>
      </c>
      <c r="K339" s="141">
        <v>-3949.1585644481374</v>
      </c>
      <c r="L339" s="141">
        <v>-758.64202443003853</v>
      </c>
      <c r="M339" s="141">
        <v>9355.6855967620031</v>
      </c>
    </row>
    <row r="340" spans="1:13" x14ac:dyDescent="0.3">
      <c r="A340" s="142">
        <v>11635</v>
      </c>
      <c r="B340" s="142">
        <v>63.76</v>
      </c>
      <c r="C340" s="142">
        <v>181.62</v>
      </c>
      <c r="E340" s="141">
        <v>0.19858667919919148</v>
      </c>
      <c r="G340" s="141">
        <v>-86.018196760779873</v>
      </c>
      <c r="H340" s="141">
        <v>-1.9223817157489864</v>
      </c>
      <c r="I340" s="141">
        <v>42.580274777363698</v>
      </c>
      <c r="K340" s="141">
        <v>-4035.1767612089175</v>
      </c>
      <c r="L340" s="141">
        <v>-760.56440614578753</v>
      </c>
      <c r="M340" s="141">
        <v>9398.2658715393663</v>
      </c>
    </row>
    <row r="341" spans="1:13" x14ac:dyDescent="0.3">
      <c r="A341" s="142">
        <v>11730</v>
      </c>
      <c r="B341" s="142">
        <v>63.91</v>
      </c>
      <c r="C341" s="142">
        <v>181.79</v>
      </c>
      <c r="E341" s="141">
        <v>6.7567548379524597E-2</v>
      </c>
      <c r="G341" s="141">
        <v>-85.227330931137033</v>
      </c>
      <c r="H341" s="141">
        <v>-2.5370135747851581</v>
      </c>
      <c r="I341" s="141">
        <v>41.890991111004439</v>
      </c>
      <c r="K341" s="141">
        <v>-4120.4040921400547</v>
      </c>
      <c r="L341" s="141">
        <v>-763.10141972057272</v>
      </c>
      <c r="M341" s="141">
        <v>9440.1568626503704</v>
      </c>
    </row>
    <row r="342" spans="1:13" x14ac:dyDescent="0.3">
      <c r="A342" s="142">
        <v>11826</v>
      </c>
      <c r="B342" s="142">
        <v>64.38</v>
      </c>
      <c r="C342" s="142">
        <v>181.59</v>
      </c>
      <c r="E342" s="141">
        <v>0.15727554852278577</v>
      </c>
      <c r="G342" s="141">
        <v>-86.352582538612452</v>
      </c>
      <c r="H342" s="141">
        <v>-2.5475004288567913</v>
      </c>
      <c r="I342" s="141">
        <v>41.865050744161486</v>
      </c>
      <c r="K342" s="141">
        <v>-4206.756674678667</v>
      </c>
      <c r="L342" s="141">
        <v>-765.6489201494295</v>
      </c>
      <c r="M342" s="141">
        <v>9482.021913394532</v>
      </c>
    </row>
    <row r="343" spans="1:13" x14ac:dyDescent="0.3">
      <c r="A343" s="142">
        <v>11923</v>
      </c>
      <c r="B343" s="142">
        <v>64.58</v>
      </c>
      <c r="C343" s="142">
        <v>181.39</v>
      </c>
      <c r="E343" s="141">
        <v>8.3319089336363228E-2</v>
      </c>
      <c r="G343" s="141">
        <v>-87.506490501829148</v>
      </c>
      <c r="H343" s="141">
        <v>-2.2760275872427163</v>
      </c>
      <c r="I343" s="141">
        <v>41.790148171102835</v>
      </c>
      <c r="K343" s="141">
        <v>-4294.2631651804959</v>
      </c>
      <c r="L343" s="141">
        <v>-767.92494773667227</v>
      </c>
      <c r="M343" s="141">
        <v>9523.8120615656353</v>
      </c>
    </row>
    <row r="344" spans="1:13" x14ac:dyDescent="0.3">
      <c r="A344" s="142">
        <v>12020</v>
      </c>
      <c r="B344" s="142">
        <v>63.81</v>
      </c>
      <c r="C344" s="142">
        <v>181.82</v>
      </c>
      <c r="E344" s="141">
        <v>0.2665467148643349</v>
      </c>
      <c r="G344" s="141">
        <v>-87.292066050879015</v>
      </c>
      <c r="H344" s="141">
        <v>-2.4448466961381206</v>
      </c>
      <c r="I344" s="141">
        <v>42.224880414967544</v>
      </c>
      <c r="K344" s="141">
        <v>-4381.5552312313748</v>
      </c>
      <c r="L344" s="141">
        <v>-770.36979443281041</v>
      </c>
      <c r="M344" s="141">
        <v>9566.0369419806029</v>
      </c>
    </row>
    <row r="345" spans="1:13" x14ac:dyDescent="0.3">
      <c r="A345" s="142">
        <v>12114</v>
      </c>
      <c r="B345" s="142">
        <v>63.73</v>
      </c>
      <c r="C345" s="142">
        <v>183.1</v>
      </c>
      <c r="E345" s="141">
        <v>0.36733195260287921</v>
      </c>
      <c r="G345" s="141">
        <v>-84.240408523384076</v>
      </c>
      <c r="H345" s="141">
        <v>-3.6187701589866186</v>
      </c>
      <c r="I345" s="141">
        <v>41.547093029995224</v>
      </c>
      <c r="K345" s="141">
        <v>-4465.7956397547587</v>
      </c>
      <c r="L345" s="141">
        <v>-773.98856459179706</v>
      </c>
      <c r="M345" s="141">
        <v>9607.5840350105973</v>
      </c>
    </row>
    <row r="346" spans="1:13" x14ac:dyDescent="0.3">
      <c r="A346" s="142">
        <v>12210</v>
      </c>
      <c r="B346" s="142">
        <v>63.76</v>
      </c>
      <c r="C346" s="142">
        <v>184.64</v>
      </c>
      <c r="E346" s="141">
        <v>0.4317006872127167</v>
      </c>
      <c r="G346" s="141">
        <v>-85.896148577219094</v>
      </c>
      <c r="H346" s="141">
        <v>-5.8107791631482764</v>
      </c>
      <c r="I346" s="141">
        <v>42.469283664364532</v>
      </c>
      <c r="K346" s="141">
        <v>-4551.6917883319775</v>
      </c>
      <c r="L346" s="141">
        <v>-779.79934375494531</v>
      </c>
      <c r="M346" s="141">
        <v>9650.0533186749617</v>
      </c>
    </row>
    <row r="347" spans="1:13" x14ac:dyDescent="0.3">
      <c r="A347" s="142">
        <v>12307</v>
      </c>
      <c r="B347" s="142">
        <v>63.8</v>
      </c>
      <c r="C347" s="142">
        <v>185.53</v>
      </c>
      <c r="E347" s="141">
        <v>0.24724406998242013</v>
      </c>
      <c r="G347" s="141">
        <v>-86.675402973998374</v>
      </c>
      <c r="H347" s="141">
        <v>-7.7128185056857186</v>
      </c>
      <c r="I347" s="141">
        <v>42.85713838460584</v>
      </c>
      <c r="K347" s="141">
        <v>-4638.3671913059761</v>
      </c>
      <c r="L347" s="141">
        <v>-787.51216226063104</v>
      </c>
      <c r="M347" s="141">
        <v>9692.9104570595682</v>
      </c>
    </row>
    <row r="348" spans="1:13" x14ac:dyDescent="0.3">
      <c r="A348" s="142">
        <v>12403</v>
      </c>
      <c r="B348" s="142">
        <v>63.85</v>
      </c>
      <c r="C348" s="142">
        <v>185.57</v>
      </c>
      <c r="E348" s="141">
        <v>1.9235051308664628E-2</v>
      </c>
      <c r="G348" s="141">
        <v>-85.75140263306254</v>
      </c>
      <c r="H348" s="141">
        <v>-8.3324598159880665</v>
      </c>
      <c r="I348" s="141">
        <v>42.346973605356453</v>
      </c>
      <c r="K348" s="141">
        <v>-4724.1185939390389</v>
      </c>
      <c r="L348" s="141">
        <v>-795.84462207661909</v>
      </c>
      <c r="M348" s="141">
        <v>9735.257430664924</v>
      </c>
    </row>
    <row r="349" spans="1:13" x14ac:dyDescent="0.3">
      <c r="A349" s="142">
        <v>12500</v>
      </c>
      <c r="B349" s="142">
        <v>63.83</v>
      </c>
      <c r="C349" s="142">
        <v>185.3</v>
      </c>
      <c r="E349" s="141">
        <v>7.5206212424566279E-2</v>
      </c>
      <c r="G349" s="141">
        <v>-86.672411301583054</v>
      </c>
      <c r="H349" s="141">
        <v>-8.2463940760219145</v>
      </c>
      <c r="I349" s="141">
        <v>42.765359591297099</v>
      </c>
      <c r="K349" s="141">
        <v>-4810.7910052406223</v>
      </c>
      <c r="L349" s="141">
        <v>-804.09101615264103</v>
      </c>
      <c r="M349" s="141">
        <v>9778.0227902562219</v>
      </c>
    </row>
    <row r="350" spans="1:13" x14ac:dyDescent="0.3">
      <c r="A350" s="142">
        <v>12596</v>
      </c>
      <c r="B350" s="142">
        <v>63.86</v>
      </c>
      <c r="C350" s="142">
        <v>184.9</v>
      </c>
      <c r="E350" s="141">
        <v>0.11259154612687942</v>
      </c>
      <c r="G350" s="141">
        <v>-85.828684444209458</v>
      </c>
      <c r="H350" s="141">
        <v>-7.6599671922690469</v>
      </c>
      <c r="I350" s="141">
        <v>42.317035109284859</v>
      </c>
      <c r="K350" s="141">
        <v>-4896.6196896848314</v>
      </c>
      <c r="L350" s="141">
        <v>-811.75098334491008</v>
      </c>
      <c r="M350" s="141">
        <v>9820.3398253655068</v>
      </c>
    </row>
    <row r="351" spans="1:13" x14ac:dyDescent="0.3">
      <c r="A351" s="142">
        <v>12693</v>
      </c>
      <c r="B351" s="142">
        <v>63.87</v>
      </c>
      <c r="C351" s="142">
        <v>183.99</v>
      </c>
      <c r="E351" s="141">
        <v>0.25268657235276759</v>
      </c>
      <c r="G351" s="141">
        <v>-86.819398089037648</v>
      </c>
      <c r="H351" s="141">
        <v>-6.7489545765626922</v>
      </c>
      <c r="I351" s="141">
        <v>42.728027033586393</v>
      </c>
      <c r="K351" s="141">
        <v>-4983.4390877738688</v>
      </c>
      <c r="L351" s="141">
        <v>-818.49993792147279</v>
      </c>
      <c r="M351" s="141">
        <v>9863.0678523990937</v>
      </c>
    </row>
    <row r="352" spans="1:13" x14ac:dyDescent="0.3">
      <c r="A352" s="142">
        <v>12788</v>
      </c>
      <c r="B352" s="142">
        <v>63.93</v>
      </c>
      <c r="C352" s="142">
        <v>183.53</v>
      </c>
      <c r="E352" s="141">
        <v>0.13181907597671749</v>
      </c>
      <c r="G352" s="141">
        <v>-85.128668426537331</v>
      </c>
      <c r="H352" s="141">
        <v>-5.59446143274638</v>
      </c>
      <c r="I352" s="141">
        <v>41.79440027161337</v>
      </c>
      <c r="K352" s="141">
        <v>-5068.5677562004057</v>
      </c>
      <c r="L352" s="141">
        <v>-824.09439935421915</v>
      </c>
      <c r="M352" s="141">
        <v>9904.8622526707077</v>
      </c>
    </row>
    <row r="353" spans="1:13" x14ac:dyDescent="0.3">
      <c r="A353" s="142">
        <v>12885</v>
      </c>
      <c r="B353" s="142">
        <v>63.78</v>
      </c>
      <c r="C353" s="142">
        <v>182.62</v>
      </c>
      <c r="E353" s="141">
        <v>0.25686987952792589</v>
      </c>
      <c r="G353" s="141">
        <v>-86.94844111817396</v>
      </c>
      <c r="H353" s="141">
        <v>-4.6713554065373195</v>
      </c>
      <c r="I353" s="141">
        <v>42.743213142971101</v>
      </c>
      <c r="K353" s="141">
        <v>-5155.5161973185795</v>
      </c>
      <c r="L353" s="141">
        <v>-828.76575476075652</v>
      </c>
      <c r="M353" s="141">
        <v>9947.6054658136782</v>
      </c>
    </row>
    <row r="354" spans="1:13" x14ac:dyDescent="0.3">
      <c r="A354" s="142">
        <v>12981</v>
      </c>
      <c r="B354" s="142">
        <v>63.62</v>
      </c>
      <c r="C354" s="142">
        <v>181.85</v>
      </c>
      <c r="E354" s="141">
        <v>0.22143544117622649</v>
      </c>
      <c r="G354" s="141">
        <v>-85.996282962517085</v>
      </c>
      <c r="H354" s="141">
        <v>-3.3566542390443086</v>
      </c>
      <c r="I354" s="141">
        <v>42.535335006219512</v>
      </c>
      <c r="K354" s="141">
        <v>-5241.5124802810969</v>
      </c>
      <c r="L354" s="141">
        <v>-832.12240899980088</v>
      </c>
      <c r="M354" s="141">
        <v>9990.1408008198978</v>
      </c>
    </row>
    <row r="355" spans="1:13" x14ac:dyDescent="0.3">
      <c r="A355" s="142">
        <v>13078</v>
      </c>
      <c r="B355" s="142">
        <v>63.49</v>
      </c>
      <c r="C355" s="142">
        <v>181.84</v>
      </c>
      <c r="E355" s="141">
        <v>4.0301434320936393E-2</v>
      </c>
      <c r="G355" s="141">
        <v>-86.805096456256507</v>
      </c>
      <c r="H355" s="141">
        <v>-2.7962099276653247</v>
      </c>
      <c r="I355" s="141">
        <v>43.197828459606228</v>
      </c>
      <c r="K355" s="141">
        <v>-5328.3175767373532</v>
      </c>
      <c r="L355" s="141">
        <v>-834.91861892746624</v>
      </c>
      <c r="M355" s="141">
        <v>10033.338629279504</v>
      </c>
    </row>
    <row r="356" spans="1:13" x14ac:dyDescent="0.3">
      <c r="A356" s="142">
        <v>13175</v>
      </c>
      <c r="B356" s="142">
        <v>63.47</v>
      </c>
      <c r="C356" s="142">
        <v>182.42</v>
      </c>
      <c r="E356" s="141">
        <v>0.16062567533209288</v>
      </c>
      <c r="G356" s="141">
        <v>-86.733034559146006</v>
      </c>
      <c r="H356" s="141">
        <v>-3.2257929621750558</v>
      </c>
      <c r="I356" s="141">
        <v>43.311783062802846</v>
      </c>
      <c r="K356" s="141">
        <v>-5415.0506112964995</v>
      </c>
      <c r="L356" s="141">
        <v>-838.14441188964133</v>
      </c>
      <c r="M356" s="141">
        <v>10076.650412342307</v>
      </c>
    </row>
    <row r="357" spans="1:13" x14ac:dyDescent="0.3">
      <c r="A357" s="142">
        <v>13271</v>
      </c>
      <c r="B357" s="142">
        <v>63.53</v>
      </c>
      <c r="C357" s="142">
        <v>183.09</v>
      </c>
      <c r="E357" s="141">
        <v>0.18831243489629249</v>
      </c>
      <c r="G357" s="141">
        <v>-85.813705448489017</v>
      </c>
      <c r="H357" s="141">
        <v>-4.1295651121023171</v>
      </c>
      <c r="I357" s="141">
        <v>42.835379039283282</v>
      </c>
      <c r="K357" s="141">
        <v>-5500.8643167449882</v>
      </c>
      <c r="L357" s="141">
        <v>-842.27397700174367</v>
      </c>
      <c r="M357" s="141">
        <v>10119.48579138159</v>
      </c>
    </row>
    <row r="358" spans="1:13" x14ac:dyDescent="0.3">
      <c r="A358" s="142">
        <v>13368</v>
      </c>
      <c r="B358" s="142">
        <v>63.72</v>
      </c>
      <c r="C358" s="142">
        <v>183.57</v>
      </c>
      <c r="E358" s="141">
        <v>0.14540338031149341</v>
      </c>
      <c r="G358" s="141">
        <v>-86.755708289384899</v>
      </c>
      <c r="H358" s="141">
        <v>-5.0481800415849412</v>
      </c>
      <c r="I358" s="141">
        <v>43.091880508262079</v>
      </c>
      <c r="K358" s="141">
        <v>-5587.6200250343727</v>
      </c>
      <c r="L358" s="141">
        <v>-847.32215704332862</v>
      </c>
      <c r="M358" s="141">
        <v>10162.577671889852</v>
      </c>
    </row>
    <row r="359" spans="1:13" x14ac:dyDescent="0.3">
      <c r="A359" s="142">
        <v>13463</v>
      </c>
      <c r="B359" s="142">
        <v>63.76</v>
      </c>
      <c r="C359" s="142">
        <v>182.6</v>
      </c>
      <c r="E359" s="141">
        <v>0.27499224473164163</v>
      </c>
      <c r="G359" s="141">
        <v>-85.070701006155971</v>
      </c>
      <c r="H359" s="141">
        <v>-4.5848036337268736</v>
      </c>
      <c r="I359" s="141">
        <v>42.03310220183441</v>
      </c>
      <c r="K359" s="141">
        <v>-5672.6907260405287</v>
      </c>
      <c r="L359" s="141">
        <v>-851.90696067705551</v>
      </c>
      <c r="M359" s="141">
        <v>10204.610774091687</v>
      </c>
    </row>
    <row r="360" spans="1:13" x14ac:dyDescent="0.3">
      <c r="A360" s="142">
        <v>13559</v>
      </c>
      <c r="B360" s="142">
        <v>63.67</v>
      </c>
      <c r="C360" s="142">
        <v>181.39</v>
      </c>
      <c r="E360" s="141">
        <v>0.3401910831824963</v>
      </c>
      <c r="G360" s="141">
        <v>-86.01941128865198</v>
      </c>
      <c r="H360" s="141">
        <v>-2.9967010738258977</v>
      </c>
      <c r="I360" s="141">
        <v>42.513567526312144</v>
      </c>
      <c r="K360" s="141">
        <v>-5758.7101373291807</v>
      </c>
      <c r="L360" s="141">
        <v>-854.90366175088138</v>
      </c>
      <c r="M360" s="141">
        <v>10247.124341617999</v>
      </c>
    </row>
    <row r="361" spans="1:13" x14ac:dyDescent="0.3">
      <c r="A361" s="142">
        <v>13654</v>
      </c>
      <c r="B361" s="142">
        <v>63.67</v>
      </c>
      <c r="C361" s="142">
        <v>181.02</v>
      </c>
      <c r="E361" s="141">
        <v>0.10472020533231201</v>
      </c>
      <c r="G361" s="141">
        <v>-85.125124454706921</v>
      </c>
      <c r="H361" s="141">
        <v>-1.7905490075957662</v>
      </c>
      <c r="I361" s="141">
        <v>42.136467904583917</v>
      </c>
      <c r="K361" s="141">
        <v>-5843.8352617838873</v>
      </c>
      <c r="L361" s="141">
        <v>-856.6942107584772</v>
      </c>
      <c r="M361" s="141">
        <v>10289.260809522582</v>
      </c>
    </row>
    <row r="362" spans="1:13" x14ac:dyDescent="0.3">
      <c r="A362" s="142">
        <v>13750</v>
      </c>
      <c r="B362" s="142">
        <v>63.6</v>
      </c>
      <c r="C362" s="142">
        <v>180.72</v>
      </c>
      <c r="E362" s="141">
        <v>8.6800036907428657E-2</v>
      </c>
      <c r="G362" s="141">
        <v>-86.004328567987912</v>
      </c>
      <c r="H362" s="141">
        <v>-1.3060896361654453</v>
      </c>
      <c r="I362" s="141">
        <v>42.632517499422015</v>
      </c>
      <c r="K362" s="141">
        <v>-5929.8395903518749</v>
      </c>
      <c r="L362" s="141">
        <v>-858.00030039464264</v>
      </c>
      <c r="M362" s="141">
        <v>10331.893327022004</v>
      </c>
    </row>
    <row r="363" spans="1:13" x14ac:dyDescent="0.3">
      <c r="A363" s="142">
        <v>13846</v>
      </c>
      <c r="B363" s="142">
        <v>62.95</v>
      </c>
      <c r="C363" s="142">
        <v>177.91</v>
      </c>
      <c r="E363" s="141">
        <v>0.81017301485681925</v>
      </c>
      <c r="G363" s="141">
        <v>-85.726239171435154</v>
      </c>
      <c r="H363" s="141">
        <v>1.0189434720829222</v>
      </c>
      <c r="I363" s="141">
        <v>43.178714067622195</v>
      </c>
      <c r="K363" s="141">
        <v>-6015.5658295233097</v>
      </c>
      <c r="L363" s="141">
        <v>-856.98135692255971</v>
      </c>
      <c r="M363" s="141">
        <v>10375.072041089627</v>
      </c>
    </row>
    <row r="364" spans="1:13" x14ac:dyDescent="0.3">
      <c r="A364" s="142">
        <v>13942</v>
      </c>
      <c r="B364" s="142">
        <v>62.12</v>
      </c>
      <c r="C364" s="142">
        <v>175.21</v>
      </c>
      <c r="E364" s="141">
        <v>0.79228609589380783</v>
      </c>
      <c r="G364" s="141">
        <v>-85.01511839571063</v>
      </c>
      <c r="H364" s="141">
        <v>5.1028221118892825</v>
      </c>
      <c r="I364" s="141">
        <v>44.281905828147288</v>
      </c>
      <c r="K364" s="141">
        <v>-6100.5809479190202</v>
      </c>
      <c r="L364" s="141">
        <v>-851.87853481067043</v>
      </c>
      <c r="M364" s="141">
        <v>10419.353946917774</v>
      </c>
    </row>
    <row r="365" spans="1:13" x14ac:dyDescent="0.3">
      <c r="A365" s="142">
        <v>14037</v>
      </c>
      <c r="B365" s="142">
        <v>61.45</v>
      </c>
      <c r="C365" s="142">
        <v>173.39</v>
      </c>
      <c r="E365" s="141">
        <v>0.54885643166029163</v>
      </c>
      <c r="G365" s="141">
        <v>-83.293035713538202</v>
      </c>
      <c r="H365" s="141">
        <v>8.3095585184538763</v>
      </c>
      <c r="I365" s="141">
        <v>44.916916650685835</v>
      </c>
      <c r="K365" s="141">
        <v>-6183.8739836325585</v>
      </c>
      <c r="L365" s="141">
        <v>-843.56897629221658</v>
      </c>
      <c r="M365" s="141">
        <v>10464.270863568459</v>
      </c>
    </row>
    <row r="366" spans="1:13" x14ac:dyDescent="0.3">
      <c r="A366" s="142">
        <v>14133</v>
      </c>
      <c r="B366" s="142">
        <v>60.75</v>
      </c>
      <c r="C366" s="142">
        <v>171.99</v>
      </c>
      <c r="E366" s="141">
        <v>0.44107529347022439</v>
      </c>
      <c r="G366" s="141">
        <v>-83.358380746527743</v>
      </c>
      <c r="H366" s="141">
        <v>10.689751748783623</v>
      </c>
      <c r="I366" s="141">
        <v>46.396589495161841</v>
      </c>
      <c r="K366" s="141">
        <v>-6267.232364379086</v>
      </c>
      <c r="L366" s="141">
        <v>-832.879224543433</v>
      </c>
      <c r="M366" s="141">
        <v>10510.667453063621</v>
      </c>
    </row>
    <row r="367" spans="1:13" x14ac:dyDescent="0.3">
      <c r="A367" s="142">
        <v>14229</v>
      </c>
      <c r="B367" s="142">
        <v>60.17</v>
      </c>
      <c r="C367" s="142">
        <v>170.14</v>
      </c>
      <c r="E367" s="141">
        <v>0.5346272998026006</v>
      </c>
      <c r="G367" s="141">
        <v>-82.502531326856612</v>
      </c>
      <c r="H367" s="141">
        <v>12.967275174181369</v>
      </c>
      <c r="I367" s="141">
        <v>47.333892629167948</v>
      </c>
      <c r="K367" s="141">
        <v>-6349.734895705943</v>
      </c>
      <c r="L367" s="141">
        <v>-819.9119493692516</v>
      </c>
      <c r="M367" s="141">
        <v>10558.001345692788</v>
      </c>
    </row>
    <row r="368" spans="1:13" x14ac:dyDescent="0.3">
      <c r="A368" s="142">
        <v>14326</v>
      </c>
      <c r="B368" s="142">
        <v>60.02</v>
      </c>
      <c r="C368" s="142">
        <v>167.73</v>
      </c>
      <c r="E368" s="141">
        <v>0.64776961091525331</v>
      </c>
      <c r="G368" s="141">
        <v>-82.512760014561451</v>
      </c>
      <c r="H368" s="141">
        <v>16.134665244389101</v>
      </c>
      <c r="I368" s="141">
        <v>48.3659932757826</v>
      </c>
      <c r="K368" s="141">
        <v>-6432.2476557205046</v>
      </c>
      <c r="L368" s="141">
        <v>-803.77728412486249</v>
      </c>
      <c r="M368" s="141">
        <v>10606.36733896857</v>
      </c>
    </row>
    <row r="369" spans="1:13" x14ac:dyDescent="0.3">
      <c r="A369" s="142">
        <v>14422</v>
      </c>
      <c r="B369" s="142">
        <v>59.84</v>
      </c>
      <c r="C369" s="142">
        <v>164.93</v>
      </c>
      <c r="E369" s="141">
        <v>0.75930400493523853</v>
      </c>
      <c r="G369" s="141">
        <v>-80.714669505171813</v>
      </c>
      <c r="H369" s="141">
        <v>19.629447501632036</v>
      </c>
      <c r="I369" s="141">
        <v>48.108687674349234</v>
      </c>
      <c r="K369" s="141">
        <v>-6512.9623252256761</v>
      </c>
      <c r="L369" s="141">
        <v>-784.14783662323043</v>
      </c>
      <c r="M369" s="141">
        <v>10654.476026642918</v>
      </c>
    </row>
    <row r="370" spans="1:13" x14ac:dyDescent="0.3">
      <c r="A370" s="142">
        <v>14517</v>
      </c>
      <c r="B370" s="142">
        <v>59.37</v>
      </c>
      <c r="C370" s="142">
        <v>161.79</v>
      </c>
      <c r="E370" s="141">
        <v>0.86804477351261455</v>
      </c>
      <c r="G370" s="141">
        <v>-78.497928101936807</v>
      </c>
      <c r="H370" s="141">
        <v>23.455294817851186</v>
      </c>
      <c r="I370" s="141">
        <v>48.074874012833767</v>
      </c>
      <c r="K370" s="141">
        <v>-6591.4602533276129</v>
      </c>
      <c r="L370" s="141">
        <v>-760.69254180537928</v>
      </c>
      <c r="M370" s="141">
        <v>10702.550900655751</v>
      </c>
    </row>
    <row r="371" spans="1:13" x14ac:dyDescent="0.3">
      <c r="A371" s="142">
        <v>14611</v>
      </c>
      <c r="B371" s="142">
        <v>58.42</v>
      </c>
      <c r="C371" s="142">
        <v>158.69</v>
      </c>
      <c r="E371" s="141">
        <v>0.89969151937966807</v>
      </c>
      <c r="G371" s="141">
        <v>-75.734322744487372</v>
      </c>
      <c r="H371" s="141">
        <v>27.194750036824061</v>
      </c>
      <c r="I371" s="141">
        <v>48.56928630574113</v>
      </c>
      <c r="K371" s="141">
        <v>-6667.1945760721001</v>
      </c>
      <c r="L371" s="141">
        <v>-733.4977917685552</v>
      </c>
      <c r="M371" s="141">
        <v>10751.120186961492</v>
      </c>
    </row>
    <row r="372" spans="1:13" x14ac:dyDescent="0.3">
      <c r="A372" s="142">
        <v>14707</v>
      </c>
      <c r="B372" s="142">
        <v>57.8</v>
      </c>
      <c r="C372" s="142">
        <v>156</v>
      </c>
      <c r="E372" s="141">
        <v>0.73954931394728751</v>
      </c>
      <c r="G372" s="141">
        <v>-75.212234500777342</v>
      </c>
      <c r="H372" s="141">
        <v>31.385593645373476</v>
      </c>
      <c r="I372" s="141">
        <v>50.722323778014548</v>
      </c>
      <c r="K372" s="141">
        <v>-6742.4068105728775</v>
      </c>
      <c r="L372" s="141">
        <v>-702.11219812318177</v>
      </c>
      <c r="M372" s="141">
        <v>10801.842510739507</v>
      </c>
    </row>
    <row r="373" spans="1:13" x14ac:dyDescent="0.3">
      <c r="A373" s="142">
        <v>14803</v>
      </c>
      <c r="B373" s="142">
        <v>57.91</v>
      </c>
      <c r="C373" s="142">
        <v>153.36000000000001</v>
      </c>
      <c r="E373" s="141">
        <v>0.69935863207466265</v>
      </c>
      <c r="G373" s="141">
        <v>-73.464291193228831</v>
      </c>
      <c r="H373" s="141">
        <v>34.759040063516743</v>
      </c>
      <c r="I373" s="141">
        <v>51.084590774983873</v>
      </c>
      <c r="K373" s="141">
        <v>-6815.8711017661062</v>
      </c>
      <c r="L373" s="141">
        <v>-667.35315805966502</v>
      </c>
      <c r="M373" s="141">
        <v>10852.927101514491</v>
      </c>
    </row>
    <row r="374" spans="1:13" x14ac:dyDescent="0.3">
      <c r="A374" s="142">
        <v>14900</v>
      </c>
      <c r="B374" s="142">
        <v>58.12</v>
      </c>
      <c r="C374" s="142">
        <v>151.01</v>
      </c>
      <c r="E374" s="141">
        <v>0.61986477825107289</v>
      </c>
      <c r="G374" s="141">
        <v>-72.759167748110556</v>
      </c>
      <c r="H374" s="141">
        <v>38.388087413560804</v>
      </c>
      <c r="I374" s="141">
        <v>51.385784665447844</v>
      </c>
      <c r="K374" s="141">
        <v>-6888.6302695142167</v>
      </c>
      <c r="L374" s="141">
        <v>-628.96507064610421</v>
      </c>
      <c r="M374" s="141">
        <v>10904.31288617994</v>
      </c>
    </row>
    <row r="375" spans="1:13" x14ac:dyDescent="0.3">
      <c r="A375" s="142">
        <v>14996</v>
      </c>
      <c r="B375" s="142">
        <v>58.16</v>
      </c>
      <c r="C375" s="142">
        <v>148.28</v>
      </c>
      <c r="E375" s="141">
        <v>0.72468221060878746</v>
      </c>
      <c r="G375" s="141">
        <v>-70.348304262898097</v>
      </c>
      <c r="H375" s="141">
        <v>41.199357850424896</v>
      </c>
      <c r="I375" s="141">
        <v>50.680084653380256</v>
      </c>
      <c r="K375" s="141">
        <v>-6958.9785737771144</v>
      </c>
      <c r="L375" s="141">
        <v>-587.76571279567929</v>
      </c>
      <c r="M375" s="141">
        <v>10954.99297083332</v>
      </c>
    </row>
    <row r="376" spans="1:13" x14ac:dyDescent="0.3">
      <c r="A376" s="142">
        <v>15092</v>
      </c>
      <c r="B376" s="142">
        <v>57.74</v>
      </c>
      <c r="C376" s="142">
        <v>144.81</v>
      </c>
      <c r="E376" s="141">
        <v>0.92838087408140957</v>
      </c>
      <c r="G376" s="141">
        <v>-67.873778068862492</v>
      </c>
      <c r="H376" s="141">
        <v>44.84127443085594</v>
      </c>
      <c r="I376" s="141">
        <v>50.954350052438286</v>
      </c>
      <c r="K376" s="141">
        <v>-7026.852351845977</v>
      </c>
      <c r="L376" s="141">
        <v>-542.92443836482335</v>
      </c>
      <c r="M376" s="141">
        <v>11005.947320885758</v>
      </c>
    </row>
    <row r="377" spans="1:13" x14ac:dyDescent="0.3">
      <c r="A377" s="142">
        <v>15188</v>
      </c>
      <c r="B377" s="142">
        <v>57.09</v>
      </c>
      <c r="C377" s="142">
        <v>141.53</v>
      </c>
      <c r="E377" s="141">
        <v>0.88718005216679729</v>
      </c>
      <c r="G377" s="141">
        <v>-64.735669036710163</v>
      </c>
      <c r="H377" s="141">
        <v>48.470865632147543</v>
      </c>
      <c r="I377" s="141">
        <v>51.710568914741252</v>
      </c>
      <c r="K377" s="141">
        <v>-7091.5880208826875</v>
      </c>
      <c r="L377" s="141">
        <v>-494.45357273267581</v>
      </c>
      <c r="M377" s="141">
        <v>11057.657889800499</v>
      </c>
    </row>
    <row r="378" spans="1:13" x14ac:dyDescent="0.3">
      <c r="A378" s="142">
        <v>15284</v>
      </c>
      <c r="B378" s="142">
        <v>57</v>
      </c>
      <c r="C378" s="142">
        <v>138.85</v>
      </c>
      <c r="E378" s="141">
        <v>0.7032881028667396</v>
      </c>
      <c r="G378" s="141">
        <v>-61.870488452525471</v>
      </c>
      <c r="H378" s="141">
        <v>51.565595852582177</v>
      </c>
      <c r="I378" s="141">
        <v>52.2287960984428</v>
      </c>
      <c r="K378" s="141">
        <v>-7153.4585093352125</v>
      </c>
      <c r="L378" s="141">
        <v>-442.88797688009362</v>
      </c>
      <c r="M378" s="141">
        <v>11109.886685898942</v>
      </c>
    </row>
    <row r="379" spans="1:13" x14ac:dyDescent="0.3">
      <c r="A379" s="142">
        <v>15380</v>
      </c>
      <c r="B379" s="142">
        <v>57.11</v>
      </c>
      <c r="C379" s="142">
        <v>135.91</v>
      </c>
      <c r="E379" s="141">
        <v>0.77174921774388261</v>
      </c>
      <c r="G379" s="141">
        <v>-59.271572044669618</v>
      </c>
      <c r="H379" s="141">
        <v>54.542948302174423</v>
      </c>
      <c r="I379" s="141">
        <v>52.216097222116701</v>
      </c>
      <c r="K379" s="141">
        <v>-7212.730081379882</v>
      </c>
      <c r="L379" s="141">
        <v>-388.34502857791921</v>
      </c>
      <c r="M379" s="141">
        <v>11162.102783121059</v>
      </c>
    </row>
    <row r="380" spans="1:13" x14ac:dyDescent="0.3">
      <c r="A380" s="142">
        <v>15476</v>
      </c>
      <c r="B380" s="142">
        <v>56.83</v>
      </c>
      <c r="C380" s="142">
        <v>132.83000000000001</v>
      </c>
      <c r="E380" s="141">
        <v>0.81164542168319143</v>
      </c>
      <c r="G380" s="141">
        <v>-56.273874191582898</v>
      </c>
      <c r="H380" s="141">
        <v>57.520296201419342</v>
      </c>
      <c r="I380" s="141">
        <v>52.336302556697838</v>
      </c>
      <c r="K380" s="141">
        <v>-7269.0039555714648</v>
      </c>
      <c r="L380" s="141">
        <v>-330.82473237649987</v>
      </c>
      <c r="M380" s="141">
        <v>11214.439085677757</v>
      </c>
    </row>
    <row r="381" spans="1:13" x14ac:dyDescent="0.3">
      <c r="A381" s="142">
        <v>15572</v>
      </c>
      <c r="B381" s="142">
        <v>56.59</v>
      </c>
      <c r="C381" s="142">
        <v>130.13999999999999</v>
      </c>
      <c r="E381" s="141">
        <v>0.70665178797538275</v>
      </c>
      <c r="G381" s="141">
        <v>-53.151416456455607</v>
      </c>
      <c r="H381" s="141">
        <v>60.104538399647907</v>
      </c>
      <c r="I381" s="141">
        <v>52.69891072015303</v>
      </c>
      <c r="K381" s="141">
        <v>-7322.1553720279207</v>
      </c>
      <c r="L381" s="141">
        <v>-270.72019397685199</v>
      </c>
      <c r="M381" s="141">
        <v>11267.137996397911</v>
      </c>
    </row>
    <row r="382" spans="1:13" x14ac:dyDescent="0.3">
      <c r="A382" s="142">
        <v>15668</v>
      </c>
      <c r="B382" s="142">
        <v>56.23</v>
      </c>
      <c r="C382" s="142">
        <v>127.72</v>
      </c>
      <c r="E382" s="141">
        <v>0.63991953072099161</v>
      </c>
      <c r="G382" s="141">
        <v>-50.247239859791556</v>
      </c>
      <c r="H382" s="141">
        <v>62.199804415293542</v>
      </c>
      <c r="I382" s="141">
        <v>53.11702424158878</v>
      </c>
      <c r="K382" s="141">
        <v>-7372.4026118877127</v>
      </c>
      <c r="L382" s="141">
        <v>-208.52038956155843</v>
      </c>
      <c r="M382" s="141">
        <v>11320.255020639499</v>
      </c>
    </row>
    <row r="383" spans="1:13" x14ac:dyDescent="0.3">
      <c r="A383" s="142">
        <v>15764</v>
      </c>
      <c r="B383" s="142">
        <v>56.15</v>
      </c>
      <c r="C383" s="142">
        <v>125.18</v>
      </c>
      <c r="E383" s="141">
        <v>0.65997367018928843</v>
      </c>
      <c r="G383" s="141">
        <v>-47.384554717806303</v>
      </c>
      <c r="H383" s="141">
        <v>64.152168694602906</v>
      </c>
      <c r="I383" s="141">
        <v>53.424337424673347</v>
      </c>
      <c r="K383" s="141">
        <v>-7419.7871666055189</v>
      </c>
      <c r="L383" s="141">
        <v>-144.36822086695554</v>
      </c>
      <c r="M383" s="141">
        <v>11373.679358064172</v>
      </c>
    </row>
    <row r="384" spans="1:13" x14ac:dyDescent="0.3">
      <c r="A384" s="142">
        <v>15861</v>
      </c>
      <c r="B384" s="142">
        <v>55.89</v>
      </c>
      <c r="C384" s="142">
        <v>122.24</v>
      </c>
      <c r="E384" s="141">
        <v>0.75825189401797399</v>
      </c>
      <c r="G384" s="141">
        <v>-44.635537879179552</v>
      </c>
      <c r="H384" s="141">
        <v>66.897180032244265</v>
      </c>
      <c r="I384" s="141">
        <v>54.221771565086726</v>
      </c>
      <c r="K384" s="141">
        <v>-7464.4227044846984</v>
      </c>
      <c r="L384" s="141">
        <v>-77.471040834711275</v>
      </c>
      <c r="M384" s="141">
        <v>11427.901129629257</v>
      </c>
    </row>
    <row r="385" spans="1:13" x14ac:dyDescent="0.3">
      <c r="A385" s="142">
        <v>15958</v>
      </c>
      <c r="B385" s="142">
        <v>55.59</v>
      </c>
      <c r="C385" s="142">
        <v>119.34</v>
      </c>
      <c r="E385" s="141">
        <v>0.74704338626866007</v>
      </c>
      <c r="G385" s="141">
        <v>-41.034194901146236</v>
      </c>
      <c r="H385" s="141">
        <v>68.855757987296812</v>
      </c>
      <c r="I385" s="141">
        <v>54.613972708793369</v>
      </c>
      <c r="K385" s="141">
        <v>-7505.4568993858447</v>
      </c>
      <c r="L385" s="141">
        <v>-8.6152828474144627</v>
      </c>
      <c r="M385" s="141">
        <v>11482.515102338051</v>
      </c>
    </row>
    <row r="386" spans="1:13" x14ac:dyDescent="0.3">
      <c r="A386" s="142">
        <v>16053</v>
      </c>
      <c r="B386" s="142">
        <v>55.4</v>
      </c>
      <c r="C386" s="142">
        <v>116.65</v>
      </c>
      <c r="E386" s="141">
        <v>0.70257679495112646</v>
      </c>
      <c r="G386" s="141">
        <v>-36.743916252747319</v>
      </c>
      <c r="H386" s="141">
        <v>69.115343933615222</v>
      </c>
      <c r="I386" s="141">
        <v>53.822113563801672</v>
      </c>
      <c r="K386" s="141">
        <v>-7542.2008156385918</v>
      </c>
      <c r="L386" s="141">
        <v>60.500061086200759</v>
      </c>
      <c r="M386" s="141">
        <v>11536.337215901853</v>
      </c>
    </row>
    <row r="387" spans="1:13" x14ac:dyDescent="0.3">
      <c r="A387" s="142">
        <v>16150</v>
      </c>
      <c r="B387" s="142">
        <v>55.56</v>
      </c>
      <c r="C387" s="142">
        <v>113.5</v>
      </c>
      <c r="E387" s="141">
        <v>0.80418398560294724</v>
      </c>
      <c r="G387" s="141">
        <v>-33.86195576793282</v>
      </c>
      <c r="H387" s="141">
        <v>72.374698787820691</v>
      </c>
      <c r="I387" s="141">
        <v>54.978688603435536</v>
      </c>
      <c r="K387" s="141">
        <v>-7576.0627714065249</v>
      </c>
      <c r="L387" s="141">
        <v>132.87475987402144</v>
      </c>
      <c r="M387" s="141">
        <v>11591.315904505289</v>
      </c>
    </row>
    <row r="388" spans="1:13" x14ac:dyDescent="0.3">
      <c r="A388" s="142">
        <v>16246</v>
      </c>
      <c r="B388" s="142">
        <v>56.06</v>
      </c>
      <c r="C388" s="142">
        <v>109.97</v>
      </c>
      <c r="E388" s="141">
        <v>0.92571091504730596</v>
      </c>
      <c r="G388" s="141">
        <v>-29.391923201341218</v>
      </c>
      <c r="H388" s="141">
        <v>73.747094497564248</v>
      </c>
      <c r="I388" s="141">
        <v>53.957651837952668</v>
      </c>
      <c r="K388" s="141">
        <v>-7605.4546946078663</v>
      </c>
      <c r="L388" s="141">
        <v>206.6218543715857</v>
      </c>
      <c r="M388" s="141">
        <v>11645.273556343242</v>
      </c>
    </row>
    <row r="389" spans="1:13" x14ac:dyDescent="0.3">
      <c r="A389" s="142">
        <v>16342</v>
      </c>
      <c r="B389" s="142">
        <v>56.39</v>
      </c>
      <c r="C389" s="142">
        <v>107.29</v>
      </c>
      <c r="E389" s="141">
        <v>0.70372787056083697</v>
      </c>
      <c r="G389" s="141">
        <v>-25.484646401805289</v>
      </c>
      <c r="H389" s="141">
        <v>75.606388986330984</v>
      </c>
      <c r="I389" s="141">
        <v>53.376215854502185</v>
      </c>
      <c r="K389" s="141">
        <v>-7630.9393410096718</v>
      </c>
      <c r="L389" s="141">
        <v>282.22824335791665</v>
      </c>
      <c r="M389" s="141">
        <v>11698.649772197743</v>
      </c>
    </row>
    <row r="390" spans="1:13" x14ac:dyDescent="0.3">
      <c r="A390" s="142">
        <v>16438</v>
      </c>
      <c r="B390" s="142">
        <v>56.75</v>
      </c>
      <c r="C390" s="142">
        <v>104.49</v>
      </c>
      <c r="E390" s="141">
        <v>0.73883004044551248</v>
      </c>
      <c r="G390" s="141">
        <v>-21.928088706053625</v>
      </c>
      <c r="H390" s="141">
        <v>77.045006241563257</v>
      </c>
      <c r="I390" s="141">
        <v>52.895352561015578</v>
      </c>
      <c r="K390" s="141">
        <v>-7652.8674297157258</v>
      </c>
      <c r="L390" s="141">
        <v>359.27324959947993</v>
      </c>
      <c r="M390" s="141">
        <v>11751.545124758759</v>
      </c>
    </row>
    <row r="391" spans="1:13" x14ac:dyDescent="0.3">
      <c r="A391" s="142">
        <v>16534</v>
      </c>
      <c r="B391" s="142">
        <v>57.45</v>
      </c>
      <c r="C391" s="142">
        <v>101.25</v>
      </c>
      <c r="E391" s="141">
        <v>0.87776429649963505</v>
      </c>
      <c r="G391" s="141">
        <v>-17.940904765308087</v>
      </c>
      <c r="H391" s="141">
        <v>78.563450023610486</v>
      </c>
      <c r="I391" s="141">
        <v>52.154219956774142</v>
      </c>
      <c r="K391" s="141">
        <v>-7670.8083344810339</v>
      </c>
      <c r="L391" s="141">
        <v>437.8366996230904</v>
      </c>
      <c r="M391" s="141">
        <v>11803.699344715533</v>
      </c>
    </row>
    <row r="392" spans="1:13" x14ac:dyDescent="0.3">
      <c r="A392" s="142">
        <v>16630</v>
      </c>
      <c r="B392" s="142">
        <v>58.44</v>
      </c>
      <c r="C392" s="142">
        <v>98.76</v>
      </c>
      <c r="E392" s="141">
        <v>0.72842215058699988</v>
      </c>
      <c r="G392" s="141">
        <v>-14.12432378083151</v>
      </c>
      <c r="H392" s="141">
        <v>80.117221228448003</v>
      </c>
      <c r="I392" s="141">
        <v>50.955503169235605</v>
      </c>
      <c r="K392" s="141">
        <v>-7684.9326582618651</v>
      </c>
      <c r="L392" s="141">
        <v>517.95392085153844</v>
      </c>
      <c r="M392" s="141">
        <v>11854.654847884769</v>
      </c>
    </row>
    <row r="393" spans="1:13" x14ac:dyDescent="0.3">
      <c r="A393" s="142">
        <v>16727</v>
      </c>
      <c r="B393" s="142">
        <v>59.52</v>
      </c>
      <c r="C393" s="142">
        <v>96.56</v>
      </c>
      <c r="E393" s="141">
        <v>0.6719739452116692</v>
      </c>
      <c r="G393" s="141">
        <v>-11.070290231322739</v>
      </c>
      <c r="H393" s="141">
        <v>82.378229708758894</v>
      </c>
      <c r="I393" s="141">
        <v>49.991484095825427</v>
      </c>
      <c r="K393" s="141">
        <v>-7696.0029484931874</v>
      </c>
      <c r="L393" s="141">
        <v>600.33215056029735</v>
      </c>
      <c r="M393" s="141">
        <v>11904.646331980595</v>
      </c>
    </row>
    <row r="394" spans="1:13" x14ac:dyDescent="0.3">
      <c r="A394" s="142">
        <v>16824</v>
      </c>
      <c r="B394" s="142">
        <v>60.59</v>
      </c>
      <c r="C394" s="142">
        <v>93.99</v>
      </c>
      <c r="E394" s="141">
        <v>0.76408453857732517</v>
      </c>
      <c r="G394" s="141">
        <v>-7.7161400675014642</v>
      </c>
      <c r="H394" s="141">
        <v>83.68422103699379</v>
      </c>
      <c r="I394" s="141">
        <v>48.424731417483514</v>
      </c>
      <c r="K394" s="141">
        <v>-7703.7190885606888</v>
      </c>
      <c r="L394" s="141">
        <v>684.01637159729114</v>
      </c>
      <c r="M394" s="141">
        <v>11953.071063398078</v>
      </c>
    </row>
    <row r="395" spans="1:13" x14ac:dyDescent="0.3">
      <c r="A395" s="142">
        <v>16920</v>
      </c>
      <c r="B395" s="142">
        <v>61.17</v>
      </c>
      <c r="C395" s="142">
        <v>91.47</v>
      </c>
      <c r="E395" s="141">
        <v>0.71141918495643142</v>
      </c>
      <c r="G395" s="141">
        <v>-3.9887985213027433</v>
      </c>
      <c r="H395" s="141">
        <v>83.760588825261124</v>
      </c>
      <c r="I395" s="141">
        <v>46.723022706337254</v>
      </c>
      <c r="K395" s="141">
        <v>-7707.7078870819914</v>
      </c>
      <c r="L395" s="141">
        <v>767.77696042255229</v>
      </c>
      <c r="M395" s="141">
        <v>11999.794086104415</v>
      </c>
    </row>
    <row r="396" spans="1:13" x14ac:dyDescent="0.3">
      <c r="A396" s="142">
        <v>17016</v>
      </c>
      <c r="B396" s="142">
        <v>62</v>
      </c>
      <c r="C396" s="142">
        <v>88.38</v>
      </c>
      <c r="E396" s="141">
        <v>0.88797875192239584</v>
      </c>
      <c r="G396" s="141">
        <v>0.11942674877092914</v>
      </c>
      <c r="H396" s="141">
        <v>84.41861641489551</v>
      </c>
      <c r="I396" s="141">
        <v>45.69019744003802</v>
      </c>
      <c r="K396" s="141">
        <v>-7707.5884603332206</v>
      </c>
      <c r="L396" s="141">
        <v>852.19557683744779</v>
      </c>
      <c r="M396" s="141">
        <v>12045.484283544454</v>
      </c>
    </row>
    <row r="397" spans="1:13" x14ac:dyDescent="0.3">
      <c r="A397" s="142">
        <v>17113</v>
      </c>
      <c r="B397" s="142">
        <v>62.87</v>
      </c>
      <c r="C397" s="142">
        <v>85.72</v>
      </c>
      <c r="E397" s="141">
        <v>0.77732362540537703</v>
      </c>
      <c r="G397" s="141">
        <v>4.4326781196947618</v>
      </c>
      <c r="H397" s="141">
        <v>85.86298475820152</v>
      </c>
      <c r="I397" s="141">
        <v>44.893101304029187</v>
      </c>
      <c r="K397" s="141">
        <v>-7703.1557822135255</v>
      </c>
      <c r="L397" s="141">
        <v>938.05856159564928</v>
      </c>
      <c r="M397" s="141">
        <v>12090.377384848483</v>
      </c>
    </row>
    <row r="398" spans="1:13" x14ac:dyDescent="0.3">
      <c r="A398" s="142">
        <v>17209</v>
      </c>
      <c r="B398" s="142">
        <v>63.91</v>
      </c>
      <c r="C398" s="142">
        <v>83.05</v>
      </c>
      <c r="E398" s="141">
        <v>0.81368675495837894</v>
      </c>
      <c r="G398" s="141">
        <v>8.4059003425770324</v>
      </c>
      <c r="H398" s="141">
        <v>85.40657573542552</v>
      </c>
      <c r="I398" s="141">
        <v>43.005484189211025</v>
      </c>
      <c r="K398" s="141">
        <v>-7694.7498818709482</v>
      </c>
      <c r="L398" s="141">
        <v>1023.4651373310749</v>
      </c>
      <c r="M398" s="141">
        <v>12133.382869037694</v>
      </c>
    </row>
    <row r="399" spans="1:13" x14ac:dyDescent="0.3">
      <c r="A399" s="142">
        <v>17305</v>
      </c>
      <c r="B399" s="142">
        <v>64.89</v>
      </c>
      <c r="C399" s="142">
        <v>80.17</v>
      </c>
      <c r="E399" s="141">
        <v>0.86747367813923182</v>
      </c>
      <c r="G399" s="141">
        <v>12.639164933671152</v>
      </c>
      <c r="H399" s="141">
        <v>85.634641522778921</v>
      </c>
      <c r="I399" s="141">
        <v>41.486830453361407</v>
      </c>
      <c r="K399" s="141">
        <v>-7682.1107169372772</v>
      </c>
      <c r="L399" s="141">
        <v>1109.0997788538539</v>
      </c>
      <c r="M399" s="141">
        <v>12174.869699491055</v>
      </c>
    </row>
    <row r="400" spans="1:13" x14ac:dyDescent="0.3">
      <c r="A400" s="142">
        <v>17400</v>
      </c>
      <c r="B400" s="142">
        <v>65.31</v>
      </c>
      <c r="C400" s="142">
        <v>79.86</v>
      </c>
      <c r="E400" s="141">
        <v>0.15961076697388654</v>
      </c>
      <c r="G400" s="141">
        <v>14.941236937991594</v>
      </c>
      <c r="H400" s="141">
        <v>84.863593317147703</v>
      </c>
      <c r="I400" s="141">
        <v>39.998392993862431</v>
      </c>
      <c r="K400" s="141">
        <v>-7667.1694799992856</v>
      </c>
      <c r="L400" s="141">
        <v>1193.9633721710015</v>
      </c>
      <c r="M400" s="141">
        <v>12214.868092484918</v>
      </c>
    </row>
    <row r="401" spans="1:13" x14ac:dyDescent="0.3">
      <c r="A401" s="142">
        <v>17497</v>
      </c>
      <c r="B401" s="142">
        <v>65.739999999999995</v>
      </c>
      <c r="C401" s="142">
        <v>78.05</v>
      </c>
      <c r="E401" s="141">
        <v>0.52655731587854993</v>
      </c>
      <c r="G401" s="141">
        <v>16.914752817856922</v>
      </c>
      <c r="H401" s="141">
        <v>86.643007993543861</v>
      </c>
      <c r="I401" s="141">
        <v>40.189401582827294</v>
      </c>
      <c r="K401" s="141">
        <v>-7650.2547271814283</v>
      </c>
      <c r="L401" s="141">
        <v>1280.6063801645455</v>
      </c>
      <c r="M401" s="141">
        <v>12255.057494067745</v>
      </c>
    </row>
    <row r="402" spans="1:13" x14ac:dyDescent="0.3">
      <c r="A402" s="142">
        <v>17594</v>
      </c>
      <c r="B402" s="142">
        <v>66.790000000000006</v>
      </c>
      <c r="C402" s="142">
        <v>75.69</v>
      </c>
      <c r="E402" s="141">
        <v>0.74287636644429755</v>
      </c>
      <c r="G402" s="141">
        <v>20.175888029923875</v>
      </c>
      <c r="H402" s="141">
        <v>86.463095185882707</v>
      </c>
      <c r="I402" s="141">
        <v>39.047263516752309</v>
      </c>
      <c r="K402" s="141">
        <v>-7630.0788391515043</v>
      </c>
      <c r="L402" s="141">
        <v>1367.0694753504281</v>
      </c>
      <c r="M402" s="141">
        <v>12294.104757584497</v>
      </c>
    </row>
    <row r="403" spans="1:13" x14ac:dyDescent="0.3">
      <c r="A403" s="142">
        <v>17690</v>
      </c>
      <c r="B403" s="142">
        <v>68.010000000000005</v>
      </c>
      <c r="C403" s="142">
        <v>72.87</v>
      </c>
      <c r="E403" s="141">
        <v>0.89844566298899453</v>
      </c>
      <c r="G403" s="141">
        <v>24.018318485418163</v>
      </c>
      <c r="H403" s="141">
        <v>85.297855758307023</v>
      </c>
      <c r="I403" s="141">
        <v>36.898002600962229</v>
      </c>
      <c r="K403" s="141">
        <v>-7606.0605206660857</v>
      </c>
      <c r="L403" s="141">
        <v>1452.367331108735</v>
      </c>
      <c r="M403" s="141">
        <v>12331.00276018546</v>
      </c>
    </row>
    <row r="404" spans="1:13" x14ac:dyDescent="0.3">
      <c r="A404" s="142">
        <v>17786</v>
      </c>
      <c r="B404" s="142">
        <v>69.260000000000005</v>
      </c>
      <c r="C404" s="142">
        <v>70.42</v>
      </c>
      <c r="E404" s="141">
        <v>0.81297701402822964</v>
      </c>
      <c r="G404" s="141">
        <v>28.157722462470321</v>
      </c>
      <c r="H404" s="141">
        <v>84.841819821451466</v>
      </c>
      <c r="I404" s="141">
        <v>34.977493481569816</v>
      </c>
      <c r="K404" s="141">
        <v>-7577.902798203615</v>
      </c>
      <c r="L404" s="141">
        <v>1537.2091509301865</v>
      </c>
      <c r="M404" s="141">
        <v>12365.98025366703</v>
      </c>
    </row>
    <row r="405" spans="1:13" x14ac:dyDescent="0.3">
      <c r="A405" s="142">
        <v>17882</v>
      </c>
      <c r="B405" s="142">
        <v>70.39</v>
      </c>
      <c r="C405" s="142">
        <v>67.86</v>
      </c>
      <c r="E405" s="141">
        <v>0.82977923507136719</v>
      </c>
      <c r="G405" s="141">
        <v>32.089799714142117</v>
      </c>
      <c r="H405" s="141">
        <v>84.19075340383084</v>
      </c>
      <c r="I405" s="141">
        <v>33.113629467887748</v>
      </c>
      <c r="K405" s="141">
        <v>-7545.8129984894731</v>
      </c>
      <c r="L405" s="141">
        <v>1621.3999043340173</v>
      </c>
      <c r="M405" s="141">
        <v>12399.093883134918</v>
      </c>
    </row>
    <row r="406" spans="1:13" x14ac:dyDescent="0.3">
      <c r="A406" s="142">
        <v>17978</v>
      </c>
      <c r="B406" s="142">
        <v>71.650000000000006</v>
      </c>
      <c r="C406" s="142">
        <v>65.5</v>
      </c>
      <c r="E406" s="141">
        <v>0.80086027339651977</v>
      </c>
      <c r="G406" s="141">
        <v>35.939685997895033</v>
      </c>
      <c r="H406" s="141">
        <v>83.3530357952082</v>
      </c>
      <c r="I406" s="141">
        <v>31.226175041198932</v>
      </c>
      <c r="K406" s="141">
        <v>-7509.873312491578</v>
      </c>
      <c r="L406" s="141">
        <v>1704.7529401292254</v>
      </c>
      <c r="M406" s="141">
        <v>12430.320058176116</v>
      </c>
    </row>
    <row r="407" spans="1:13" x14ac:dyDescent="0.3">
      <c r="A407" s="142">
        <v>18074</v>
      </c>
      <c r="B407" s="142">
        <v>71.12</v>
      </c>
      <c r="C407" s="142">
        <v>62.38</v>
      </c>
      <c r="E407" s="141">
        <v>0.93870367242764496</v>
      </c>
      <c r="G407" s="141">
        <v>39.958073295224246</v>
      </c>
      <c r="H407" s="141">
        <v>81.717697065924867</v>
      </c>
      <c r="I407" s="141">
        <v>30.650605744043567</v>
      </c>
      <c r="K407" s="141">
        <v>-7469.9152391963535</v>
      </c>
      <c r="L407" s="141">
        <v>1786.4706371951502</v>
      </c>
      <c r="M407" s="141">
        <v>12460.970663920159</v>
      </c>
    </row>
    <row r="408" spans="1:13" x14ac:dyDescent="0.3">
      <c r="A408" s="142">
        <v>18171</v>
      </c>
      <c r="B408" s="142">
        <v>68.849999999999994</v>
      </c>
      <c r="C408" s="142">
        <v>61.45</v>
      </c>
      <c r="E408" s="141">
        <v>0.75227397103367244</v>
      </c>
      <c r="G408" s="141">
        <v>42.899580670156531</v>
      </c>
      <c r="H408" s="141">
        <v>80.405762516932654</v>
      </c>
      <c r="I408" s="141">
        <v>33.198288009290387</v>
      </c>
      <c r="K408" s="141">
        <v>-7427.0156585261966</v>
      </c>
      <c r="L408" s="141">
        <v>1866.8763997120827</v>
      </c>
      <c r="M408" s="141">
        <v>12494.16895192945</v>
      </c>
    </row>
    <row r="409" spans="1:13" x14ac:dyDescent="0.3">
      <c r="A409" s="142">
        <v>18267</v>
      </c>
      <c r="B409" s="142">
        <v>67.02</v>
      </c>
      <c r="C409" s="142">
        <v>61.89</v>
      </c>
      <c r="E409" s="141">
        <v>0.5858985924375526</v>
      </c>
      <c r="G409" s="141">
        <v>42.220085988397344</v>
      </c>
      <c r="H409" s="141">
        <v>78.308288564484386</v>
      </c>
      <c r="I409" s="141">
        <v>36.061807397516468</v>
      </c>
      <c r="K409" s="141">
        <v>-7384.7955725377997</v>
      </c>
      <c r="L409" s="141">
        <v>1945.1846882765672</v>
      </c>
      <c r="M409" s="141">
        <v>12530.230759326967</v>
      </c>
    </row>
    <row r="410" spans="1:13" x14ac:dyDescent="0.3">
      <c r="A410" s="142">
        <v>18363</v>
      </c>
      <c r="B410" s="142">
        <v>64.69</v>
      </c>
      <c r="C410" s="142">
        <v>62.47</v>
      </c>
      <c r="E410" s="141">
        <v>0.74666912593852286</v>
      </c>
      <c r="G410" s="141">
        <v>40.883631671580289</v>
      </c>
      <c r="H410" s="141">
        <v>77.468481533069252</v>
      </c>
      <c r="I410" s="141">
        <v>39.266111602286657</v>
      </c>
      <c r="K410" s="141">
        <v>-7343.9119408662191</v>
      </c>
      <c r="L410" s="141">
        <v>2022.6531698096364</v>
      </c>
      <c r="M410" s="141">
        <v>12569.496870929253</v>
      </c>
    </row>
    <row r="411" spans="1:13" x14ac:dyDescent="0.3">
      <c r="A411" s="142">
        <v>18457</v>
      </c>
      <c r="B411" s="142">
        <v>61.75</v>
      </c>
      <c r="C411" s="142">
        <v>62.95</v>
      </c>
      <c r="E411" s="141">
        <v>0.94820836869488423</v>
      </c>
      <c r="G411" s="141">
        <v>38.475537987671267</v>
      </c>
      <c r="H411" s="141">
        <v>74.566994243472323</v>
      </c>
      <c r="I411" s="141">
        <v>42.34874960293498</v>
      </c>
      <c r="K411" s="141">
        <v>-7305.4364028785476</v>
      </c>
      <c r="L411" s="141">
        <v>2097.2201640531089</v>
      </c>
      <c r="M411" s="141">
        <v>12611.845620532189</v>
      </c>
    </row>
    <row r="412" spans="1:13" x14ac:dyDescent="0.3">
      <c r="A412" s="142">
        <v>18545</v>
      </c>
      <c r="B412" s="142">
        <v>58.84</v>
      </c>
      <c r="C412" s="142">
        <v>63.02</v>
      </c>
      <c r="E412" s="141">
        <v>0.992261879653762</v>
      </c>
      <c r="G412" s="141">
        <v>34.715809176663015</v>
      </c>
      <c r="H412" s="141">
        <v>68.088048690614244</v>
      </c>
      <c r="I412" s="141">
        <v>43.602350606028111</v>
      </c>
      <c r="K412" s="141">
        <v>-7270.7205937018844</v>
      </c>
      <c r="L412" s="141">
        <v>2165.3082127437233</v>
      </c>
      <c r="M412" s="141">
        <v>12655.447971138217</v>
      </c>
    </row>
    <row r="413" spans="1:13" x14ac:dyDescent="0.3">
      <c r="A413" s="142">
        <v>18587</v>
      </c>
      <c r="B413" s="142">
        <v>58.84</v>
      </c>
      <c r="C413" s="142">
        <v>63.02</v>
      </c>
      <c r="E413" s="141">
        <v>0</v>
      </c>
      <c r="G413" s="141">
        <v>16.305457056349624</v>
      </c>
      <c r="H413" s="141">
        <v>32.028895360616602</v>
      </c>
      <c r="I413" s="141">
        <v>21.732048503585908</v>
      </c>
      <c r="K413" s="141">
        <v>-7254.4151366455344</v>
      </c>
      <c r="L413" s="141">
        <v>2197.3371081043397</v>
      </c>
      <c r="M413" s="141">
        <v>12677.180019641803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7A546D04BAA944A7D39334D8836087" ma:contentTypeVersion="11" ma:contentTypeDescription="Create a new document." ma:contentTypeScope="" ma:versionID="1ee08b818abfda4665ee4cfd9c817655">
  <xsd:schema xmlns:xsd="http://www.w3.org/2001/XMLSchema" xmlns:xs="http://www.w3.org/2001/XMLSchema" xmlns:p="http://schemas.microsoft.com/office/2006/metadata/properties" xmlns:ns3="1dd1c266-d6c6-41b1-b242-aa15a83e4d9f" xmlns:ns4="e9e060ef-cfac-40b0-a434-b4de9f647dfc" targetNamespace="http://schemas.microsoft.com/office/2006/metadata/properties" ma:root="true" ma:fieldsID="ca9be497f5c307af8280b963e03c773c" ns3:_="" ns4:_="">
    <xsd:import namespace="1dd1c266-d6c6-41b1-b242-aa15a83e4d9f"/>
    <xsd:import namespace="e9e060ef-cfac-40b0-a434-b4de9f647dfc"/>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Location" minOccurs="0"/>
                <xsd:element ref="ns3:MediaServiceEventHashCode"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d1c266-d6c6-41b1-b242-aa15a83e4d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e060ef-cfac-40b0-a434-b4de9f647df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09139D-D9EF-469F-87C8-19A9CE284D95}">
  <ds:schemaRefs>
    <ds:schemaRef ds:uri="http://schemas.microsoft.com/sharepoint/v3/contenttype/forms"/>
  </ds:schemaRefs>
</ds:datastoreItem>
</file>

<file path=customXml/itemProps2.xml><?xml version="1.0" encoding="utf-8"?>
<ds:datastoreItem xmlns:ds="http://schemas.openxmlformats.org/officeDocument/2006/customXml" ds:itemID="{A0355876-19E8-4CE9-9C81-B73C39AB936E}">
  <ds:schemaRefs>
    <ds:schemaRef ds:uri="http://schemas.microsoft.com/office/2006/documentManagement/types"/>
    <ds:schemaRef ds:uri="http://schemas.microsoft.com/office/2006/metadata/properties"/>
    <ds:schemaRef ds:uri="e9e060ef-cfac-40b0-a434-b4de9f647dfc"/>
    <ds:schemaRef ds:uri="http://schemas.openxmlformats.org/package/2006/metadata/core-properties"/>
    <ds:schemaRef ds:uri="1dd1c266-d6c6-41b1-b242-aa15a83e4d9f"/>
    <ds:schemaRef ds:uri="http://purl.org/dc/terms/"/>
    <ds:schemaRef ds:uri="http://purl.org/dc/dcmitype/"/>
    <ds:schemaRef ds:uri="http://schemas.microsoft.com/office/infopath/2007/PartnerControls"/>
    <ds:schemaRef ds:uri="http://www.w3.org/XML/1998/namespace"/>
    <ds:schemaRef ds:uri="http://purl.org/dc/elements/1.1/"/>
  </ds:schemaRefs>
</ds:datastoreItem>
</file>

<file path=customXml/itemProps3.xml><?xml version="1.0" encoding="utf-8"?>
<ds:datastoreItem xmlns:ds="http://schemas.openxmlformats.org/officeDocument/2006/customXml" ds:itemID="{5691458D-8562-468F-85A2-51F82AED6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d1c266-d6c6-41b1-b242-aa15a83e4d9f"/>
    <ds:schemaRef ds:uri="e9e060ef-cfac-40b0-a434-b4de9f647d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Min. Curv</vt:lpstr>
      <vt:lpstr>GNL</vt:lpstr>
      <vt:lpstr>LMP</vt:lpstr>
      <vt:lpstr>2drot</vt:lpstr>
      <vt:lpstr>wrap azimuth</vt:lpstr>
      <vt:lpstr>err</vt:lpstr>
      <vt:lpstr>Min. Curv interpolation</vt:lpstr>
      <vt:lpstr>INC-ONLY</vt:lpstr>
      <vt:lpstr>Sample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Kampes, Bert M SIEP-PTD/E/G</dc:creator>
  <cp:lastModifiedBy>Kampes, Bert M SIEP-IUV/S/GA</cp:lastModifiedBy>
  <dcterms:created xsi:type="dcterms:W3CDTF">2019-08-23T18:28:00Z</dcterms:created>
  <dcterms:modified xsi:type="dcterms:W3CDTF">2023-07-18T20:40:41Z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0x010100277A546D04BAA944A7D39334D8836087</vt:lpwstr>
  </property>
</Properties>
</file>