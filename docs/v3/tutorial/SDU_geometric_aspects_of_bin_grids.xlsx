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1328"/>
  <workbookPr/>
  <mc:AlternateContent xmlns:mc="http://schemas.openxmlformats.org/markup-compatibility/2006">
    <mc:Choice Requires="x15">
      <x15ac:absPath xmlns:x15ac="http://schemas.microsoft.com/office/spreadsheetml/2010/11/ac" url="C:\Users\Bert.Kampes\OneDrive - Shell\Documents\01. SHELL\GM\07. MY SDU WORK\BinGrid SDU\Bin Grid Guidance Doc\"/>
    </mc:Choice>
  </mc:AlternateContent>
  <xr:revisionPtr revIDLastSave="1900" documentId="11_5FD5AFBCE8C0FD4E6F4CFC0A022EBBDC5117DB2D" xr6:coauthVersionLast="41" xr6:coauthVersionMax="41" xr10:uidLastSave="{F3990780-496A-462C-B025-7D1606F23545}"/>
  <bookViews>
    <workbookView xWindow="2115" yWindow="285" windowWidth="23730" windowHeight="15345" tabRatio="807" xr2:uid="{00000000-000D-0000-FFFF-FFFF00000000}"/>
  </bookViews>
  <sheets>
    <sheet name="BinGridMath" sheetId="18" r:id="rId1"/>
    <sheet name="atan2" sheetId="19" r:id="rId2"/>
    <sheet name="increments" sheetId="6" r:id="rId3"/>
    <sheet name="Test1a" sheetId="20" r:id="rId4"/>
    <sheet name="Test1b" sheetId="21" r:id="rId5"/>
    <sheet name="Test1c" sheetId="22" r:id="rId6"/>
    <sheet name="Test1d" sheetId="23" r:id="rId7"/>
    <sheet name="Test1e" sheetId="24" r:id="rId8"/>
    <sheet name="Test2a" sheetId="25" r:id="rId9"/>
    <sheet name="Test2b" sheetId="26" r:id="rId10"/>
    <sheet name="Test2c" sheetId="27" r:id="rId11"/>
    <sheet name="Test2d" sheetId="28" r:id="rId12"/>
    <sheet name="Test2e" sheetId="29" r:id="rId13"/>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calcChain.xml><?xml version="1.0" encoding="utf-8"?>
<calcChain xmlns="http://schemas.openxmlformats.org/spreadsheetml/2006/main">
  <c r="E75" i="29" l="1"/>
  <c r="D75" i="29"/>
  <c r="C75" i="29"/>
  <c r="B75" i="29"/>
  <c r="A75" i="29"/>
  <c r="E74" i="29"/>
  <c r="D74" i="29"/>
  <c r="C74" i="29"/>
  <c r="B74" i="29"/>
  <c r="A74" i="29"/>
  <c r="E73" i="29"/>
  <c r="D73" i="29"/>
  <c r="C73" i="29"/>
  <c r="B73" i="29"/>
  <c r="A73" i="29"/>
  <c r="E72" i="29"/>
  <c r="D72" i="29"/>
  <c r="C72" i="29"/>
  <c r="B72" i="29"/>
  <c r="A72" i="29"/>
  <c r="E71" i="29"/>
  <c r="D71" i="29"/>
  <c r="C71" i="29"/>
  <c r="B71" i="29"/>
  <c r="A71" i="29"/>
  <c r="B66" i="29"/>
  <c r="B65" i="29"/>
  <c r="B60" i="29"/>
  <c r="B59" i="29"/>
  <c r="B58" i="29"/>
  <c r="B57" i="29"/>
  <c r="B46" i="29"/>
  <c r="B45" i="29"/>
  <c r="C42" i="29"/>
  <c r="C41" i="29"/>
  <c r="C40" i="29"/>
  <c r="B40" i="29"/>
  <c r="C39" i="29"/>
  <c r="B39" i="29"/>
  <c r="B41" i="29" s="1"/>
  <c r="C36" i="29"/>
  <c r="C35" i="29"/>
  <c r="C34" i="29"/>
  <c r="B34" i="29"/>
  <c r="C33" i="29"/>
  <c r="B33" i="29"/>
  <c r="B35" i="29" s="1"/>
  <c r="E75" i="28"/>
  <c r="D75" i="28"/>
  <c r="C75" i="28"/>
  <c r="B75" i="28"/>
  <c r="A75" i="28"/>
  <c r="E74" i="28"/>
  <c r="D74" i="28"/>
  <c r="C74" i="28"/>
  <c r="B74" i="28"/>
  <c r="A74" i="28"/>
  <c r="E73" i="28"/>
  <c r="D73" i="28"/>
  <c r="C73" i="28"/>
  <c r="B73" i="28"/>
  <c r="A73" i="28"/>
  <c r="E72" i="28"/>
  <c r="D72" i="28"/>
  <c r="C72" i="28"/>
  <c r="B72" i="28"/>
  <c r="A72" i="28"/>
  <c r="E71" i="28"/>
  <c r="D71" i="28"/>
  <c r="C71" i="28"/>
  <c r="B71" i="28"/>
  <c r="A71" i="28"/>
  <c r="B66" i="28"/>
  <c r="B65" i="28"/>
  <c r="B60" i="28"/>
  <c r="B59" i="28"/>
  <c r="B58" i="28"/>
  <c r="B57" i="28"/>
  <c r="B46" i="28"/>
  <c r="B45" i="28"/>
  <c r="C42" i="28"/>
  <c r="C41" i="28"/>
  <c r="C40" i="28"/>
  <c r="B40" i="28"/>
  <c r="C39" i="28"/>
  <c r="B39" i="28"/>
  <c r="B41" i="28" s="1"/>
  <c r="C36" i="28"/>
  <c r="C35" i="28"/>
  <c r="C34" i="28"/>
  <c r="B34" i="28"/>
  <c r="C33" i="28"/>
  <c r="B33" i="28"/>
  <c r="B35" i="28" s="1"/>
  <c r="E75" i="27"/>
  <c r="D75" i="27"/>
  <c r="C75" i="27"/>
  <c r="B75" i="27"/>
  <c r="A75" i="27"/>
  <c r="E74" i="27"/>
  <c r="D74" i="27"/>
  <c r="C74" i="27"/>
  <c r="B74" i="27"/>
  <c r="A74" i="27"/>
  <c r="E73" i="27"/>
  <c r="D73" i="27"/>
  <c r="C73" i="27"/>
  <c r="B73" i="27"/>
  <c r="A73" i="27"/>
  <c r="E72" i="27"/>
  <c r="D72" i="27"/>
  <c r="C72" i="27"/>
  <c r="B72" i="27"/>
  <c r="A72" i="27"/>
  <c r="E71" i="27"/>
  <c r="D71" i="27"/>
  <c r="C71" i="27"/>
  <c r="B71" i="27"/>
  <c r="A71" i="27"/>
  <c r="B66" i="27"/>
  <c r="B65" i="27"/>
  <c r="B60" i="27"/>
  <c r="B59" i="27"/>
  <c r="B58" i="27"/>
  <c r="B57" i="27"/>
  <c r="B46" i="27"/>
  <c r="B45" i="27"/>
  <c r="B47" i="27" s="1"/>
  <c r="C42" i="27"/>
  <c r="C41" i="27"/>
  <c r="C40" i="27"/>
  <c r="B40" i="27"/>
  <c r="C39" i="27"/>
  <c r="B39" i="27"/>
  <c r="B41" i="27" s="1"/>
  <c r="C36" i="27"/>
  <c r="C35" i="27"/>
  <c r="C34" i="27"/>
  <c r="B34" i="27"/>
  <c r="C33" i="27"/>
  <c r="B33" i="27"/>
  <c r="E75" i="26"/>
  <c r="D75" i="26"/>
  <c r="C75" i="26"/>
  <c r="B75" i="26"/>
  <c r="A75" i="26"/>
  <c r="E74" i="26"/>
  <c r="D74" i="26"/>
  <c r="C74" i="26"/>
  <c r="B74" i="26"/>
  <c r="A74" i="26"/>
  <c r="E73" i="26"/>
  <c r="D73" i="26"/>
  <c r="C73" i="26"/>
  <c r="B73" i="26"/>
  <c r="A73" i="26"/>
  <c r="E72" i="26"/>
  <c r="D72" i="26"/>
  <c r="C72" i="26"/>
  <c r="B72" i="26"/>
  <c r="A72" i="26"/>
  <c r="E71" i="26"/>
  <c r="D71" i="26"/>
  <c r="C71" i="26"/>
  <c r="B71" i="26"/>
  <c r="A71" i="26"/>
  <c r="B66" i="26"/>
  <c r="B65" i="26"/>
  <c r="B60" i="26"/>
  <c r="B59" i="26"/>
  <c r="B58" i="26"/>
  <c r="B57" i="26"/>
  <c r="B46" i="26"/>
  <c r="B45" i="26"/>
  <c r="B47" i="26" s="1"/>
  <c r="C42" i="26"/>
  <c r="C41" i="26"/>
  <c r="C40" i="26"/>
  <c r="B40" i="26"/>
  <c r="C39" i="26"/>
  <c r="B39" i="26"/>
  <c r="C36" i="26"/>
  <c r="C35" i="26"/>
  <c r="C34" i="26"/>
  <c r="B34" i="26"/>
  <c r="C33" i="26"/>
  <c r="B33" i="26"/>
  <c r="B35" i="26" s="1"/>
  <c r="E75" i="25"/>
  <c r="D75" i="25"/>
  <c r="C75" i="25"/>
  <c r="B75" i="25"/>
  <c r="A75" i="25"/>
  <c r="E74" i="25"/>
  <c r="D74" i="25"/>
  <c r="C74" i="25"/>
  <c r="B74" i="25"/>
  <c r="A74" i="25"/>
  <c r="E73" i="25"/>
  <c r="D73" i="25"/>
  <c r="C73" i="25"/>
  <c r="B73" i="25"/>
  <c r="A73" i="25"/>
  <c r="E72" i="25"/>
  <c r="D72" i="25"/>
  <c r="C72" i="25"/>
  <c r="B72" i="25"/>
  <c r="A72" i="25"/>
  <c r="E71" i="25"/>
  <c r="D71" i="25"/>
  <c r="C71" i="25"/>
  <c r="B71" i="25"/>
  <c r="A71" i="25"/>
  <c r="B66" i="25"/>
  <c r="B65" i="25"/>
  <c r="B60" i="25"/>
  <c r="B59" i="25"/>
  <c r="B58" i="25"/>
  <c r="B57" i="25"/>
  <c r="B46" i="25"/>
  <c r="B45" i="25"/>
  <c r="C42" i="25"/>
  <c r="C41" i="25"/>
  <c r="C40" i="25"/>
  <c r="B40" i="25"/>
  <c r="C39" i="25"/>
  <c r="B39" i="25"/>
  <c r="B41" i="25" s="1"/>
  <c r="C36" i="25"/>
  <c r="C35" i="25"/>
  <c r="C34" i="25"/>
  <c r="B34" i="25"/>
  <c r="C33" i="25"/>
  <c r="B33" i="25"/>
  <c r="B35" i="25" s="1"/>
  <c r="E75" i="24"/>
  <c r="D75" i="24"/>
  <c r="C75" i="24"/>
  <c r="B75" i="24"/>
  <c r="A75" i="24"/>
  <c r="E74" i="24"/>
  <c r="D74" i="24"/>
  <c r="C74" i="24"/>
  <c r="B74" i="24"/>
  <c r="A74" i="24"/>
  <c r="E73" i="24"/>
  <c r="D73" i="24"/>
  <c r="C73" i="24"/>
  <c r="B73" i="24"/>
  <c r="A73" i="24"/>
  <c r="E72" i="24"/>
  <c r="D72" i="24"/>
  <c r="C72" i="24"/>
  <c r="B72" i="24"/>
  <c r="A72" i="24"/>
  <c r="E71" i="24"/>
  <c r="D71" i="24"/>
  <c r="C71" i="24"/>
  <c r="B71" i="24"/>
  <c r="A71" i="24"/>
  <c r="B66" i="24"/>
  <c r="B65" i="24"/>
  <c r="B60" i="24"/>
  <c r="B59" i="24"/>
  <c r="B58" i="24"/>
  <c r="B57" i="24"/>
  <c r="B47" i="24"/>
  <c r="B49" i="24" s="1"/>
  <c r="B46" i="24"/>
  <c r="B45" i="24"/>
  <c r="C42" i="24"/>
  <c r="C41" i="24"/>
  <c r="C40" i="24"/>
  <c r="B40" i="24"/>
  <c r="C39" i="24"/>
  <c r="B39" i="24"/>
  <c r="B41" i="24" s="1"/>
  <c r="C36" i="24"/>
  <c r="C35" i="24"/>
  <c r="C34" i="24"/>
  <c r="B34" i="24"/>
  <c r="C33" i="24"/>
  <c r="B33" i="24"/>
  <c r="B35" i="24" s="1"/>
  <c r="E75" i="23"/>
  <c r="D75" i="23"/>
  <c r="C75" i="23"/>
  <c r="B75" i="23"/>
  <c r="A75" i="23"/>
  <c r="E74" i="23"/>
  <c r="D74" i="23"/>
  <c r="C74" i="23"/>
  <c r="B74" i="23"/>
  <c r="A74" i="23"/>
  <c r="E73" i="23"/>
  <c r="D73" i="23"/>
  <c r="C73" i="23"/>
  <c r="B73" i="23"/>
  <c r="A73" i="23"/>
  <c r="E72" i="23"/>
  <c r="D72" i="23"/>
  <c r="C72" i="23"/>
  <c r="B72" i="23"/>
  <c r="A72" i="23"/>
  <c r="E71" i="23"/>
  <c r="D71" i="23"/>
  <c r="C71" i="23"/>
  <c r="B71" i="23"/>
  <c r="A71" i="23"/>
  <c r="B66" i="23"/>
  <c r="B65" i="23"/>
  <c r="B60" i="23"/>
  <c r="B59" i="23"/>
  <c r="B58" i="23"/>
  <c r="B57" i="23"/>
  <c r="B46" i="23"/>
  <c r="B45" i="23"/>
  <c r="C42" i="23"/>
  <c r="C41" i="23"/>
  <c r="C40" i="23"/>
  <c r="B40" i="23"/>
  <c r="C39" i="23"/>
  <c r="B39" i="23"/>
  <c r="B41" i="23" s="1"/>
  <c r="C36" i="23"/>
  <c r="C35" i="23"/>
  <c r="C34" i="23"/>
  <c r="B34" i="23"/>
  <c r="C33" i="23"/>
  <c r="B33" i="23"/>
  <c r="E75" i="22"/>
  <c r="D75" i="22"/>
  <c r="C75" i="22"/>
  <c r="B75" i="22"/>
  <c r="A75" i="22"/>
  <c r="E74" i="22"/>
  <c r="D74" i="22"/>
  <c r="C74" i="22"/>
  <c r="B74" i="22"/>
  <c r="A74" i="22"/>
  <c r="E73" i="22"/>
  <c r="D73" i="22"/>
  <c r="C73" i="22"/>
  <c r="B73" i="22"/>
  <c r="A73" i="22"/>
  <c r="E72" i="22"/>
  <c r="D72" i="22"/>
  <c r="C72" i="22"/>
  <c r="B72" i="22"/>
  <c r="A72" i="22"/>
  <c r="E71" i="22"/>
  <c r="D71" i="22"/>
  <c r="C71" i="22"/>
  <c r="B71" i="22"/>
  <c r="A71" i="22"/>
  <c r="B66" i="22"/>
  <c r="B65" i="22"/>
  <c r="B60" i="22"/>
  <c r="B59" i="22"/>
  <c r="B58" i="22"/>
  <c r="B57" i="22"/>
  <c r="B46" i="22"/>
  <c r="B45" i="22"/>
  <c r="B47" i="22" s="1"/>
  <c r="C42" i="22"/>
  <c r="C41" i="22"/>
  <c r="C40" i="22"/>
  <c r="B40" i="22"/>
  <c r="C39" i="22"/>
  <c r="B39" i="22"/>
  <c r="B41" i="22" s="1"/>
  <c r="C36" i="22"/>
  <c r="C35" i="22"/>
  <c r="C34" i="22"/>
  <c r="B34" i="22"/>
  <c r="C33" i="22"/>
  <c r="B33" i="22"/>
  <c r="E75" i="21"/>
  <c r="D75" i="21"/>
  <c r="C75" i="21"/>
  <c r="B75" i="21"/>
  <c r="A75" i="21"/>
  <c r="E74" i="21"/>
  <c r="D74" i="21"/>
  <c r="C74" i="21"/>
  <c r="B74" i="21"/>
  <c r="A74" i="21"/>
  <c r="E73" i="21"/>
  <c r="D73" i="21"/>
  <c r="C73" i="21"/>
  <c r="B73" i="21"/>
  <c r="A73" i="21"/>
  <c r="E72" i="21"/>
  <c r="D72" i="21"/>
  <c r="C72" i="21"/>
  <c r="B72" i="21"/>
  <c r="A72" i="21"/>
  <c r="E71" i="21"/>
  <c r="D71" i="21"/>
  <c r="C71" i="21"/>
  <c r="B71" i="21"/>
  <c r="A71" i="21"/>
  <c r="B66" i="21"/>
  <c r="B65" i="21"/>
  <c r="B60" i="21"/>
  <c r="B59" i="21"/>
  <c r="B58" i="21"/>
  <c r="B57" i="21"/>
  <c r="B46" i="21"/>
  <c r="B45" i="21"/>
  <c r="B47" i="21" s="1"/>
  <c r="C42" i="21"/>
  <c r="C41" i="21"/>
  <c r="C40" i="21"/>
  <c r="B40" i="21"/>
  <c r="C39" i="21"/>
  <c r="B39" i="21"/>
  <c r="C36" i="21"/>
  <c r="C35" i="21"/>
  <c r="C34" i="21"/>
  <c r="B34" i="21"/>
  <c r="C33" i="21"/>
  <c r="B33" i="21"/>
  <c r="B35" i="21" s="1"/>
  <c r="E75" i="20"/>
  <c r="D75" i="20"/>
  <c r="C75" i="20"/>
  <c r="B75" i="20"/>
  <c r="A75" i="20"/>
  <c r="E74" i="20"/>
  <c r="D74" i="20"/>
  <c r="C74" i="20"/>
  <c r="B74" i="20"/>
  <c r="A74" i="20"/>
  <c r="E73" i="20"/>
  <c r="D73" i="20"/>
  <c r="C73" i="20"/>
  <c r="B73" i="20"/>
  <c r="A73" i="20"/>
  <c r="E72" i="20"/>
  <c r="D72" i="20"/>
  <c r="C72" i="20"/>
  <c r="B72" i="20"/>
  <c r="A72" i="20"/>
  <c r="E71" i="20"/>
  <c r="D71" i="20"/>
  <c r="C71" i="20"/>
  <c r="B71" i="20"/>
  <c r="A71" i="20"/>
  <c r="B66" i="20"/>
  <c r="B65" i="20"/>
  <c r="B60" i="20"/>
  <c r="B59" i="20"/>
  <c r="B58" i="20"/>
  <c r="B57" i="20"/>
  <c r="B46" i="20"/>
  <c r="B45" i="20"/>
  <c r="C42" i="20"/>
  <c r="C41" i="20"/>
  <c r="C40" i="20"/>
  <c r="B40" i="20"/>
  <c r="C39" i="20"/>
  <c r="B39" i="20"/>
  <c r="B41" i="20" s="1"/>
  <c r="C36" i="20"/>
  <c r="C35" i="20"/>
  <c r="C34" i="20"/>
  <c r="B34" i="20"/>
  <c r="C33" i="20"/>
  <c r="B33" i="20"/>
  <c r="B35" i="20" s="1"/>
  <c r="B71" i="18"/>
  <c r="C71" i="18"/>
  <c r="D71" i="18"/>
  <c r="E71" i="18"/>
  <c r="A71" i="18"/>
  <c r="B72" i="18"/>
  <c r="C72" i="18"/>
  <c r="D72" i="18"/>
  <c r="E72" i="18"/>
  <c r="B73" i="18"/>
  <c r="C73" i="18"/>
  <c r="D73" i="18"/>
  <c r="E73" i="18"/>
  <c r="B74" i="18"/>
  <c r="C74" i="18"/>
  <c r="D74" i="18"/>
  <c r="E74" i="18"/>
  <c r="B75" i="18"/>
  <c r="C75" i="18"/>
  <c r="D75" i="18"/>
  <c r="E75" i="18"/>
  <c r="A73" i="18"/>
  <c r="A74" i="18"/>
  <c r="A75" i="18"/>
  <c r="A72" i="18"/>
  <c r="B47" i="29" l="1"/>
  <c r="B62" i="29"/>
  <c r="B42" i="29"/>
  <c r="B61" i="29"/>
  <c r="B36" i="29"/>
  <c r="B48" i="29"/>
  <c r="B49" i="29"/>
  <c r="B47" i="28"/>
  <c r="B35" i="27"/>
  <c r="B41" i="26"/>
  <c r="B61" i="28"/>
  <c r="B36" i="28"/>
  <c r="B62" i="28"/>
  <c r="B42" i="28"/>
  <c r="B49" i="28"/>
  <c r="B48" i="28"/>
  <c r="B36" i="27"/>
  <c r="B61" i="27"/>
  <c r="B62" i="27"/>
  <c r="B42" i="27"/>
  <c r="B49" i="27"/>
  <c r="B48" i="27"/>
  <c r="B62" i="26"/>
  <c r="B42" i="26"/>
  <c r="B49" i="26"/>
  <c r="B48" i="26"/>
  <c r="B61" i="26"/>
  <c r="B36" i="26"/>
  <c r="B47" i="25"/>
  <c r="B61" i="25"/>
  <c r="B36" i="25"/>
  <c r="B62" i="25"/>
  <c r="B42" i="25"/>
  <c r="B49" i="25"/>
  <c r="B48" i="25"/>
  <c r="B62" i="24"/>
  <c r="B42" i="24"/>
  <c r="B61" i="24"/>
  <c r="B36" i="24"/>
  <c r="B48" i="24"/>
  <c r="B35" i="23"/>
  <c r="B47" i="23"/>
  <c r="B49" i="23" s="1"/>
  <c r="B35" i="22"/>
  <c r="B61" i="22" s="1"/>
  <c r="B41" i="21"/>
  <c r="B62" i="23"/>
  <c r="B42" i="23"/>
  <c r="B61" i="23"/>
  <c r="B36" i="23"/>
  <c r="B48" i="23"/>
  <c r="B62" i="22"/>
  <c r="B42" i="22"/>
  <c r="B36" i="22"/>
  <c r="B49" i="22"/>
  <c r="B48" i="22"/>
  <c r="B61" i="21"/>
  <c r="B36" i="21"/>
  <c r="B62" i="21"/>
  <c r="B42" i="21"/>
  <c r="B49" i="21"/>
  <c r="B48" i="21"/>
  <c r="B47" i="20"/>
  <c r="B48" i="20" s="1"/>
  <c r="B62" i="20"/>
  <c r="B42" i="20"/>
  <c r="B36" i="20"/>
  <c r="B61" i="20"/>
  <c r="B52" i="29" l="1"/>
  <c r="B56" i="29" s="1"/>
  <c r="C56" i="29" s="1"/>
  <c r="B63" i="29"/>
  <c r="B52" i="28"/>
  <c r="B56" i="28" s="1"/>
  <c r="C56" i="28" s="1"/>
  <c r="B63" i="28"/>
  <c r="B52" i="27"/>
  <c r="B56" i="27" s="1"/>
  <c r="C56" i="27" s="1"/>
  <c r="B63" i="27"/>
  <c r="B52" i="26"/>
  <c r="B56" i="26" s="1"/>
  <c r="C56" i="26" s="1"/>
  <c r="B63" i="26"/>
  <c r="B52" i="25"/>
  <c r="B56" i="25" s="1"/>
  <c r="C56" i="25" s="1"/>
  <c r="B63" i="25"/>
  <c r="B52" i="24"/>
  <c r="B56" i="24" s="1"/>
  <c r="C56" i="24" s="1"/>
  <c r="B63" i="24"/>
  <c r="B52" i="23"/>
  <c r="B56" i="23" s="1"/>
  <c r="C56" i="23" s="1"/>
  <c r="B63" i="23"/>
  <c r="B52" i="22"/>
  <c r="B56" i="22" s="1"/>
  <c r="C56" i="22" s="1"/>
  <c r="B63" i="22"/>
  <c r="B52" i="21"/>
  <c r="B56" i="21" s="1"/>
  <c r="C56" i="21" s="1"/>
  <c r="B63" i="21"/>
  <c r="B49" i="20"/>
  <c r="B52" i="20"/>
  <c r="B56" i="20" s="1"/>
  <c r="C56" i="20" s="1"/>
  <c r="B63" i="20"/>
  <c r="B66" i="18"/>
  <c r="B65" i="18"/>
  <c r="B60" i="18"/>
  <c r="B59" i="18"/>
  <c r="B58" i="18"/>
  <c r="B57" i="18"/>
  <c r="B46" i="18"/>
  <c r="C40" i="18"/>
  <c r="C41" i="18"/>
  <c r="C42" i="18"/>
  <c r="C39" i="18"/>
  <c r="C34" i="18"/>
  <c r="C35" i="18"/>
  <c r="C36" i="18"/>
  <c r="C33" i="18"/>
  <c r="J10" i="19"/>
  <c r="J11" i="19"/>
  <c r="J12" i="19"/>
  <c r="J9" i="19"/>
  <c r="H10" i="19"/>
  <c r="H11" i="19"/>
  <c r="H12" i="19"/>
  <c r="H9" i="19"/>
  <c r="G10" i="19"/>
  <c r="G11" i="19"/>
  <c r="G12" i="19"/>
  <c r="G9" i="19"/>
  <c r="F9" i="19"/>
  <c r="C31" i="19"/>
  <c r="D31" i="19" s="1"/>
  <c r="C30" i="19"/>
  <c r="E30" i="19" s="1"/>
  <c r="C27" i="19"/>
  <c r="D27" i="19" s="1"/>
  <c r="C26" i="19"/>
  <c r="D26" i="19" s="1"/>
  <c r="C47" i="19"/>
  <c r="E47" i="19" s="1"/>
  <c r="C46" i="19"/>
  <c r="E46" i="19" s="1"/>
  <c r="E48" i="19" s="1"/>
  <c r="D12" i="19"/>
  <c r="D11" i="19"/>
  <c r="D10" i="19"/>
  <c r="F12" i="19"/>
  <c r="F11" i="19"/>
  <c r="F10" i="19"/>
  <c r="C43" i="19"/>
  <c r="E43" i="19" s="1"/>
  <c r="C42" i="19"/>
  <c r="D42" i="19" s="1"/>
  <c r="C39" i="19"/>
  <c r="E39" i="19" s="1"/>
  <c r="C38" i="19"/>
  <c r="E38" i="19" s="1"/>
  <c r="C35" i="19"/>
  <c r="E35" i="19" s="1"/>
  <c r="C34" i="19"/>
  <c r="D34" i="19" s="1"/>
  <c r="C23" i="19"/>
  <c r="E23" i="19" s="1"/>
  <c r="C22" i="19"/>
  <c r="E22" i="19" s="1"/>
  <c r="C19" i="19"/>
  <c r="E19" i="19" s="1"/>
  <c r="C18" i="19"/>
  <c r="E18" i="19" s="1"/>
  <c r="E20" i="19" s="1"/>
  <c r="B45" i="18"/>
  <c r="B40" i="18"/>
  <c r="B39" i="18"/>
  <c r="B34" i="18"/>
  <c r="E24" i="19" l="1"/>
  <c r="D28" i="19"/>
  <c r="E32" i="19"/>
  <c r="E40" i="19"/>
  <c r="J72" i="29"/>
  <c r="O72" i="29" s="1"/>
  <c r="G74" i="29"/>
  <c r="L74" i="29" s="1"/>
  <c r="I72" i="29"/>
  <c r="N72" i="29" s="1"/>
  <c r="G72" i="29"/>
  <c r="L72" i="29" s="1"/>
  <c r="I74" i="29"/>
  <c r="N74" i="29" s="1"/>
  <c r="I75" i="29"/>
  <c r="N75" i="29" s="1"/>
  <c r="G73" i="29"/>
  <c r="L73" i="29" s="1"/>
  <c r="J75" i="29"/>
  <c r="O75" i="29" s="1"/>
  <c r="J74" i="29"/>
  <c r="O74" i="29" s="1"/>
  <c r="I73" i="29"/>
  <c r="N73" i="29" s="1"/>
  <c r="J73" i="29"/>
  <c r="O73" i="29" s="1"/>
  <c r="G75" i="29"/>
  <c r="L75" i="29" s="1"/>
  <c r="H74" i="29"/>
  <c r="M74" i="29" s="1"/>
  <c r="H73" i="29"/>
  <c r="M73" i="29" s="1"/>
  <c r="H72" i="29"/>
  <c r="M72" i="29" s="1"/>
  <c r="H75" i="29"/>
  <c r="M75" i="29" s="1"/>
  <c r="H74" i="28"/>
  <c r="M74" i="28" s="1"/>
  <c r="H72" i="28"/>
  <c r="M72" i="28" s="1"/>
  <c r="H73" i="28"/>
  <c r="M73" i="28" s="1"/>
  <c r="H75" i="28"/>
  <c r="M75" i="28" s="1"/>
  <c r="I74" i="28"/>
  <c r="N74" i="28" s="1"/>
  <c r="J74" i="28"/>
  <c r="O74" i="28" s="1"/>
  <c r="J72" i="28"/>
  <c r="O72" i="28" s="1"/>
  <c r="G73" i="28"/>
  <c r="L73" i="28" s="1"/>
  <c r="J75" i="28"/>
  <c r="O75" i="28" s="1"/>
  <c r="I72" i="28"/>
  <c r="N72" i="28" s="1"/>
  <c r="I73" i="28"/>
  <c r="N73" i="28" s="1"/>
  <c r="G75" i="28"/>
  <c r="L75" i="28" s="1"/>
  <c r="G74" i="28"/>
  <c r="L74" i="28" s="1"/>
  <c r="J73" i="28"/>
  <c r="O73" i="28" s="1"/>
  <c r="G72" i="28"/>
  <c r="L72" i="28" s="1"/>
  <c r="I75" i="28"/>
  <c r="N75" i="28" s="1"/>
  <c r="H74" i="27"/>
  <c r="M74" i="27" s="1"/>
  <c r="H75" i="27"/>
  <c r="M75" i="27" s="1"/>
  <c r="H73" i="27"/>
  <c r="M73" i="27" s="1"/>
  <c r="H72" i="27"/>
  <c r="M72" i="27" s="1"/>
  <c r="M76" i="27" s="1"/>
  <c r="I74" i="27"/>
  <c r="N74" i="27" s="1"/>
  <c r="J72" i="27"/>
  <c r="O72" i="27" s="1"/>
  <c r="J74" i="27"/>
  <c r="O74" i="27" s="1"/>
  <c r="J75" i="27"/>
  <c r="O75" i="27" s="1"/>
  <c r="I72" i="27"/>
  <c r="N72" i="27" s="1"/>
  <c r="J73" i="27"/>
  <c r="O73" i="27" s="1"/>
  <c r="G75" i="27"/>
  <c r="L75" i="27" s="1"/>
  <c r="G72" i="27"/>
  <c r="L72" i="27" s="1"/>
  <c r="I75" i="27"/>
  <c r="N75" i="27" s="1"/>
  <c r="I73" i="27"/>
  <c r="N73" i="27" s="1"/>
  <c r="G74" i="27"/>
  <c r="L74" i="27" s="1"/>
  <c r="G73" i="27"/>
  <c r="L73" i="27" s="1"/>
  <c r="H74" i="26"/>
  <c r="M74" i="26" s="1"/>
  <c r="H73" i="26"/>
  <c r="M73" i="26" s="1"/>
  <c r="H72" i="26"/>
  <c r="M72" i="26" s="1"/>
  <c r="M76" i="26" s="1"/>
  <c r="H75" i="26"/>
  <c r="M75" i="26" s="1"/>
  <c r="J74" i="26"/>
  <c r="O74" i="26" s="1"/>
  <c r="J72" i="26"/>
  <c r="O72" i="26" s="1"/>
  <c r="J75" i="26"/>
  <c r="O75" i="26" s="1"/>
  <c r="I74" i="26"/>
  <c r="N74" i="26" s="1"/>
  <c r="I75" i="26"/>
  <c r="N75" i="26" s="1"/>
  <c r="G73" i="26"/>
  <c r="L73" i="26" s="1"/>
  <c r="G74" i="26"/>
  <c r="L74" i="26" s="1"/>
  <c r="I73" i="26"/>
  <c r="N73" i="26" s="1"/>
  <c r="G72" i="26"/>
  <c r="L72" i="26" s="1"/>
  <c r="G75" i="26"/>
  <c r="L75" i="26" s="1"/>
  <c r="I72" i="26"/>
  <c r="N72" i="26" s="1"/>
  <c r="J73" i="26"/>
  <c r="O73" i="26" s="1"/>
  <c r="H74" i="25"/>
  <c r="M74" i="25" s="1"/>
  <c r="H73" i="25"/>
  <c r="M73" i="25" s="1"/>
  <c r="H75" i="25"/>
  <c r="M75" i="25" s="1"/>
  <c r="H72" i="25"/>
  <c r="M72" i="25" s="1"/>
  <c r="I74" i="25"/>
  <c r="N74" i="25" s="1"/>
  <c r="J74" i="25"/>
  <c r="O74" i="25" s="1"/>
  <c r="G74" i="25"/>
  <c r="L74" i="25" s="1"/>
  <c r="J72" i="25"/>
  <c r="O72" i="25" s="1"/>
  <c r="I73" i="25"/>
  <c r="N73" i="25" s="1"/>
  <c r="I72" i="25"/>
  <c r="N72" i="25" s="1"/>
  <c r="G73" i="25"/>
  <c r="L73" i="25" s="1"/>
  <c r="G72" i="25"/>
  <c r="L72" i="25" s="1"/>
  <c r="J75" i="25"/>
  <c r="O75" i="25" s="1"/>
  <c r="I75" i="25"/>
  <c r="N75" i="25" s="1"/>
  <c r="J73" i="25"/>
  <c r="O73" i="25" s="1"/>
  <c r="G75" i="25"/>
  <c r="L75" i="25" s="1"/>
  <c r="H74" i="24"/>
  <c r="M74" i="24" s="1"/>
  <c r="H72" i="24"/>
  <c r="M72" i="24" s="1"/>
  <c r="H73" i="24"/>
  <c r="M73" i="24" s="1"/>
  <c r="H75" i="24"/>
  <c r="M75" i="24" s="1"/>
  <c r="J72" i="24"/>
  <c r="O72" i="24" s="1"/>
  <c r="G75" i="24"/>
  <c r="L75" i="24" s="1"/>
  <c r="I74" i="24"/>
  <c r="N74" i="24" s="1"/>
  <c r="G73" i="24"/>
  <c r="L73" i="24" s="1"/>
  <c r="I75" i="24"/>
  <c r="N75" i="24" s="1"/>
  <c r="G74" i="24"/>
  <c r="L74" i="24" s="1"/>
  <c r="J74" i="24"/>
  <c r="O74" i="24" s="1"/>
  <c r="J75" i="24"/>
  <c r="O75" i="24" s="1"/>
  <c r="I72" i="24"/>
  <c r="N72" i="24" s="1"/>
  <c r="I73" i="24"/>
  <c r="N73" i="24" s="1"/>
  <c r="G72" i="24"/>
  <c r="L72" i="24" s="1"/>
  <c r="J73" i="24"/>
  <c r="O73" i="24" s="1"/>
  <c r="H74" i="23"/>
  <c r="M74" i="23" s="1"/>
  <c r="H73" i="23"/>
  <c r="M73" i="23" s="1"/>
  <c r="H72" i="23"/>
  <c r="M72" i="23" s="1"/>
  <c r="H75" i="23"/>
  <c r="M75" i="23" s="1"/>
  <c r="J74" i="23"/>
  <c r="O74" i="23" s="1"/>
  <c r="I74" i="23"/>
  <c r="N74" i="23" s="1"/>
  <c r="J72" i="23"/>
  <c r="O72" i="23" s="1"/>
  <c r="G74" i="23"/>
  <c r="L74" i="23" s="1"/>
  <c r="J75" i="23"/>
  <c r="O75" i="23" s="1"/>
  <c r="I75" i="23"/>
  <c r="N75" i="23" s="1"/>
  <c r="G73" i="23"/>
  <c r="L73" i="23" s="1"/>
  <c r="I72" i="23"/>
  <c r="N72" i="23" s="1"/>
  <c r="I73" i="23"/>
  <c r="N73" i="23" s="1"/>
  <c r="G75" i="23"/>
  <c r="L75" i="23" s="1"/>
  <c r="G72" i="23"/>
  <c r="L72" i="23" s="1"/>
  <c r="J73" i="23"/>
  <c r="O73" i="23" s="1"/>
  <c r="H75" i="22"/>
  <c r="M75" i="22" s="1"/>
  <c r="H74" i="22"/>
  <c r="M74" i="22" s="1"/>
  <c r="H72" i="22"/>
  <c r="M72" i="22" s="1"/>
  <c r="H73" i="22"/>
  <c r="M73" i="22" s="1"/>
  <c r="I75" i="22"/>
  <c r="N75" i="22" s="1"/>
  <c r="J74" i="22"/>
  <c r="O74" i="22" s="1"/>
  <c r="J72" i="22"/>
  <c r="O72" i="22" s="1"/>
  <c r="J73" i="22"/>
  <c r="O73" i="22" s="1"/>
  <c r="G73" i="22"/>
  <c r="L73" i="22" s="1"/>
  <c r="I72" i="22"/>
  <c r="N72" i="22" s="1"/>
  <c r="I74" i="22"/>
  <c r="N74" i="22" s="1"/>
  <c r="I73" i="22"/>
  <c r="N73" i="22" s="1"/>
  <c r="J75" i="22"/>
  <c r="O75" i="22" s="1"/>
  <c r="G75" i="22"/>
  <c r="L75" i="22" s="1"/>
  <c r="G72" i="22"/>
  <c r="L72" i="22" s="1"/>
  <c r="G74" i="22"/>
  <c r="L74" i="22" s="1"/>
  <c r="H72" i="21"/>
  <c r="M72" i="21" s="1"/>
  <c r="H75" i="21"/>
  <c r="M75" i="21" s="1"/>
  <c r="H74" i="21"/>
  <c r="M74" i="21" s="1"/>
  <c r="H73" i="21"/>
  <c r="M73" i="21" s="1"/>
  <c r="I74" i="21"/>
  <c r="N74" i="21" s="1"/>
  <c r="I72" i="21"/>
  <c r="N72" i="21" s="1"/>
  <c r="J75" i="21"/>
  <c r="O75" i="21" s="1"/>
  <c r="G74" i="21"/>
  <c r="L74" i="21" s="1"/>
  <c r="J72" i="21"/>
  <c r="O72" i="21" s="1"/>
  <c r="G72" i="21"/>
  <c r="L72" i="21" s="1"/>
  <c r="G73" i="21"/>
  <c r="L73" i="21" s="1"/>
  <c r="J74" i="21"/>
  <c r="O74" i="21" s="1"/>
  <c r="J73" i="21"/>
  <c r="O73" i="21" s="1"/>
  <c r="I73" i="21"/>
  <c r="N73" i="21" s="1"/>
  <c r="G75" i="21"/>
  <c r="L75" i="21" s="1"/>
  <c r="I75" i="21"/>
  <c r="N75" i="21" s="1"/>
  <c r="H75" i="20"/>
  <c r="M75" i="20" s="1"/>
  <c r="H72" i="20"/>
  <c r="M72" i="20" s="1"/>
  <c r="H74" i="20"/>
  <c r="M74" i="20" s="1"/>
  <c r="H73" i="20"/>
  <c r="M73" i="20" s="1"/>
  <c r="J74" i="20"/>
  <c r="O74" i="20" s="1"/>
  <c r="J72" i="20"/>
  <c r="O72" i="20" s="1"/>
  <c r="I74" i="20"/>
  <c r="N74" i="20" s="1"/>
  <c r="I72" i="20"/>
  <c r="N72" i="20" s="1"/>
  <c r="I75" i="20"/>
  <c r="N75" i="20" s="1"/>
  <c r="J75" i="20"/>
  <c r="O75" i="20" s="1"/>
  <c r="G72" i="20"/>
  <c r="L72" i="20" s="1"/>
  <c r="J73" i="20"/>
  <c r="O73" i="20" s="1"/>
  <c r="G73" i="20"/>
  <c r="L73" i="20" s="1"/>
  <c r="G74" i="20"/>
  <c r="L74" i="20" s="1"/>
  <c r="I73" i="20"/>
  <c r="N73" i="20" s="1"/>
  <c r="G75" i="20"/>
  <c r="L75" i="20" s="1"/>
  <c r="B41" i="18"/>
  <c r="B42" i="18" s="1"/>
  <c r="B47" i="18"/>
  <c r="B48" i="18" s="1"/>
  <c r="B62" i="18"/>
  <c r="E31" i="19"/>
  <c r="F31" i="19" s="1"/>
  <c r="G31" i="19" s="1"/>
  <c r="H31" i="19" s="1"/>
  <c r="E27" i="19"/>
  <c r="F27" i="19" s="1"/>
  <c r="G27" i="19" s="1"/>
  <c r="H27" i="19" s="1"/>
  <c r="E26" i="19"/>
  <c r="E28" i="19" s="1"/>
  <c r="D30" i="19"/>
  <c r="D32" i="19" s="1"/>
  <c r="D47" i="19"/>
  <c r="F47" i="19" s="1"/>
  <c r="G47" i="19" s="1"/>
  <c r="H47" i="19" s="1"/>
  <c r="D46" i="19"/>
  <c r="E42" i="19"/>
  <c r="E34" i="19"/>
  <c r="E36" i="19" s="1"/>
  <c r="D38" i="19"/>
  <c r="F34" i="19"/>
  <c r="G34" i="19" s="1"/>
  <c r="H34" i="19" s="1"/>
  <c r="D23" i="19"/>
  <c r="F23" i="19" s="1"/>
  <c r="G23" i="19" s="1"/>
  <c r="H23" i="19" s="1"/>
  <c r="D18" i="19"/>
  <c r="D20" i="19" s="1"/>
  <c r="D35" i="19"/>
  <c r="F35" i="19" s="1"/>
  <c r="G35" i="19" s="1"/>
  <c r="H35" i="19" s="1"/>
  <c r="D22" i="19"/>
  <c r="D39" i="19"/>
  <c r="D19" i="19"/>
  <c r="F19" i="19" s="1"/>
  <c r="G19" i="19" s="1"/>
  <c r="H19" i="19" s="1"/>
  <c r="D43" i="19"/>
  <c r="F43" i="19" s="1"/>
  <c r="G43" i="19" s="1"/>
  <c r="H43" i="19" s="1"/>
  <c r="B33" i="18"/>
  <c r="B35" i="18" s="1"/>
  <c r="F38" i="19" l="1"/>
  <c r="G38" i="19" s="1"/>
  <c r="H38" i="19" s="1"/>
  <c r="D40" i="19"/>
  <c r="F42" i="19"/>
  <c r="G42" i="19" s="1"/>
  <c r="H42" i="19" s="1"/>
  <c r="E44" i="19"/>
  <c r="D24" i="19"/>
  <c r="D48" i="19"/>
  <c r="F48" i="19" s="1"/>
  <c r="G48" i="19" s="1"/>
  <c r="H48" i="19" s="1"/>
  <c r="D36" i="19"/>
  <c r="F36" i="19" s="1"/>
  <c r="G36" i="19" s="1"/>
  <c r="H36" i="19" s="1"/>
  <c r="D44" i="19"/>
  <c r="F44" i="19" s="1"/>
  <c r="G44" i="19" s="1"/>
  <c r="H44" i="19" s="1"/>
  <c r="M76" i="29"/>
  <c r="L76" i="29"/>
  <c r="B79" i="29" s="1"/>
  <c r="B78" i="29"/>
  <c r="B78" i="28"/>
  <c r="M76" i="28"/>
  <c r="L76" i="28"/>
  <c r="L76" i="27"/>
  <c r="B79" i="27" s="1"/>
  <c r="B78" i="27"/>
  <c r="B78" i="26"/>
  <c r="L76" i="26"/>
  <c r="B79" i="26" s="1"/>
  <c r="M76" i="25"/>
  <c r="B78" i="25"/>
  <c r="L76" i="25"/>
  <c r="L76" i="24"/>
  <c r="B78" i="24"/>
  <c r="M76" i="24"/>
  <c r="M76" i="23"/>
  <c r="B78" i="22"/>
  <c r="L76" i="23"/>
  <c r="B79" i="23" s="1"/>
  <c r="B78" i="23"/>
  <c r="L76" i="22"/>
  <c r="M76" i="22"/>
  <c r="B78" i="21"/>
  <c r="L76" i="21"/>
  <c r="M76" i="21"/>
  <c r="B78" i="20"/>
  <c r="L76" i="20"/>
  <c r="M76" i="20"/>
  <c r="B52" i="18"/>
  <c r="B63" i="18"/>
  <c r="B36" i="18"/>
  <c r="B61" i="18"/>
  <c r="F26" i="19"/>
  <c r="G26" i="19" s="1"/>
  <c r="H26" i="19" s="1"/>
  <c r="F32" i="19"/>
  <c r="G32" i="19" s="1"/>
  <c r="H32" i="19" s="1"/>
  <c r="F30" i="19"/>
  <c r="G30" i="19" s="1"/>
  <c r="H30" i="19" s="1"/>
  <c r="F28" i="19"/>
  <c r="G28" i="19" s="1"/>
  <c r="H28" i="19" s="1"/>
  <c r="F46" i="19"/>
  <c r="G46" i="19" s="1"/>
  <c r="H46" i="19" s="1"/>
  <c r="F20" i="19"/>
  <c r="G20" i="19" s="1"/>
  <c r="H20" i="19" s="1"/>
  <c r="F18" i="19"/>
  <c r="G18" i="19" s="1"/>
  <c r="H18" i="19" s="1"/>
  <c r="F39" i="19"/>
  <c r="G39" i="19" s="1"/>
  <c r="H39" i="19" s="1"/>
  <c r="F40" i="19"/>
  <c r="G40" i="19" s="1"/>
  <c r="H40" i="19" s="1"/>
  <c r="F22" i="19"/>
  <c r="G22" i="19" s="1"/>
  <c r="H22" i="19" s="1"/>
  <c r="F24" i="19"/>
  <c r="G24" i="19" s="1"/>
  <c r="H24" i="19" s="1"/>
  <c r="B49" i="18"/>
  <c r="B79" i="28" l="1"/>
  <c r="B79" i="25"/>
  <c r="B79" i="24"/>
  <c r="B79" i="22"/>
  <c r="B79" i="21"/>
  <c r="B79" i="20"/>
  <c r="H74" i="18"/>
  <c r="M74" i="18" s="1"/>
  <c r="H73" i="18"/>
  <c r="M73" i="18" s="1"/>
  <c r="H75" i="18"/>
  <c r="M75" i="18" s="1"/>
  <c r="H72" i="18"/>
  <c r="M72" i="18" s="1"/>
  <c r="B56" i="18"/>
  <c r="C56" i="18" s="1"/>
  <c r="M76" i="18" l="1"/>
  <c r="I74" i="18"/>
  <c r="N74" i="18" s="1"/>
  <c r="I72" i="18"/>
  <c r="N72" i="18" s="1"/>
  <c r="I75" i="18"/>
  <c r="N75" i="18" s="1"/>
  <c r="J75" i="18"/>
  <c r="O75" i="18" s="1"/>
  <c r="G74" i="18"/>
  <c r="L74" i="18" s="1"/>
  <c r="I73" i="18"/>
  <c r="N73" i="18" s="1"/>
  <c r="J73" i="18"/>
  <c r="O73" i="18" s="1"/>
  <c r="J74" i="18"/>
  <c r="O74" i="18" s="1"/>
  <c r="G73" i="18"/>
  <c r="L73" i="18" s="1"/>
  <c r="G72" i="18"/>
  <c r="L72" i="18" s="1"/>
  <c r="J72" i="18"/>
  <c r="O72" i="18" s="1"/>
  <c r="G75" i="18"/>
  <c r="L75" i="18" s="1"/>
  <c r="N27" i="6"/>
  <c r="L27" i="6"/>
  <c r="N26" i="6"/>
  <c r="L26" i="6"/>
  <c r="N25" i="6"/>
  <c r="L25" i="6"/>
  <c r="N24" i="6"/>
  <c r="L24" i="6"/>
  <c r="N23" i="6"/>
  <c r="L23" i="6"/>
  <c r="N21" i="6"/>
  <c r="L21" i="6"/>
  <c r="N22" i="6"/>
  <c r="L22" i="6"/>
  <c r="N18" i="6"/>
  <c r="N19" i="6"/>
  <c r="N20" i="6"/>
  <c r="N17" i="6"/>
  <c r="L19" i="6"/>
  <c r="L20" i="6"/>
  <c r="L18" i="6"/>
  <c r="C15" i="6"/>
  <c r="D15" i="6" s="1"/>
  <c r="E15" i="6" s="1"/>
  <c r="F15" i="6" s="1"/>
  <c r="G15" i="6" s="1"/>
  <c r="H15" i="6" s="1"/>
  <c r="I15" i="6" s="1"/>
  <c r="J15" i="6" s="1"/>
  <c r="K15" i="6" s="1"/>
  <c r="P17" i="6" s="1"/>
  <c r="B78" i="18" l="1"/>
  <c r="L76" i="18"/>
  <c r="B79" i="18" s="1"/>
  <c r="P21" i="6"/>
  <c r="P22" i="6"/>
  <c r="P23" i="6"/>
  <c r="P24" i="6"/>
  <c r="P25" i="6"/>
  <c r="P26" i="6"/>
  <c r="P19" i="6"/>
  <c r="P27" i="6"/>
  <c r="P20" i="6"/>
  <c r="P18" i="6"/>
</calcChain>
</file>

<file path=xl/sharedStrings.xml><?xml version="1.0" encoding="utf-8"?>
<sst xmlns="http://schemas.openxmlformats.org/spreadsheetml/2006/main" count="1486" uniqueCount="200">
  <si>
    <t>degrees</t>
  </si>
  <si>
    <t>[units of CRS]</t>
  </si>
  <si>
    <t>Use at least double precision (8B) floating point (storage or temp variables) and computations for all variables.</t>
  </si>
  <si>
    <t>A</t>
  </si>
  <si>
    <t>B</t>
  </si>
  <si>
    <t>C</t>
  </si>
  <si>
    <t>D</t>
  </si>
  <si>
    <t>Easting</t>
  </si>
  <si>
    <t>x</t>
  </si>
  <si>
    <t>That is not an issue for the bin grid entity defined at increment level 1, but the min/max inline of the data set would be, e.g., min=3, max=9 for increment=2, such that (max-min)/incr=integer.</t>
  </si>
  <si>
    <t>Precision (may be stored to more digits (not necessary) but should be displayed to end users as):</t>
  </si>
  <si>
    <t>projected coordinates to 2 decimal places (defining; assume cm level for CRS in meters)</t>
  </si>
  <si>
    <t>increments, inl,xln are integers (defining)</t>
  </si>
  <si>
    <t>bearing to 5 decimal places (derived, not defining), in degrees, e.g., 107.12345 deg</t>
  </si>
  <si>
    <t>Inline (integer)</t>
  </si>
  <si>
    <t>Crossline (integer)</t>
  </si>
  <si>
    <t>Point Sequence*</t>
  </si>
  <si>
    <t>Easting (X)</t>
  </si>
  <si>
    <t>Northing (Y)</t>
  </si>
  <si>
    <t>X0</t>
  </si>
  <si>
    <t>Y0</t>
  </si>
  <si>
    <t>For incremented data the trace location remains posted at the original spot as shown below (i.e., for increment 4, the trace is not posted at the center of the first 4 bins); and then "skip counted".</t>
  </si>
  <si>
    <t>m</t>
  </si>
  <si>
    <t>inline(inc)</t>
  </si>
  <si>
    <t>("real" spacing)</t>
  </si>
  <si>
    <t>("real" count)</t>
  </si>
  <si>
    <t>computed spacing</t>
  </si>
  <si>
    <t>Note: for increment level 2 and 4 the last cell is not an integer multiple (for example)</t>
  </si>
  <si>
    <t>spacing_incrN = spacing_inc1 * incrN</t>
  </si>
  <si>
    <t>spacing_inc1 = dR / (count_inc1 - 1)</t>
  </si>
  <si>
    <t>real count = floor((max-min)/incr) + 1</t>
  </si>
  <si>
    <t>(see the math equations used above as example)</t>
  </si>
  <si>
    <t>deg</t>
  </si>
  <si>
    <t>R_CD</t>
  </si>
  <si>
    <t>R_BD</t>
  </si>
  <si>
    <t>X'</t>
  </si>
  <si>
    <t>Y'</t>
  </si>
  <si>
    <t>input</t>
  </si>
  <si>
    <t>X-X'</t>
  </si>
  <si>
    <t>Y-Y'</t>
  </si>
  <si>
    <t>-min-</t>
  </si>
  <si>
    <t>-max-</t>
  </si>
  <si>
    <t>An integer (inl, xln) represents the bin center of a cell at increment 1.  This is normal for processed data.  During acquisition often an inline is where boat actually sailed, i.e., integer may be at the edge of a bin in that definition.</t>
  </si>
  <si>
    <t>Fig. 1: Posting of trace data for an example bin grid (1D example), defined by coordinates at inline1 and inline 10, show for increment levels 1 to 11.</t>
  </si>
  <si>
    <t>If a vendor has posted the trace at the center of an averaged bin then there will be a mis-location less than half of the "real spacing" of the multi-looked bin size.</t>
  </si>
  <si>
    <t>We do not have equations to represent traces in the middle of a "real" bin; and assume sub-sampling of a volume was done to load e.g., every 2nd trace.</t>
  </si>
  <si>
    <t>Projected CRS:</t>
  </si>
  <si>
    <t>Coordinate Transformation:</t>
  </si>
  <si>
    <t>n/a</t>
  </si>
  <si>
    <t>ftUS</t>
  </si>
  <si>
    <t>Bert Kampes</t>
  </si>
  <si>
    <t>NAD27 / UTM zone 15N</t>
  </si>
  <si>
    <t>EPSG::26715</t>
  </si>
  <si>
    <t>Author</t>
  </si>
  <si>
    <t>Date</t>
  </si>
  <si>
    <t>Four-point definition:</t>
  </si>
  <si>
    <t>ΔI</t>
  </si>
  <si>
    <t>ΔJ</t>
  </si>
  <si>
    <t>P6BinNodeIncrementOnIaxis</t>
  </si>
  <si>
    <t>P6BinNodeIncrementOnJaxis</t>
  </si>
  <si>
    <t>R_AC</t>
  </si>
  <si>
    <t>R_AB</t>
  </si>
  <si>
    <t>dx</t>
  </si>
  <si>
    <t>dy</t>
  </si>
  <si>
    <t>atan(x/y)</t>
  </si>
  <si>
    <t>Q</t>
  </si>
  <si>
    <t>I</t>
  </si>
  <si>
    <t>II</t>
  </si>
  <si>
    <t>III</t>
  </si>
  <si>
    <t>IV</t>
  </si>
  <si>
    <t>correct bearing</t>
  </si>
  <si>
    <t>https://en.wikipedia.org/wiki/Atan2</t>
  </si>
  <si>
    <t>theta</t>
  </si>
  <si>
    <t>bearing1</t>
  </si>
  <si>
    <t>bearing2</t>
  </si>
  <si>
    <t>rad</t>
  </si>
  <si>
    <t>cos()</t>
  </si>
  <si>
    <t>sin()</t>
  </si>
  <si>
    <t>average</t>
  </si>
  <si>
    <t>atan2()</t>
  </si>
  <si>
    <t>atan2(y,x)</t>
  </si>
  <si>
    <t>atan2(x,y)</t>
  </si>
  <si>
    <t>https://en.wikipedia.org/wiki/Euler%27s_formula</t>
  </si>
  <si>
    <t>atan2(x,y)=atan(y,x) in xx</t>
  </si>
  <si>
    <t>theta_AB</t>
  </si>
  <si>
    <t>theta_CD</t>
  </si>
  <si>
    <t>(shown to 5 places such that for 100 km the error is &lt;1cm)</t>
  </si>
  <si>
    <t>(shown to 6 places such that for 100 km the error is &lt;5cm)</t>
  </si>
  <si>
    <t>Constant inline bearing direction = the "sail line direction", the clockwise angle in degrees [0,360&gt; from Grid North for a line with constant inline coordinates in direction of increasing crossline coordinates.</t>
  </si>
  <si>
    <t>handedness</t>
  </si>
  <si>
    <t>Handedness, "RIGHT-HANDED" if the inline axes points to the right of the crossline axis.</t>
  </si>
  <si>
    <t>P6TransformationMethod=9666 for right-handed; 1049 for left-handed</t>
  </si>
  <si>
    <t>P6BinGridOriginI</t>
  </si>
  <si>
    <t>P6BinGridOriginJ</t>
  </si>
  <si>
    <t>P6BinGridOriginEasting</t>
  </si>
  <si>
    <t>P6BinGridOriginNorthing</t>
  </si>
  <si>
    <t>P6BinWidthOnIaxis</t>
  </si>
  <si>
    <t>P6BinWidthOnJaxis</t>
  </si>
  <si>
    <t>P6MapGridBearingOfBinGridJaxis</t>
  </si>
  <si>
    <t>P6ScaleFactorOfBinGrid</t>
  </si>
  <si>
    <t>P6TransformationMethod</t>
  </si>
  <si>
    <t>(compute the average bearing of line A&gt;B and C&gt;D)</t>
  </si>
  <si>
    <t>P6MapGridBearingOfBinGridJaxis (in interval [0,360&gt;)</t>
  </si>
  <si>
    <t>Test for squareness: compute the XY coordinates at the ABCD points with the average bearing and bin spacing</t>
  </si>
  <si>
    <t>theta_avg</t>
  </si>
  <si>
    <t>(min inline, min crossline)</t>
  </si>
  <si>
    <t>(max inline, max crossline)</t>
  </si>
  <si>
    <t>(max inline, min crossline)</t>
  </si>
  <si>
    <t>(min inline, max crossline)</t>
  </si>
  <si>
    <t xml:space="preserve"> When implemented the points could be tested or sorted to be in the required order (applications often store in order A,C,D,B spanning a rectangle).</t>
  </si>
  <si>
    <t>*Note: The order of the rows must be A,B,C,D, otherwise the equations below do not work correctly!</t>
  </si>
  <si>
    <t>Version</t>
  </si>
  <si>
    <t>Change log</t>
  </si>
  <si>
    <t>Initial version</t>
  </si>
  <si>
    <t>File</t>
  </si>
  <si>
    <t>Schema parameter</t>
  </si>
  <si>
    <t>Value</t>
  </si>
  <si>
    <t>symbol</t>
  </si>
  <si>
    <t>Unit of projected CRS</t>
  </si>
  <si>
    <t>(obtain unit from the projected CRS)</t>
  </si>
  <si>
    <t>I0</t>
  </si>
  <si>
    <t>J0</t>
  </si>
  <si>
    <t>given</t>
  </si>
  <si>
    <t>CRS_horizontal_unit</t>
  </si>
  <si>
    <t>θ</t>
  </si>
  <si>
    <t>SF</t>
  </si>
  <si>
    <t>(Bearing of line A&gt;B with constant inline coordinate is given by the four quadrant arc tangent; degrees(atan2(Y_B-Y_A, X_B-X_A))  in Excel (arguments switched vs document because in Excel atan2(b,a) = atan(a/b) in Q1, which is uncommon))</t>
  </si>
  <si>
    <t>Most common definitions atan2(y,x) = atan(y/x) in Q1</t>
  </si>
  <si>
    <t>However, MS Excel defines atan2(x,y) = atan(y/x) in Q1; hence all arguments are switched in this spreadsheet compared to the documented formulas.</t>
  </si>
  <si>
    <t>EXCEL</t>
  </si>
  <si>
    <t>output</t>
  </si>
  <si>
    <t>calculated from input (X,Y)</t>
  </si>
  <si>
    <t>input (copy from above)</t>
  </si>
  <si>
    <t>I'</t>
  </si>
  <si>
    <t>J'</t>
  </si>
  <si>
    <t>(sign used in equations below; RH=1, LH=-1)</t>
  </si>
  <si>
    <r>
      <rPr>
        <sz val="11"/>
        <color theme="1"/>
        <rFont val="Calibri"/>
        <family val="2"/>
        <scheme val="minor"/>
      </rPr>
      <t xml:space="preserve">| </t>
    </r>
    <r>
      <rPr>
        <b/>
        <i/>
        <sz val="11"/>
        <color theme="1"/>
        <rFont val="Calibri"/>
        <family val="2"/>
        <scheme val="minor"/>
      </rPr>
      <t>calculated from input (I,J)</t>
    </r>
  </si>
  <si>
    <t>max mis-location:</t>
  </si>
  <si>
    <t>I-I'</t>
  </si>
  <si>
    <t>J-J'</t>
  </si>
  <si>
    <t>P6BinWidthOnJaxis: the crossline-to-crossline spacing at the given increment</t>
  </si>
  <si>
    <t>P6BinWidthOnIaxis: the inline-to-inline spacing at the given increment</t>
  </si>
  <si>
    <t>dRΔI</t>
  </si>
  <si>
    <t>dRΔJ</t>
  </si>
  <si>
    <t>These equations show how to calculate (derive) P6/11 parameters from four-point definition (I,J,X,Y), with optional increments.</t>
  </si>
  <si>
    <t>Increments are stored with BinGrid using P6BinNodeIncrementOnIAxis/Jaxis, potentially overwritten by InlineIncrement and CrosslineIncrement stored with SeismicTraceData</t>
  </si>
  <si>
    <t>"real" inline spacing: the distance between two bins separated by the given increment</t>
  </si>
  <si>
    <t>"real" crossline spacing: the distance between two bins separated by the given increment</t>
  </si>
  <si>
    <t>(--derived parameters follow below this line--)</t>
  </si>
  <si>
    <t>Residuals at the four corner tie points ("squareness test")</t>
  </si>
  <si>
    <t>[in bins at incr1]</t>
  </si>
  <si>
    <t>--&gt;</t>
  </si>
  <si>
    <t>Loading pass/fail =</t>
  </si>
  <si>
    <t>QC pass/fail =</t>
  </si>
  <si>
    <t>in this example, accept loading a volume in an interpretation package if the squaring leads to a mis-location of less than 1 incremented bin (e.g., after a reprojection to a different CRS)</t>
  </si>
  <si>
    <t>in this example, accept received ABCD points for loading into SDU if they are within 1.5 m from a perfect rectangle</t>
  </si>
  <si>
    <t>Spreadsheet with math and test data for Bin Grid definition of OSDU.  See the accompanying document for explanation.</t>
  </si>
  <si>
    <t>In the bin grid formulas increments are not used/ computations are done at increment=1 level.</t>
  </si>
  <si>
    <t>Increments are only used to compute the "real spacing", i.e., bin_width distance between traces in an output volume or interpretation.</t>
  </si>
  <si>
    <t>This appears to be slightly at odds with the P6/11 documentation which shows a bin evenly around its inl,xln.</t>
  </si>
  <si>
    <t>However using an incremented grid during binning of the imaging process represent that situation, and when loaded to an interpretation system using the same grid would post the traces at their correct locations.</t>
  </si>
  <si>
    <t>spacing to 6 decimal places (e.g., 24.999811 m)</t>
  </si>
  <si>
    <t>Show 5 decimal places for bearing; 6 for inl*xln spacings; 2 for XY.xx coordinates; 0 (int) for increments to maintain cm precision (7 decimal places for DD.ddddddd geographic coordinates and 3 when represented as DMS.sss; 5 decimal places for scale factor)</t>
  </si>
  <si>
    <t>(Inline increment; integer&gt;0)</t>
  </si>
  <si>
    <t>(Crossline increment; integer&gt;0)</t>
  </si>
  <si>
    <t xml:space="preserve"> simple example; CRS in meters, const inline due (grid) North.  Const. crossline due (grid) East.  Right-handed.  Spacing 1000 x 100m at incr. 1</t>
  </si>
  <si>
    <t>Some notes on bin center and increments (skip counting)</t>
  </si>
  <si>
    <t>same as case1a, but introducing slight non-squareness such that inline bearings are ~359.9 and ~0.05deg  (i.e. I moved B to the left and point D to the right by few meters)</t>
  </si>
  <si>
    <t>same as 1a but introduced errors on point C to demonstrate squaring and residuals.  Case could be used to implement pairwise logic.</t>
  </si>
  <si>
    <t>Same bin grid corner locations (on the earth) of test 1, but transformed to a new CRS.  ABCD points given before squaring in new geometry.  Also note unit changed from m to ftUS.</t>
  </si>
  <si>
    <t>Same bin grid of test 1a, but ABCD transformed to a new CRS.  ABCD points given before squaring in new geometry.  Also note unit changed from m to ftUS.</t>
  </si>
  <si>
    <t>WGS 84 / UTM zone 15N</t>
  </si>
  <si>
    <t>EPSG::32615</t>
  </si>
  <si>
    <t>NAD27 / BLM 16N (ftUS)</t>
  </si>
  <si>
    <t>EPSG::32066</t>
  </si>
  <si>
    <t>NAD27 / BLM 14N (ftUS)</t>
  </si>
  <si>
    <t>EPSG::32064</t>
  </si>
  <si>
    <t>NAD27 to WGS 84 (79)</t>
  </si>
  <si>
    <t xml:space="preserve">CRS code: </t>
  </si>
  <si>
    <t xml:space="preserve">CT code: </t>
  </si>
  <si>
    <t>EPSG::15851</t>
  </si>
  <si>
    <t>Test case 2a:</t>
  </si>
  <si>
    <t>Test case 1a:</t>
  </si>
  <si>
    <t>Test case 1b:</t>
  </si>
  <si>
    <t>Test case 1c:</t>
  </si>
  <si>
    <t>Test case 1d:</t>
  </si>
  <si>
    <t>Test case 1e:</t>
  </si>
  <si>
    <t>More realistic; CRS in meters, input corner coordinates rounded to nearest meter.   (const) Inline bearing about 40 deg from Grid North.  Left handed grid;  increments 2 x 3.</t>
  </si>
  <si>
    <t>Same as 2a, but flipped the inl,xln at the corners, i.e., switched XY coordinates of A&lt;&gt;C and B&lt;&gt;D.  This flips the original left-handed grid to a right-handed grid, but has same inline bearing</t>
  </si>
  <si>
    <t>Same as 2a, but flipped the inl,xln at the corners, i.e., switched XY coordinates of A&lt;&gt;B and C&lt;&gt;D.  This adds 180 to inline bearing and makes it right-handed.</t>
  </si>
  <si>
    <t>Same as 2a, but flipped the inl,xln at the corners, i.e., switched XY coordinates of A&lt;&gt;D and B&lt;&gt;C.  This keeps left-handed grid, but adds 180 to inline bearing</t>
  </si>
  <si>
    <t>Same as 2a, but flipped the inl,xln at the corners, i.e., switched XY coordinates of B&lt;&gt;C.  This flips the const. inline bearing by -90; and makes it right-handed</t>
  </si>
  <si>
    <t>Test case 2e:</t>
  </si>
  <si>
    <t>Test case 2d:</t>
  </si>
  <si>
    <t>Test case 2c:</t>
  </si>
  <si>
    <t>Test case 2b:</t>
  </si>
  <si>
    <t>2. Demonstrate how to average 2 bearings using Euler's function (vector addition in the complex plane to avoid wrapping effects):</t>
  </si>
  <si>
    <t>1. Demonstrate how to check atan2 four-quadrant function to compute a bearing (clockwise positive angle from north).  Note: Bearing = atan(dx/dy) in Q1 and Q2.</t>
  </si>
  <si>
    <t>(the center of ABCD used here as Origin)</t>
  </si>
  <si>
    <t>Summary of derived P6 parameters (using the center of ABCD as Origin tie point to conveniently use the squaring algorithm)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</si>
</sst>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0.0000"/>
    <numFmt numFmtId="165" formatCode="0.000000000"/>
    <numFmt numFmtId="166" formatCode="0.0"/>
    <numFmt numFmtId="167" formatCode="0.00000"/>
    <numFmt numFmtId="168" formatCode="0.000"/>
  </numFmts>
  <fonts count="24" x14ac:knownFonts="1">
    <font>
      <sz val="11"/>
      <color theme="1"/>
      <name val="Calibri"/>
      <family val="2"/>
      <scheme val="minor"/>
    </font>
    <font>
      <sz val="8"/>
      <color rgb="FF000000"/>
      <name val="Tahoma"/>
      <family val="2"/>
    </font>
    <font>
      <sz val="8"/>
      <name val="Tahoma"/>
      <family val="2"/>
    </font>
    <font>
      <sz val="11"/>
      <color rgb="FFFF0000"/>
      <name val="Calibri"/>
      <family val="2"/>
      <scheme val="minor"/>
    </font>
    <font>
      <i/>
      <sz val="8"/>
      <name val="Tahoma"/>
      <family val="2"/>
    </font>
    <font>
      <i/>
      <sz val="11"/>
      <color theme="1"/>
      <name val="Calibri"/>
      <family val="2"/>
      <scheme val="minor"/>
    </font>
    <font>
      <i/>
      <u/>
      <sz val="11"/>
      <color theme="1"/>
      <name val="Calibri"/>
      <family val="2"/>
      <scheme val="minor"/>
    </font>
    <font>
      <sz val="11"/>
      <name val="Calibri"/>
      <family val="2"/>
      <scheme val="minor"/>
    </font>
    <font>
      <i/>
      <sz val="11"/>
      <color theme="1" tint="0.499984740745262"/>
      <name val="Calibri"/>
      <family val="2"/>
      <scheme val="minor"/>
    </font>
    <font>
      <sz val="11"/>
      <color rgb="FFC00000"/>
      <name val="Calibri"/>
      <family val="2"/>
      <scheme val="minor"/>
    </font>
    <font>
      <i/>
      <sz val="11"/>
      <color rgb="FFC00000"/>
      <name val="Calibri"/>
      <family val="2"/>
      <scheme val="minor"/>
    </font>
    <font>
      <i/>
      <sz val="11"/>
      <name val="Calibri"/>
      <family val="2"/>
      <scheme val="minor"/>
    </font>
    <font>
      <i/>
      <sz val="11"/>
      <color rgb="FFFF0000"/>
      <name val="Calibri"/>
      <family val="2"/>
      <scheme val="minor"/>
    </font>
    <font>
      <b/>
      <sz val="11"/>
      <color theme="1"/>
      <name val="Calibri"/>
      <family val="2"/>
      <scheme val="minor"/>
    </font>
    <font>
      <sz val="9"/>
      <color theme="1"/>
      <name val="Calibri"/>
      <family val="2"/>
      <scheme val="minor"/>
    </font>
    <font>
      <sz val="8"/>
      <color rgb="FFC00000"/>
      <name val="Tahoma"/>
      <family val="2"/>
    </font>
    <font>
      <sz val="8"/>
      <color rgb="FFFF0000"/>
      <name val="Tahoma"/>
      <family val="2"/>
    </font>
    <font>
      <b/>
      <sz val="8"/>
      <color rgb="FF000000"/>
      <name val="Tahoma"/>
      <family val="2"/>
    </font>
    <font>
      <i/>
      <sz val="11"/>
      <color theme="0" tint="-0.34998626667073579"/>
      <name val="Calibri"/>
      <family val="2"/>
      <scheme val="minor"/>
    </font>
    <font>
      <b/>
      <i/>
      <sz val="11"/>
      <color rgb="FFFF0000"/>
      <name val="Calibri"/>
      <family val="2"/>
      <scheme val="minor"/>
    </font>
    <font>
      <i/>
      <sz val="9"/>
      <color theme="1"/>
      <name val="Calibri"/>
      <family val="2"/>
      <scheme val="minor"/>
    </font>
    <font>
      <u/>
      <sz val="11"/>
      <color theme="10"/>
      <name val="Calibri"/>
      <family val="2"/>
      <scheme val="minor"/>
    </font>
    <font>
      <b/>
      <i/>
      <sz val="11"/>
      <color theme="1"/>
      <name val="Calibri"/>
      <family val="2"/>
      <scheme val="minor"/>
    </font>
    <font>
      <b/>
      <sz val="11"/>
      <color rgb="FFC00000"/>
      <name val="Calibri"/>
      <family val="2"/>
      <scheme val="minor"/>
    </font>
  </fonts>
  <fills count="10">
    <fill>
      <patternFill patternType="none"/>
    </fill>
    <fill>
      <patternFill patternType="gray125"/>
    </fill>
    <fill>
      <patternFill patternType="solid">
        <fgColor rgb="FFDAE7F5"/>
      </patternFill>
    </fill>
    <fill>
      <patternFill patternType="solid">
        <fgColor rgb="FFFFFF00"/>
        <bgColor indexed="64"/>
      </patternFill>
    </fill>
    <fill>
      <patternFill patternType="solid">
        <fgColor theme="9" tint="0.79998168889431442"/>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6" tint="0.59999389629810485"/>
        <bgColor indexed="64"/>
      </patternFill>
    </fill>
    <fill>
      <patternFill patternType="solid">
        <fgColor theme="9" tint="0.59999389629810485"/>
        <bgColor indexed="64"/>
      </patternFill>
    </fill>
  </fills>
  <borders count="25">
    <border>
      <left/>
      <right/>
      <top/>
      <bottom/>
      <diagonal/>
    </border>
    <border>
      <left style="thin">
        <color rgb="FFA0B0C7"/>
      </left>
      <right style="thin">
        <color rgb="FFA0B0C7"/>
      </right>
      <top style="thin">
        <color rgb="FFA0B0C7"/>
      </top>
      <bottom/>
      <diagonal/>
    </border>
    <border>
      <left style="thin">
        <color rgb="FFC0C0C0"/>
      </left>
      <right style="thin">
        <color rgb="FFC0C0C0"/>
      </right>
      <top style="thin">
        <color rgb="FFC0C0C0"/>
      </top>
      <bottom style="thin">
        <color rgb="FFC0C0C0"/>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diagonal/>
    </border>
    <border>
      <left style="thin">
        <color rgb="FFC0C0C0"/>
      </left>
      <right/>
      <top style="thin">
        <color rgb="FFC0C0C0"/>
      </top>
      <bottom style="thin">
        <color rgb="FFC0C0C0"/>
      </bottom>
      <diagonal/>
    </border>
    <border>
      <left style="thin">
        <color rgb="FFC0C0C0"/>
      </left>
      <right style="thin">
        <color rgb="FFC0C0C0"/>
      </right>
      <top/>
      <bottom style="thin">
        <color rgb="FFC0C0C0"/>
      </bottom>
      <diagonal/>
    </border>
    <border>
      <left style="medium">
        <color indexed="64"/>
      </left>
      <right style="thin">
        <color rgb="FFC0C0C0"/>
      </right>
      <top style="medium">
        <color indexed="64"/>
      </top>
      <bottom style="thin">
        <color rgb="FFC0C0C0"/>
      </bottom>
      <diagonal/>
    </border>
    <border>
      <left style="thin">
        <color rgb="FFC0C0C0"/>
      </left>
      <right style="thin">
        <color rgb="FFC0C0C0"/>
      </right>
      <top style="medium">
        <color indexed="64"/>
      </top>
      <bottom style="thin">
        <color rgb="FFC0C0C0"/>
      </bottom>
      <diagonal/>
    </border>
    <border>
      <left style="thin">
        <color rgb="FFC0C0C0"/>
      </left>
      <right style="medium">
        <color indexed="64"/>
      </right>
      <top style="medium">
        <color indexed="64"/>
      </top>
      <bottom style="thin">
        <color rgb="FFC0C0C0"/>
      </bottom>
      <diagonal/>
    </border>
    <border>
      <left style="medium">
        <color indexed="64"/>
      </left>
      <right style="thin">
        <color rgb="FFC0C0C0"/>
      </right>
      <top style="thin">
        <color rgb="FFC0C0C0"/>
      </top>
      <bottom style="thin">
        <color rgb="FFC0C0C0"/>
      </bottom>
      <diagonal/>
    </border>
    <border>
      <left style="thin">
        <color rgb="FFC0C0C0"/>
      </left>
      <right style="medium">
        <color indexed="64"/>
      </right>
      <top style="thin">
        <color rgb="FFC0C0C0"/>
      </top>
      <bottom style="thin">
        <color rgb="FFC0C0C0"/>
      </bottom>
      <diagonal/>
    </border>
    <border>
      <left style="medium">
        <color indexed="64"/>
      </left>
      <right style="thin">
        <color rgb="FFC0C0C0"/>
      </right>
      <top style="thin">
        <color rgb="FFC0C0C0"/>
      </top>
      <bottom style="medium">
        <color indexed="64"/>
      </bottom>
      <diagonal/>
    </border>
    <border>
      <left style="thin">
        <color rgb="FFC0C0C0"/>
      </left>
      <right style="thin">
        <color rgb="FFC0C0C0"/>
      </right>
      <top style="thin">
        <color rgb="FFC0C0C0"/>
      </top>
      <bottom style="medium">
        <color indexed="64"/>
      </bottom>
      <diagonal/>
    </border>
    <border>
      <left style="thin">
        <color rgb="FFC0C0C0"/>
      </left>
      <right style="medium">
        <color indexed="64"/>
      </right>
      <top style="thin">
        <color rgb="FFC0C0C0"/>
      </top>
      <bottom style="medium">
        <color indexed="64"/>
      </bottom>
      <diagonal/>
    </border>
    <border>
      <left/>
      <right style="thin">
        <color indexed="64"/>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s>
  <cellStyleXfs count="2">
    <xf numFmtId="0" fontId="0" fillId="0" borderId="0"/>
    <xf numFmtId="0" fontId="21" fillId="0" borderId="0" applyNumberFormat="0" applyFill="0" applyBorder="0" applyAlignment="0" applyProtection="0"/>
  </cellStyleXfs>
  <cellXfs count="89">
    <xf numFmtId="0" fontId="0" fillId="0" borderId="0" xfId="0"/>
    <xf numFmtId="0" fontId="1" fillId="2" borderId="1" xfId="0" applyFont="1" applyFill="1" applyBorder="1" applyAlignment="1">
      <alignment horizontal="left" vertical="center"/>
    </xf>
    <xf numFmtId="0" fontId="0" fillId="3" borderId="0" xfId="0" applyFill="1"/>
    <xf numFmtId="0" fontId="2" fillId="0" borderId="0" xfId="0" applyFont="1" applyBorder="1" applyAlignment="1">
      <alignment horizontal="left" vertical="center"/>
    </xf>
    <xf numFmtId="0" fontId="2" fillId="0" borderId="0" xfId="0" applyFont="1" applyBorder="1" applyAlignment="1">
      <alignment horizontal="right" vertical="center"/>
    </xf>
    <xf numFmtId="0" fontId="0" fillId="0" borderId="0" xfId="0" applyFill="1"/>
    <xf numFmtId="0" fontId="4" fillId="0" borderId="0" xfId="0" applyFont="1" applyBorder="1" applyAlignment="1">
      <alignment horizontal="left" vertical="center"/>
    </xf>
    <xf numFmtId="0" fontId="5" fillId="0" borderId="0" xfId="0" applyFont="1"/>
    <xf numFmtId="0" fontId="6" fillId="0" borderId="0" xfId="0" applyFont="1"/>
    <xf numFmtId="0" fontId="3" fillId="0" borderId="0" xfId="0" applyFont="1"/>
    <xf numFmtId="0" fontId="0" fillId="0" borderId="0" xfId="0" applyAlignment="1">
      <alignment horizontal="right"/>
    </xf>
    <xf numFmtId="0" fontId="7" fillId="0" borderId="0" xfId="0" applyFont="1"/>
    <xf numFmtId="0" fontId="8" fillId="0" borderId="0" xfId="0" applyFont="1" applyAlignment="1">
      <alignment horizontal="center"/>
    </xf>
    <xf numFmtId="0" fontId="9" fillId="0" borderId="0" xfId="0" applyFont="1"/>
    <xf numFmtId="0" fontId="10" fillId="0" borderId="0" xfId="0" applyFont="1"/>
    <xf numFmtId="0" fontId="11" fillId="0" borderId="0" xfId="0" applyFont="1"/>
    <xf numFmtId="3" fontId="14" fillId="0" borderId="0" xfId="0" applyNumberFormat="1" applyFont="1" applyAlignment="1">
      <alignment horizontal="center"/>
    </xf>
    <xf numFmtId="4" fontId="14" fillId="0" borderId="0" xfId="0" applyNumberFormat="1" applyFont="1" applyAlignment="1">
      <alignment horizontal="center"/>
    </xf>
    <xf numFmtId="0" fontId="0" fillId="0" borderId="3" xfId="0" applyBorder="1" applyAlignment="1">
      <alignment horizontal="center" vertical="center"/>
    </xf>
    <xf numFmtId="0" fontId="13" fillId="0" borderId="0" xfId="0" applyFont="1"/>
    <xf numFmtId="0" fontId="15" fillId="0" borderId="0" xfId="0" applyFont="1" applyBorder="1" applyAlignment="1">
      <alignment horizontal="left" vertical="center"/>
    </xf>
    <xf numFmtId="0" fontId="2" fillId="0" borderId="6" xfId="0" applyFont="1" applyBorder="1" applyAlignment="1">
      <alignment horizontal="left" vertical="center"/>
    </xf>
    <xf numFmtId="0" fontId="2" fillId="0" borderId="6" xfId="0" applyFont="1" applyBorder="1" applyAlignment="1">
      <alignment horizontal="right" vertical="center"/>
    </xf>
    <xf numFmtId="0" fontId="16" fillId="0" borderId="7" xfId="0" applyFont="1" applyBorder="1" applyAlignment="1">
      <alignment horizontal="left" vertical="center"/>
    </xf>
    <xf numFmtId="0" fontId="16" fillId="0" borderId="8" xfId="0" applyFont="1" applyBorder="1" applyAlignment="1">
      <alignment horizontal="left" vertical="center"/>
    </xf>
    <xf numFmtId="0" fontId="16" fillId="0" borderId="10" xfId="0" applyFont="1" applyBorder="1" applyAlignment="1">
      <alignment horizontal="left" vertical="center"/>
    </xf>
    <xf numFmtId="0" fontId="16" fillId="0" borderId="2" xfId="0" applyFont="1" applyBorder="1" applyAlignment="1">
      <alignment horizontal="left" vertical="center"/>
    </xf>
    <xf numFmtId="0" fontId="16" fillId="0" borderId="12" xfId="0" applyFont="1" applyBorder="1" applyAlignment="1">
      <alignment horizontal="left" vertical="center"/>
    </xf>
    <xf numFmtId="0" fontId="16" fillId="0" borderId="13" xfId="0" applyFont="1" applyBorder="1" applyAlignment="1">
      <alignment horizontal="left" vertical="center"/>
    </xf>
    <xf numFmtId="0" fontId="17" fillId="2" borderId="1" xfId="0" applyFont="1" applyFill="1" applyBorder="1" applyAlignment="1">
      <alignment horizontal="left" vertical="center"/>
    </xf>
    <xf numFmtId="0" fontId="17" fillId="2" borderId="1" xfId="0" applyFont="1" applyFill="1" applyBorder="1" applyAlignment="1">
      <alignment horizontal="right" vertical="center"/>
    </xf>
    <xf numFmtId="0" fontId="0" fillId="0" borderId="4" xfId="0" applyFill="1" applyBorder="1" applyAlignment="1">
      <alignment horizontal="center" vertical="center"/>
    </xf>
    <xf numFmtId="2" fontId="0" fillId="0" borderId="0" xfId="0" applyNumberFormat="1" applyAlignment="1">
      <alignment horizontal="right"/>
    </xf>
    <xf numFmtId="164" fontId="0" fillId="0" borderId="0" xfId="0" applyNumberFormat="1"/>
    <xf numFmtId="165" fontId="0" fillId="0" borderId="0" xfId="0" applyNumberFormat="1"/>
    <xf numFmtId="2" fontId="16" fillId="0" borderId="8" xfId="0" applyNumberFormat="1" applyFont="1" applyBorder="1" applyAlignment="1">
      <alignment horizontal="right" vertical="center"/>
    </xf>
    <xf numFmtId="2" fontId="16" fillId="0" borderId="9" xfId="0" applyNumberFormat="1" applyFont="1" applyBorder="1" applyAlignment="1">
      <alignment horizontal="right" vertical="center"/>
    </xf>
    <xf numFmtId="2" fontId="16" fillId="0" borderId="2" xfId="0" applyNumberFormat="1" applyFont="1" applyBorder="1" applyAlignment="1">
      <alignment horizontal="right" vertical="center"/>
    </xf>
    <xf numFmtId="2" fontId="16" fillId="0" borderId="11" xfId="0" applyNumberFormat="1" applyFont="1" applyBorder="1" applyAlignment="1">
      <alignment horizontal="right" vertical="center"/>
    </xf>
    <xf numFmtId="2" fontId="16" fillId="0" borderId="13" xfId="0" applyNumberFormat="1" applyFont="1" applyBorder="1" applyAlignment="1">
      <alignment horizontal="right" vertical="center"/>
    </xf>
    <xf numFmtId="2" fontId="16" fillId="0" borderId="14" xfId="0" applyNumberFormat="1" applyFont="1" applyBorder="1" applyAlignment="1">
      <alignment horizontal="right" vertical="center"/>
    </xf>
    <xf numFmtId="0" fontId="18" fillId="0" borderId="0" xfId="0" applyFont="1" applyAlignment="1">
      <alignment horizontal="center"/>
    </xf>
    <xf numFmtId="0" fontId="18" fillId="0" borderId="0" xfId="0" applyFont="1"/>
    <xf numFmtId="0" fontId="13" fillId="0" borderId="0" xfId="0" applyFont="1" applyAlignment="1">
      <alignment horizontal="center"/>
    </xf>
    <xf numFmtId="2" fontId="12" fillId="0" borderId="0" xfId="0" applyNumberFormat="1" applyFont="1"/>
    <xf numFmtId="2" fontId="12" fillId="0" borderId="0" xfId="0" applyNumberFormat="1" applyFont="1" applyFill="1"/>
    <xf numFmtId="0" fontId="5" fillId="0" borderId="0" xfId="0" quotePrefix="1" applyFont="1" applyAlignment="1">
      <alignment horizontal="center"/>
    </xf>
    <xf numFmtId="0" fontId="0" fillId="5" borderId="3" xfId="0" applyFill="1" applyBorder="1" applyAlignment="1">
      <alignment horizontal="center" vertical="center"/>
    </xf>
    <xf numFmtId="2" fontId="0" fillId="0" borderId="15" xfId="0" applyNumberFormat="1" applyFill="1" applyBorder="1" applyAlignment="1">
      <alignment horizontal="right" vertical="center"/>
    </xf>
    <xf numFmtId="0" fontId="13" fillId="0" borderId="16" xfId="0" applyFont="1" applyBorder="1" applyAlignment="1">
      <alignment horizontal="center" vertical="center"/>
    </xf>
    <xf numFmtId="0" fontId="0" fillId="0" borderId="17" xfId="0" applyBorder="1" applyAlignment="1">
      <alignment horizontal="center" vertical="center"/>
    </xf>
    <xf numFmtId="0" fontId="0" fillId="0" borderId="18" xfId="0" applyBorder="1" applyAlignment="1">
      <alignment horizontal="center" vertical="center"/>
    </xf>
    <xf numFmtId="0" fontId="0" fillId="0" borderId="19" xfId="0" applyBorder="1" applyAlignment="1">
      <alignment horizontal="center" vertical="center"/>
    </xf>
    <xf numFmtId="0" fontId="0" fillId="5" borderId="20" xfId="0" applyFill="1" applyBorder="1" applyAlignment="1">
      <alignment horizontal="center" vertical="center"/>
    </xf>
    <xf numFmtId="0" fontId="0" fillId="5" borderId="21" xfId="0" applyFill="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0" fillId="0" borderId="22" xfId="0" applyBorder="1" applyAlignment="1">
      <alignment horizontal="center" vertical="center"/>
    </xf>
    <xf numFmtId="0" fontId="0" fillId="0" borderId="23" xfId="0" applyBorder="1" applyAlignment="1">
      <alignment horizontal="center" vertical="center"/>
    </xf>
    <xf numFmtId="0" fontId="0" fillId="0" borderId="24" xfId="0" applyBorder="1" applyAlignment="1">
      <alignment horizontal="center" vertical="center"/>
    </xf>
    <xf numFmtId="0" fontId="20" fillId="0" borderId="0" xfId="0" applyFont="1" applyAlignment="1">
      <alignment horizontal="center"/>
    </xf>
    <xf numFmtId="2" fontId="0" fillId="0" borderId="0" xfId="0" applyNumberFormat="1"/>
    <xf numFmtId="0" fontId="2" fillId="0" borderId="5" xfId="0" applyFont="1" applyBorder="1" applyAlignment="1">
      <alignment horizontal="right" vertical="center"/>
    </xf>
    <xf numFmtId="0" fontId="0" fillId="0" borderId="0" xfId="0" applyAlignment="1">
      <alignment horizontal="center"/>
    </xf>
    <xf numFmtId="166" fontId="0" fillId="0" borderId="0" xfId="0" applyNumberFormat="1"/>
    <xf numFmtId="0" fontId="21" fillId="0" borderId="0" xfId="1"/>
    <xf numFmtId="165" fontId="0" fillId="0" borderId="0" xfId="0" applyNumberFormat="1" applyFill="1"/>
    <xf numFmtId="0" fontId="0" fillId="6" borderId="0" xfId="0" applyFill="1"/>
    <xf numFmtId="14" fontId="7" fillId="6" borderId="0" xfId="0" applyNumberFormat="1" applyFont="1" applyFill="1"/>
    <xf numFmtId="0" fontId="13" fillId="6" borderId="0" xfId="0" applyFont="1" applyFill="1"/>
    <xf numFmtId="0" fontId="5" fillId="0" borderId="0" xfId="0" applyFont="1" applyAlignment="1">
      <alignment horizontal="center"/>
    </xf>
    <xf numFmtId="167" fontId="0" fillId="0" borderId="0" xfId="0" applyNumberFormat="1"/>
    <xf numFmtId="2" fontId="16" fillId="0" borderId="0" xfId="0" applyNumberFormat="1" applyFont="1" applyBorder="1" applyAlignment="1">
      <alignment horizontal="right" vertical="center"/>
    </xf>
    <xf numFmtId="168" fontId="0" fillId="0" borderId="0" xfId="0" applyNumberFormat="1"/>
    <xf numFmtId="0" fontId="5" fillId="0" borderId="0" xfId="0" applyFont="1" applyAlignment="1">
      <alignment horizontal="right"/>
    </xf>
    <xf numFmtId="0" fontId="15" fillId="7" borderId="0" xfId="0" applyFont="1" applyFill="1" applyBorder="1" applyAlignment="1">
      <alignment horizontal="left" vertical="center"/>
    </xf>
    <xf numFmtId="0" fontId="2" fillId="0" borderId="0" xfId="0" quotePrefix="1" applyFont="1" applyBorder="1" applyAlignment="1">
      <alignment horizontal="left" vertical="center"/>
    </xf>
    <xf numFmtId="0" fontId="0" fillId="7" borderId="0" xfId="0" applyFill="1"/>
    <xf numFmtId="0" fontId="22" fillId="0" borderId="0" xfId="0" applyFont="1" applyFill="1"/>
    <xf numFmtId="0" fontId="5" fillId="0" borderId="0" xfId="0" applyFont="1" applyFill="1"/>
    <xf numFmtId="0" fontId="13" fillId="0" borderId="0" xfId="0" applyFont="1" applyFill="1"/>
    <xf numFmtId="2" fontId="19" fillId="5" borderId="0" xfId="0" applyNumberFormat="1" applyFont="1" applyFill="1"/>
    <xf numFmtId="0" fontId="0" fillId="4" borderId="0" xfId="0" applyFill="1"/>
    <xf numFmtId="166" fontId="0" fillId="4" borderId="0" xfId="0" applyNumberFormat="1" applyFill="1"/>
    <xf numFmtId="0" fontId="23" fillId="8" borderId="0" xfId="0" applyFont="1" applyFill="1"/>
    <xf numFmtId="2" fontId="16" fillId="9" borderId="2" xfId="0" applyNumberFormat="1" applyFont="1" applyFill="1" applyBorder="1" applyAlignment="1">
      <alignment horizontal="right" vertical="center"/>
    </xf>
    <xf numFmtId="2" fontId="16" fillId="9" borderId="13" xfId="0" applyNumberFormat="1" applyFont="1" applyFill="1" applyBorder="1" applyAlignment="1">
      <alignment horizontal="right" vertical="center"/>
    </xf>
    <xf numFmtId="2" fontId="16" fillId="9" borderId="11" xfId="0" applyNumberFormat="1" applyFont="1" applyFill="1" applyBorder="1" applyAlignment="1">
      <alignment horizontal="right" vertical="center"/>
    </xf>
    <xf numFmtId="0" fontId="3" fillId="9" borderId="0" xfId="0" applyFont="1" applyFill="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customXml" Target="../customXml/item1.xml"/><Relationship Id="rId3" Type="http://schemas.openxmlformats.org/officeDocument/2006/relationships/worksheet" Target="worksheets/sheet3.xml"/><Relationship Id="rId21" Type="http://schemas.openxmlformats.org/officeDocument/2006/relationships/customXml" Target="../customXml/item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sharedStrings" Target="sharedStrings.xml"/><Relationship Id="rId20"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openxmlformats.org/officeDocument/2006/relationships/customXml" Target="../customXml/item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ustomXml" Target="../customXml/item5.xml"/></Relationships>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4.png"/><Relationship Id="rId1" Type="http://schemas.openxmlformats.org/officeDocument/2006/relationships/image" Target="../media/image3.png"/></Relationships>
</file>

<file path=xl/drawings/_rels/drawing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5" name="Picture 4">
          <a:extLst>
            <a:ext uri="{FF2B5EF4-FFF2-40B4-BE49-F238E27FC236}">
              <a16:creationId xmlns:a16="http://schemas.microsoft.com/office/drawing/2014/main" id="{2A512673-67F3-4F57-9306-82CABDE08981}"/>
            </a:ext>
          </a:extLst>
        </xdr:cNvPr>
        <xdr:cNvPicPr/>
      </xdr:nvPicPr>
      <xdr:blipFill>
        <a:blip xmlns:r="http://schemas.openxmlformats.org/officeDocument/2006/relationships" r:embed="rId1"/>
        <a:stretch>
          <a:fillRect/>
        </a:stretch>
      </xdr:blipFill>
      <xdr:spPr>
        <a:xfrm>
          <a:off x="10372725" y="15811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6" name="Picture 5">
          <a:extLst>
            <a:ext uri="{FF2B5EF4-FFF2-40B4-BE49-F238E27FC236}">
              <a16:creationId xmlns:a16="http://schemas.microsoft.com/office/drawing/2014/main" id="{9BF64BD4-419B-4CD8-88D6-C3C8A007220E}"/>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896474"/>
          <a:ext cx="2930449" cy="2926080"/>
        </a:xfrm>
        <a:prstGeom prst="rect">
          <a:avLst/>
        </a:prstGeom>
        <a:noFill/>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12</xdr:col>
      <xdr:colOff>19050</xdr:colOff>
      <xdr:row>8</xdr:row>
      <xdr:rowOff>38100</xdr:rowOff>
    </xdr:from>
    <xdr:to>
      <xdr:col>15</xdr:col>
      <xdr:colOff>485488</xdr:colOff>
      <xdr:row>21</xdr:row>
      <xdr:rowOff>113981</xdr:rowOff>
    </xdr:to>
    <xdr:pic>
      <xdr:nvPicPr>
        <xdr:cNvPr id="3" name="Picture 2">
          <a:extLst>
            <a:ext uri="{FF2B5EF4-FFF2-40B4-BE49-F238E27FC236}">
              <a16:creationId xmlns:a16="http://schemas.microsoft.com/office/drawing/2014/main" id="{9B28500A-834E-49D8-B85A-4CAB5A0176F2}"/>
            </a:ext>
          </a:extLst>
        </xdr:cNvPr>
        <xdr:cNvPicPr>
          <a:picLocks noChangeAspect="1"/>
        </xdr:cNvPicPr>
      </xdr:nvPicPr>
      <xdr:blipFill>
        <a:blip xmlns:r="http://schemas.openxmlformats.org/officeDocument/2006/relationships" r:embed="rId1"/>
        <a:stretch>
          <a:fillRect/>
        </a:stretch>
      </xdr:blipFill>
      <xdr:spPr>
        <a:xfrm>
          <a:off x="7858125" y="990600"/>
          <a:ext cx="2295238" cy="2552381"/>
        </a:xfrm>
        <a:prstGeom prst="rect">
          <a:avLst/>
        </a:prstGeom>
      </xdr:spPr>
    </xdr:pic>
    <xdr:clientData/>
  </xdr:twoCellAnchor>
  <xdr:twoCellAnchor editAs="oneCell">
    <xdr:from>
      <xdr:col>12</xdr:col>
      <xdr:colOff>0</xdr:colOff>
      <xdr:row>24</xdr:row>
      <xdr:rowOff>0</xdr:rowOff>
    </xdr:from>
    <xdr:to>
      <xdr:col>15</xdr:col>
      <xdr:colOff>409295</xdr:colOff>
      <xdr:row>36</xdr:row>
      <xdr:rowOff>104476</xdr:rowOff>
    </xdr:to>
    <xdr:pic>
      <xdr:nvPicPr>
        <xdr:cNvPr id="4" name="Picture 3">
          <a:extLst>
            <a:ext uri="{FF2B5EF4-FFF2-40B4-BE49-F238E27FC236}">
              <a16:creationId xmlns:a16="http://schemas.microsoft.com/office/drawing/2014/main" id="{2EC0DA13-074D-4852-9E84-BC9993977316}"/>
            </a:ext>
          </a:extLst>
        </xdr:cNvPr>
        <xdr:cNvPicPr>
          <a:picLocks noChangeAspect="1"/>
        </xdr:cNvPicPr>
      </xdr:nvPicPr>
      <xdr:blipFill>
        <a:blip xmlns:r="http://schemas.openxmlformats.org/officeDocument/2006/relationships" r:embed="rId2"/>
        <a:stretch>
          <a:fillRect/>
        </a:stretch>
      </xdr:blipFill>
      <xdr:spPr>
        <a:xfrm>
          <a:off x="7839075" y="3619500"/>
          <a:ext cx="2238095" cy="2390476"/>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A114CFB3-02B4-4166-8FEA-A0A607C39AC7}"/>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F60F2B8E-9F64-43F1-86A3-41F859B4A9B7}"/>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705974"/>
          <a:ext cx="2930449" cy="2926080"/>
        </a:xfrm>
        <a:prstGeom prst="rect">
          <a:avLst/>
        </a:prstGeom>
        <a:noFill/>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EA5B5D10-7C6F-442E-B763-1270660E082A}"/>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9C4175B1-8806-455D-A7E5-C2D067A2346D}"/>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705974"/>
          <a:ext cx="2930449" cy="2926080"/>
        </a:xfrm>
        <a:prstGeom prst="rect">
          <a:avLst/>
        </a:prstGeom>
        <a:noFill/>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04C09876-9D21-4238-B11F-F21BAC78CFCB}"/>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912FCE04-E2A9-4F3E-A98D-0A4B2275FAE1}"/>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705974"/>
          <a:ext cx="2930449" cy="2926080"/>
        </a:xfrm>
        <a:prstGeom prst="rect">
          <a:avLst/>
        </a:prstGeom>
        <a:noFill/>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422E4C39-91C4-4AFC-9CEE-64D5C30784F6}"/>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00336FCC-FC0E-41AF-95CB-8037B5D924A3}"/>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705974"/>
          <a:ext cx="2930449" cy="2926080"/>
        </a:xfrm>
        <a:prstGeom prst="rect">
          <a:avLst/>
        </a:prstGeom>
        <a:noFill/>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EFBDAA94-8AF1-46BF-899F-D473B92F4108}"/>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65614F23-B4DC-4123-928C-02ABA348195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705974"/>
          <a:ext cx="2930449" cy="2926080"/>
        </a:xfrm>
        <a:prstGeom prst="rect">
          <a:avLst/>
        </a:prstGeom>
        <a:noFill/>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AC4CAB92-8131-44BD-BDAD-1162841D8BB6}"/>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C74A923D-9B1A-41DF-BE0B-EA22EFE639D4}"/>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896474"/>
          <a:ext cx="2930449" cy="2926080"/>
        </a:xfrm>
        <a:prstGeom prst="rect">
          <a:avLst/>
        </a:prstGeom>
        <a:noFill/>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353AE750-7808-43AA-953E-A2636BC9ADF8}"/>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AB9C01F4-1E9F-4101-852B-E231A30BDC86}"/>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896474"/>
          <a:ext cx="2930449" cy="2926080"/>
        </a:xfrm>
        <a:prstGeom prst="rect">
          <a:avLst/>
        </a:prstGeom>
        <a:noFill/>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5A4CAAF2-290A-4966-98D8-3348F699DD1B}"/>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1AA974F8-99F6-4FDD-A6C3-DFFAB524950A}"/>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896474"/>
          <a:ext cx="2930449" cy="2926080"/>
        </a:xfrm>
        <a:prstGeom prst="rect">
          <a:avLst/>
        </a:prstGeom>
        <a:noFill/>
      </xdr:spPr>
    </xdr:pic>
    <xdr:clientData/>
  </xdr:twoCellAnchor>
</xdr:wsDr>
</file>

<file path=xl/drawings/drawing11.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21531F30-599A-4A14-BEB2-F38270D0A155}"/>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9A771CBE-F74A-4796-B605-1C81ACD52C9F}"/>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896474"/>
          <a:ext cx="2930449" cy="2926080"/>
        </a:xfrm>
        <a:prstGeom prst="rect">
          <a:avLst/>
        </a:prstGeom>
        <a:noFill/>
      </xdr:spPr>
    </xdr:pic>
    <xdr:clientData/>
  </xdr:twoCellAnchor>
</xdr:wsDr>
</file>

<file path=xl/drawings/drawing12.xml><?xml version="1.0" encoding="utf-8"?>
<xdr:wsDr xmlns:xdr="http://schemas.openxmlformats.org/drawingml/2006/spreadsheetDrawing" xmlns:a="http://schemas.openxmlformats.org/drawingml/2006/main">
  <xdr:twoCellAnchor editAs="oneCell">
    <xdr:from>
      <xdr:col>11</xdr:col>
      <xdr:colOff>466725</xdr:colOff>
      <xdr:row>7</xdr:row>
      <xdr:rowOff>57150</xdr:rowOff>
    </xdr:from>
    <xdr:to>
      <xdr:col>16</xdr:col>
      <xdr:colOff>247650</xdr:colOff>
      <xdr:row>22</xdr:row>
      <xdr:rowOff>47625</xdr:rowOff>
    </xdr:to>
    <xdr:pic>
      <xdr:nvPicPr>
        <xdr:cNvPr id="2" name="Picture 1">
          <a:extLst>
            <a:ext uri="{FF2B5EF4-FFF2-40B4-BE49-F238E27FC236}">
              <a16:creationId xmlns:a16="http://schemas.microsoft.com/office/drawing/2014/main" id="{15742B5F-8CDC-4577-A136-4EFE898D2964}"/>
            </a:ext>
          </a:extLst>
        </xdr:cNvPr>
        <xdr:cNvPicPr/>
      </xdr:nvPicPr>
      <xdr:blipFill>
        <a:blip xmlns:r="http://schemas.openxmlformats.org/officeDocument/2006/relationships" r:embed="rId1"/>
        <a:stretch>
          <a:fillRect/>
        </a:stretch>
      </xdr:blipFill>
      <xdr:spPr>
        <a:xfrm>
          <a:off x="10372725" y="1390650"/>
          <a:ext cx="3819525" cy="2867025"/>
        </a:xfrm>
        <a:prstGeom prst="rect">
          <a:avLst/>
        </a:prstGeom>
      </xdr:spPr>
    </xdr:pic>
    <xdr:clientData/>
  </xdr:twoCellAnchor>
  <xdr:twoCellAnchor editAs="oneCell">
    <xdr:from>
      <xdr:col>8</xdr:col>
      <xdr:colOff>457202</xdr:colOff>
      <xdr:row>51</xdr:row>
      <xdr:rowOff>161924</xdr:rowOff>
    </xdr:from>
    <xdr:to>
      <xdr:col>12</xdr:col>
      <xdr:colOff>368226</xdr:colOff>
      <xdr:row>67</xdr:row>
      <xdr:rowOff>40004</xdr:rowOff>
    </xdr:to>
    <xdr:pic>
      <xdr:nvPicPr>
        <xdr:cNvPr id="3" name="Picture 2">
          <a:extLst>
            <a:ext uri="{FF2B5EF4-FFF2-40B4-BE49-F238E27FC236}">
              <a16:creationId xmlns:a16="http://schemas.microsoft.com/office/drawing/2014/main" id="{D73F6E7F-B6B9-4F0D-88FD-F6E77DDE28D2}"/>
            </a:ext>
          </a:extLst>
        </xdr:cNvPr>
        <xdr:cNvPicPr>
          <a:picLocks noChangeAspect="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8201027" y="9896474"/>
          <a:ext cx="2930449" cy="2926080"/>
        </a:xfrm>
        <a:prstGeom prst="rect">
          <a:avLst/>
        </a:prstGeom>
        <a:noFill/>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en.wikipedia.org/wiki/Euler%27s_formula" TargetMode="External"/><Relationship Id="rId1" Type="http://schemas.openxmlformats.org/officeDocument/2006/relationships/hyperlink" Target="https://en.wikipedia.org/wiki/Atan2" TargetMode="External"/><Relationship Id="rId4"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2.xml"/><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BC3FDB-63CA-4BE3-B5AC-6D00471E7300}">
  <sheetPr>
    <tabColor rgb="FFC00000"/>
  </sheetPr>
  <dimension ref="A1:O79"/>
  <sheetViews>
    <sheetView tabSelected="1" workbookViewId="0">
      <selection activeCell="A4" sqref="A4"/>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69" t="s">
        <v>114</v>
      </c>
      <c r="B1" s="67" t="s">
        <v>156</v>
      </c>
      <c r="C1" s="67"/>
      <c r="D1" s="67"/>
      <c r="E1" s="67"/>
      <c r="F1" s="67"/>
      <c r="G1" s="67"/>
      <c r="H1" s="67"/>
      <c r="I1" s="67"/>
      <c r="J1" s="67"/>
    </row>
    <row r="2" spans="1:13" x14ac:dyDescent="0.25">
      <c r="A2" s="69" t="s">
        <v>53</v>
      </c>
      <c r="B2" s="69" t="s">
        <v>111</v>
      </c>
      <c r="C2" s="69" t="s">
        <v>54</v>
      </c>
      <c r="D2" s="69" t="s">
        <v>112</v>
      </c>
      <c r="E2" s="67"/>
      <c r="F2" s="67"/>
      <c r="G2" s="67"/>
      <c r="H2" s="67"/>
      <c r="I2" s="67"/>
      <c r="J2" s="67"/>
    </row>
    <row r="3" spans="1:13" x14ac:dyDescent="0.25">
      <c r="A3" s="67" t="s">
        <v>50</v>
      </c>
      <c r="B3" s="67">
        <v>1</v>
      </c>
      <c r="C3" s="68">
        <v>43714</v>
      </c>
      <c r="D3" s="67" t="s">
        <v>113</v>
      </c>
      <c r="E3" s="67"/>
      <c r="F3" s="67"/>
      <c r="G3" s="67"/>
      <c r="H3" s="67"/>
      <c r="I3" s="67"/>
      <c r="J3" s="67"/>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51</v>
      </c>
      <c r="D10" s="10" t="s">
        <v>178</v>
      </c>
      <c r="E10" s="9" t="s">
        <v>52</v>
      </c>
      <c r="F10" s="9"/>
    </row>
    <row r="11" spans="1:13" x14ac:dyDescent="0.25">
      <c r="A11" s="1" t="s">
        <v>47</v>
      </c>
      <c r="B11" t="s">
        <v>48</v>
      </c>
      <c r="D11" s="10" t="s">
        <v>179</v>
      </c>
      <c r="E11" t="s">
        <v>48</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14100</v>
      </c>
      <c r="C14" s="24">
        <v>5161</v>
      </c>
      <c r="D14" s="35">
        <v>423082</v>
      </c>
      <c r="E14" s="36">
        <v>3227690</v>
      </c>
      <c r="F14" s="72"/>
      <c r="G14" s="20" t="s">
        <v>105</v>
      </c>
    </row>
    <row r="15" spans="1:13" x14ac:dyDescent="0.25">
      <c r="A15" s="62" t="s">
        <v>4</v>
      </c>
      <c r="B15" s="25">
        <v>14100</v>
      </c>
      <c r="C15" s="26">
        <v>9409</v>
      </c>
      <c r="D15" s="37">
        <v>491346</v>
      </c>
      <c r="E15" s="38">
        <v>3309044</v>
      </c>
      <c r="F15" s="72"/>
      <c r="G15" s="20" t="s">
        <v>108</v>
      </c>
    </row>
    <row r="16" spans="1:13" x14ac:dyDescent="0.25">
      <c r="A16" s="62" t="s">
        <v>5</v>
      </c>
      <c r="B16" s="25">
        <v>17700</v>
      </c>
      <c r="C16" s="26">
        <v>5161</v>
      </c>
      <c r="D16" s="37">
        <v>395504</v>
      </c>
      <c r="E16" s="38">
        <v>3250830</v>
      </c>
      <c r="F16" s="72"/>
      <c r="G16" s="20" t="s">
        <v>107</v>
      </c>
    </row>
    <row r="17" spans="1:13" ht="15.75" thickBot="1" x14ac:dyDescent="0.3">
      <c r="A17" s="62" t="s">
        <v>6</v>
      </c>
      <c r="B17" s="27">
        <v>17700</v>
      </c>
      <c r="C17" s="28">
        <v>9409</v>
      </c>
      <c r="D17" s="39">
        <v>463768</v>
      </c>
      <c r="E17" s="40">
        <v>3332184</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5</v>
      </c>
      <c r="C23" s="7"/>
      <c r="E23" t="s">
        <v>163</v>
      </c>
      <c r="F23" s="20"/>
    </row>
    <row r="24" spans="1:13" x14ac:dyDescent="0.25">
      <c r="A24" s="75" t="s">
        <v>59</v>
      </c>
      <c r="B24" s="26">
        <v>2</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36000.078944357883</v>
      </c>
      <c r="C33" s="63" t="str">
        <f>B$30</f>
        <v>m</v>
      </c>
      <c r="E33" s="7" t="s">
        <v>1</v>
      </c>
      <c r="F33" s="7"/>
    </row>
    <row r="34" spans="1:8" x14ac:dyDescent="0.25">
      <c r="A34" s="11" t="s">
        <v>34</v>
      </c>
      <c r="B34" s="73">
        <f>SQRT((E17-E15)^2+(D17-D15)^2)</f>
        <v>36000.078944357883</v>
      </c>
      <c r="C34" s="63" t="str">
        <f t="shared" ref="C34:C36" si="0">B$30</f>
        <v>m</v>
      </c>
    </row>
    <row r="35" spans="1:8" x14ac:dyDescent="0.25">
      <c r="A35" s="13" t="s">
        <v>142</v>
      </c>
      <c r="B35" s="66">
        <f>B23 * AVERAGE(B33,B34) / (B16-B14)</f>
        <v>50.000109644941503</v>
      </c>
      <c r="C35" s="63" t="str">
        <f t="shared" si="0"/>
        <v>m</v>
      </c>
      <c r="E35" s="20" t="s">
        <v>141</v>
      </c>
      <c r="F35" s="20"/>
    </row>
    <row r="36" spans="1:8" x14ac:dyDescent="0.25">
      <c r="A36" s="13"/>
      <c r="B36" s="5" t="str">
        <f>TEXT(B35,"0.000000")</f>
        <v>50.000110</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106200.03301317754</v>
      </c>
      <c r="C39" s="63" t="str">
        <f>B$30</f>
        <v>m</v>
      </c>
    </row>
    <row r="40" spans="1:8" x14ac:dyDescent="0.25">
      <c r="A40" s="11" t="s">
        <v>33</v>
      </c>
      <c r="B40" s="73">
        <f>SQRT((E17-E16)^2+(D17-D16)^2)</f>
        <v>106200.03301317754</v>
      </c>
      <c r="C40" s="63" t="str">
        <f t="shared" ref="C40:C42" si="1">B$30</f>
        <v>m</v>
      </c>
    </row>
    <row r="41" spans="1:8" x14ac:dyDescent="0.25">
      <c r="A41" s="13" t="s">
        <v>143</v>
      </c>
      <c r="B41" s="66">
        <f>B24 * AVERAGE(B39,B40) / (C15-C14)</f>
        <v>50.000015542927279</v>
      </c>
      <c r="C41" s="63" t="str">
        <f t="shared" si="1"/>
        <v>m</v>
      </c>
      <c r="E41" s="20" t="s">
        <v>140</v>
      </c>
      <c r="F41" s="20"/>
    </row>
    <row r="42" spans="1:8" x14ac:dyDescent="0.25">
      <c r="A42" s="13"/>
      <c r="B42" s="5" t="str">
        <f>TEXT(B41,"0.000000")</f>
        <v>50.000016</v>
      </c>
      <c r="C42" s="63" t="str">
        <f t="shared" si="1"/>
        <v>m</v>
      </c>
      <c r="E42" t="s">
        <v>87</v>
      </c>
    </row>
    <row r="44" spans="1:8" x14ac:dyDescent="0.25">
      <c r="A44" s="2" t="s">
        <v>88</v>
      </c>
      <c r="B44" s="2"/>
      <c r="C44" s="2"/>
      <c r="D44" s="2"/>
      <c r="E44" s="2"/>
      <c r="F44" s="2"/>
      <c r="G44" s="2"/>
      <c r="H44" s="2"/>
    </row>
    <row r="45" spans="1:8" x14ac:dyDescent="0.25">
      <c r="A45" s="11" t="s">
        <v>84</v>
      </c>
      <c r="B45">
        <f>DEGREES(ATAN2(E15-E14,D15-D14))</f>
        <v>39.999953961957296</v>
      </c>
      <c r="C45" s="70" t="s">
        <v>0</v>
      </c>
      <c r="E45" t="s">
        <v>126</v>
      </c>
    </row>
    <row r="46" spans="1:8" x14ac:dyDescent="0.25">
      <c r="A46" s="11" t="s">
        <v>85</v>
      </c>
      <c r="B46">
        <f>DEGREES(ATAN2(E17-E16,D17-D16))</f>
        <v>39.999953961957296</v>
      </c>
      <c r="C46" s="70" t="s">
        <v>0</v>
      </c>
      <c r="E46" t="s">
        <v>31</v>
      </c>
    </row>
    <row r="47" spans="1:8" x14ac:dyDescent="0.25">
      <c r="A47" t="s">
        <v>104</v>
      </c>
      <c r="B47">
        <f>DEGREES(ATAN2(COS(RADIANS(B45))+COS(RADIANS(B46)), SIN(RADIANS(B45))+SIN(RADIANS(B46))))</f>
        <v>39.999953961957296</v>
      </c>
      <c r="C47" s="70" t="s">
        <v>0</v>
      </c>
      <c r="E47" t="s">
        <v>101</v>
      </c>
    </row>
    <row r="48" spans="1:8" x14ac:dyDescent="0.25">
      <c r="A48" s="13" t="s">
        <v>72</v>
      </c>
      <c r="B48">
        <f>IF(B47&lt;0,B47+360,B47)</f>
        <v>39.999953961957296</v>
      </c>
      <c r="C48" s="70" t="s">
        <v>0</v>
      </c>
      <c r="E48" s="20" t="s">
        <v>102</v>
      </c>
      <c r="F48" s="20"/>
    </row>
    <row r="49" spans="1:8" x14ac:dyDescent="0.25">
      <c r="B49" s="5" t="str">
        <f>TEXT(B47,"0.00000")</f>
        <v>39.99995</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LEFT-HANDED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1049</v>
      </c>
      <c r="C56">
        <f>IF(B56=9666, 1, -1)</f>
        <v>-1</v>
      </c>
      <c r="E56" s="20" t="s">
        <v>135</v>
      </c>
    </row>
    <row r="57" spans="1:8" x14ac:dyDescent="0.25">
      <c r="A57" s="20" t="s">
        <v>92</v>
      </c>
      <c r="B57">
        <f>AVERAGE(B14:B17)</f>
        <v>15900</v>
      </c>
      <c r="C57" s="70" t="s">
        <v>120</v>
      </c>
      <c r="E57" s="20" t="s">
        <v>198</v>
      </c>
    </row>
    <row r="58" spans="1:8" x14ac:dyDescent="0.25">
      <c r="A58" s="20" t="s">
        <v>93</v>
      </c>
      <c r="B58">
        <f>AVERAGE(C14:C17)</f>
        <v>7285</v>
      </c>
      <c r="C58" s="70" t="s">
        <v>121</v>
      </c>
      <c r="E58" s="20" t="s">
        <v>198</v>
      </c>
    </row>
    <row r="59" spans="1:8" x14ac:dyDescent="0.25">
      <c r="A59" s="20" t="s">
        <v>94</v>
      </c>
      <c r="B59" s="61">
        <f>AVERAGE(D14:D17)</f>
        <v>443425</v>
      </c>
      <c r="C59" s="70" t="s">
        <v>19</v>
      </c>
      <c r="E59" s="20" t="s">
        <v>198</v>
      </c>
    </row>
    <row r="60" spans="1:8" x14ac:dyDescent="0.25">
      <c r="A60" s="20" t="s">
        <v>95</v>
      </c>
      <c r="B60" s="61">
        <f>AVERAGE(E14:E17)</f>
        <v>3279937</v>
      </c>
      <c r="C60" s="70" t="s">
        <v>20</v>
      </c>
      <c r="E60" s="20" t="s">
        <v>198</v>
      </c>
    </row>
    <row r="61" spans="1:8" x14ac:dyDescent="0.25">
      <c r="A61" s="20" t="s">
        <v>96</v>
      </c>
      <c r="B61" s="34">
        <f>B35</f>
        <v>50.000109644941503</v>
      </c>
      <c r="C61" s="70" t="s">
        <v>142</v>
      </c>
    </row>
    <row r="62" spans="1:8" x14ac:dyDescent="0.25">
      <c r="A62" s="20" t="s">
        <v>97</v>
      </c>
      <c r="B62" s="34">
        <f>B41</f>
        <v>50.000015542927279</v>
      </c>
      <c r="C62" s="70" t="s">
        <v>143</v>
      </c>
    </row>
    <row r="63" spans="1:8" x14ac:dyDescent="0.25">
      <c r="A63" s="20" t="s">
        <v>98</v>
      </c>
      <c r="B63">
        <f>B48</f>
        <v>39.999953961957296</v>
      </c>
      <c r="C63" s="63" t="s">
        <v>124</v>
      </c>
    </row>
    <row r="64" spans="1:8" x14ac:dyDescent="0.25">
      <c r="A64" s="20" t="s">
        <v>99</v>
      </c>
      <c r="B64" s="71">
        <v>1</v>
      </c>
      <c r="C64" s="70" t="s">
        <v>125</v>
      </c>
    </row>
    <row r="65" spans="1:15" x14ac:dyDescent="0.25">
      <c r="A65" s="20" t="s">
        <v>58</v>
      </c>
      <c r="B65">
        <f>B23</f>
        <v>5</v>
      </c>
      <c r="C65" s="70" t="s">
        <v>56</v>
      </c>
    </row>
    <row r="66" spans="1:15" x14ac:dyDescent="0.25">
      <c r="A66" s="20" t="s">
        <v>59</v>
      </c>
      <c r="B66">
        <f>B24</f>
        <v>2</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1"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ref="B72:E72" si="3">B14</f>
        <v>14100</v>
      </c>
      <c r="C72" s="41">
        <f t="shared" si="3"/>
        <v>5161</v>
      </c>
      <c r="D72" s="41">
        <f t="shared" si="3"/>
        <v>423082</v>
      </c>
      <c r="E72" s="41">
        <f t="shared" si="3"/>
        <v>3227690</v>
      </c>
      <c r="F72" s="41"/>
      <c r="G72" s="61">
        <f>B$57 + C$56* (((D72-B$59)*COS(RADIANS(B$63)) - (E72-B$60)*SIN(RADIANS(B$63))) * (B$65/(B$64*B$61)) )</f>
        <v>14100.000000173166</v>
      </c>
      <c r="H72" s="61">
        <f>B$58 + (((D72-B$59)*SIN(RADIANS(B$63)) + (E72-B$60)*COS(RADIANS(B$63))) * (B$66/(B$64*B$62)) )</f>
        <v>5161.0099871877646</v>
      </c>
      <c r="I72" s="61">
        <f>B$59 + C$56* ((B72-B$57)*COS(RADIANS(B$63))*B$64*B$61/B$65) + ((C72-B$58)*SIN(RADIANS(B$63))*B$64*B$62/B$66)</f>
        <v>423081.83951041655</v>
      </c>
      <c r="J72" s="61">
        <f>B$60 - C$56* ((B72-B$57)*SIN(RADIANS(B$63))*B$64*B$61/B$65) + ((C72-B$58)*COS(RADIANS(B$63))*B$64*B$62/B$66)</f>
        <v>3227689.8087329562</v>
      </c>
      <c r="L72" s="45">
        <f t="shared" ref="L72:O75" si="4">B72-G72</f>
        <v>-1.7316597222816199E-7</v>
      </c>
      <c r="M72" s="45">
        <f t="shared" si="4"/>
        <v>-9.9871877646364737E-3</v>
      </c>
      <c r="N72" s="44">
        <f t="shared" si="4"/>
        <v>0.16048958344617859</v>
      </c>
      <c r="O72" s="44">
        <f t="shared" si="4"/>
        <v>0.19126704381778836</v>
      </c>
    </row>
    <row r="73" spans="1:15" x14ac:dyDescent="0.25">
      <c r="A73" s="41" t="str">
        <f t="shared" ref="A73:E75" si="5">A15</f>
        <v>B</v>
      </c>
      <c r="B73" s="41">
        <f t="shared" si="5"/>
        <v>14100</v>
      </c>
      <c r="C73" s="41">
        <f t="shared" si="5"/>
        <v>9409</v>
      </c>
      <c r="D73" s="41">
        <f t="shared" si="5"/>
        <v>491346</v>
      </c>
      <c r="E73" s="41">
        <f t="shared" si="5"/>
        <v>3309044</v>
      </c>
      <c r="F73" s="46" t="s">
        <v>151</v>
      </c>
      <c r="G73" s="61">
        <f>B$57 + C$56* (((D73-B$59)*COS(RADIANS(B$63)) - (E73-B$60)*SIN(RADIANS(B$63))) * (B$65/(B$64*B$61)) )</f>
        <v>14100.000000173166</v>
      </c>
      <c r="H73" s="61">
        <f>B$58 + (((D73-B$59)*SIN(RADIANS(B$63)) + (E73-B$60)*COS(RADIANS(B$63))) * (B$66/(B$64*B$62)) )</f>
        <v>9409.0099871877646</v>
      </c>
      <c r="I73" s="61">
        <f>B$59 + C$56* ((B73-B$57)*COS(RADIANS(B$63))*B$64*B$61/B$65) + ((C73-B$58)*SIN(RADIANS(B$63))*B$64*B$62/B$66)</f>
        <v>491345.83951041655</v>
      </c>
      <c r="J73" s="61">
        <f>B$60 - C$56* ((B73-B$57)*SIN(RADIANS(B$63))*B$64*B$61/B$65) + ((C73-B$58)*COS(RADIANS(B$63))*B$64*B$62/B$66)</f>
        <v>3309043.8087329562</v>
      </c>
      <c r="L73" s="45">
        <f t="shared" si="4"/>
        <v>-1.7316597222816199E-7</v>
      </c>
      <c r="M73" s="45">
        <f t="shared" si="4"/>
        <v>-9.9871877646364737E-3</v>
      </c>
      <c r="N73" s="44">
        <f t="shared" si="4"/>
        <v>0.16048958344617859</v>
      </c>
      <c r="O73" s="44">
        <f t="shared" si="4"/>
        <v>0.19126704381778836</v>
      </c>
    </row>
    <row r="74" spans="1:15" x14ac:dyDescent="0.25">
      <c r="A74" s="41" t="str">
        <f t="shared" si="5"/>
        <v>C</v>
      </c>
      <c r="B74" s="41">
        <f t="shared" si="5"/>
        <v>17700</v>
      </c>
      <c r="C74" s="41">
        <f t="shared" si="5"/>
        <v>5161</v>
      </c>
      <c r="D74" s="41">
        <f t="shared" si="5"/>
        <v>395504</v>
      </c>
      <c r="E74" s="41">
        <f t="shared" si="5"/>
        <v>3250830</v>
      </c>
      <c r="F74" s="41"/>
      <c r="G74" s="61">
        <f>B$57 + C$56* (((D74-B$59)*COS(RADIANS(B$63)) - (E74-B$60)*SIN(RADIANS(B$63))) * (B$65/(B$64*B$61)) )</f>
        <v>17699.999999826832</v>
      </c>
      <c r="H74" s="61">
        <f>B$58 + (((D74-B$59)*SIN(RADIANS(B$63)) + (E74-B$60)*COS(RADIANS(B$63))) * (B$66/(B$64*B$62)) )</f>
        <v>5160.9900128122354</v>
      </c>
      <c r="I74" s="61">
        <f>B$59 + C$56* ((B74-B$57)*COS(RADIANS(B$63))*B$64*B$61/B$65) + ((C74-B$58)*SIN(RADIANS(B$63))*B$64*B$62/B$66)</f>
        <v>395504.16048958345</v>
      </c>
      <c r="J74" s="61">
        <f>B$60 - C$56* ((B74-B$57)*SIN(RADIANS(B$63))*B$64*B$61/B$65) + ((C74-B$58)*COS(RADIANS(B$63))*B$64*B$62/B$66)</f>
        <v>3250830.1912670438</v>
      </c>
      <c r="L74" s="45">
        <f t="shared" si="4"/>
        <v>1.7316779121756554E-7</v>
      </c>
      <c r="M74" s="45">
        <f t="shared" si="4"/>
        <v>9.9871877646364737E-3</v>
      </c>
      <c r="N74" s="44">
        <f t="shared" si="4"/>
        <v>-0.16048958344617859</v>
      </c>
      <c r="O74" s="44">
        <f t="shared" si="4"/>
        <v>-0.19126704381778836</v>
      </c>
    </row>
    <row r="75" spans="1:15" x14ac:dyDescent="0.25">
      <c r="A75" s="41" t="str">
        <f t="shared" si="5"/>
        <v>D</v>
      </c>
      <c r="B75" s="41">
        <f t="shared" si="5"/>
        <v>17700</v>
      </c>
      <c r="C75" s="41">
        <f t="shared" si="5"/>
        <v>9409</v>
      </c>
      <c r="D75" s="41">
        <f t="shared" si="5"/>
        <v>463768</v>
      </c>
      <c r="E75" s="41">
        <f t="shared" si="5"/>
        <v>3332184</v>
      </c>
      <c r="F75" s="41"/>
      <c r="G75" s="61">
        <f>B$57 + C$56* (((D75-B$59)*COS(RADIANS(B$63)) - (E75-B$60)*SIN(RADIANS(B$63))) * (B$65/(B$64*B$61)) )</f>
        <v>17699.999999826836</v>
      </c>
      <c r="H75" s="61">
        <f>B$58 + (((D75-B$59)*SIN(RADIANS(B$63)) + (E75-B$60)*COS(RADIANS(B$63))) * (B$66/(B$64*B$62)) )</f>
        <v>9408.9900128122354</v>
      </c>
      <c r="I75" s="61">
        <f>B$59 + C$56* ((B75-B$57)*COS(RADIANS(B$63))*B$64*B$61/B$65) + ((C75-B$58)*SIN(RADIANS(B$63))*B$64*B$62/B$66)</f>
        <v>463768.16048958345</v>
      </c>
      <c r="J75" s="61">
        <f>B$60 - C$56* ((B75-B$57)*SIN(RADIANS(B$63))*B$64*B$61/B$65) + ((C75-B$58)*COS(RADIANS(B$63))*B$64*B$62/B$66)</f>
        <v>3332184.1912670438</v>
      </c>
      <c r="L75" s="45">
        <f t="shared" si="4"/>
        <v>1.7316415323875844E-7</v>
      </c>
      <c r="M75" s="45">
        <f t="shared" si="4"/>
        <v>9.9871877646364737E-3</v>
      </c>
      <c r="N75" s="44">
        <f t="shared" si="4"/>
        <v>-0.16048958344617859</v>
      </c>
      <c r="O75" s="44">
        <f t="shared" si="4"/>
        <v>-0.19126704381778836</v>
      </c>
    </row>
    <row r="76" spans="1:15" x14ac:dyDescent="0.25">
      <c r="K76" s="74" t="s">
        <v>137</v>
      </c>
      <c r="L76" s="81">
        <f>MAX(MAX(L72:L75),-MIN(L72:L75))</f>
        <v>1.7316779121756554E-7</v>
      </c>
      <c r="M76" s="81">
        <f>MAX(MAX(M72:M75),-MIN(M72:M75))</f>
        <v>9.9871877646364737E-3</v>
      </c>
      <c r="N76" s="7" t="s">
        <v>150</v>
      </c>
    </row>
    <row r="78" spans="1:15" x14ac:dyDescent="0.25">
      <c r="A78" t="s">
        <v>153</v>
      </c>
      <c r="B78" t="str">
        <f>IF(AND(MAX(MAX(N72:N75),-MIN(N72:N75))&lt;1.5, MAX(MAX(O72:O75),-MIN(O72:O75))&lt;1.5), "PASS", "FAIL")</f>
        <v>PASS</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7FD66E-06BD-4A87-BF2E-DEFDE369D88E}">
  <dimension ref="A1:M48"/>
  <sheetViews>
    <sheetView workbookViewId="0">
      <selection activeCell="A16" sqref="A16"/>
    </sheetView>
  </sheetViews>
  <sheetFormatPr defaultRowHeight="15" x14ac:dyDescent="0.25"/>
  <cols>
    <col min="4" max="4" width="14.140625" customWidth="1"/>
    <col min="7" max="7" width="10.42578125" customWidth="1"/>
    <col min="8" max="8" width="10.7109375" customWidth="1"/>
  </cols>
  <sheetData>
    <row r="1" spans="1:13" x14ac:dyDescent="0.25">
      <c r="A1" s="77" t="s">
        <v>37</v>
      </c>
    </row>
    <row r="2" spans="1:13" x14ac:dyDescent="0.25">
      <c r="A2" s="82" t="s">
        <v>130</v>
      </c>
    </row>
    <row r="3" spans="1:13" x14ac:dyDescent="0.25">
      <c r="M3" s="65"/>
    </row>
    <row r="4" spans="1:13" x14ac:dyDescent="0.25">
      <c r="A4" s="19" t="s">
        <v>197</v>
      </c>
    </row>
    <row r="5" spans="1:13" x14ac:dyDescent="0.25">
      <c r="A5" t="s">
        <v>127</v>
      </c>
      <c r="M5" s="65"/>
    </row>
    <row r="6" spans="1:13" x14ac:dyDescent="0.25">
      <c r="A6" t="s">
        <v>128</v>
      </c>
    </row>
    <row r="7" spans="1:13" x14ac:dyDescent="0.25">
      <c r="F7" t="s">
        <v>129</v>
      </c>
      <c r="G7" t="s">
        <v>129</v>
      </c>
      <c r="H7" t="s">
        <v>129</v>
      </c>
    </row>
    <row r="8" spans="1:13" x14ac:dyDescent="0.25">
      <c r="A8" s="63" t="s">
        <v>65</v>
      </c>
      <c r="B8" s="63" t="s">
        <v>62</v>
      </c>
      <c r="C8" s="63" t="s">
        <v>63</v>
      </c>
      <c r="D8" s="63" t="s">
        <v>70</v>
      </c>
      <c r="E8" s="63"/>
      <c r="F8" t="s">
        <v>64</v>
      </c>
      <c r="G8" s="63" t="s">
        <v>80</v>
      </c>
      <c r="H8" s="63" t="s">
        <v>81</v>
      </c>
      <c r="J8" s="63" t="s">
        <v>83</v>
      </c>
      <c r="M8" s="65" t="s">
        <v>71</v>
      </c>
    </row>
    <row r="9" spans="1:13" x14ac:dyDescent="0.25">
      <c r="A9" s="63" t="s">
        <v>66</v>
      </c>
      <c r="B9" s="63">
        <v>1</v>
      </c>
      <c r="C9" s="63">
        <v>2</v>
      </c>
      <c r="D9" s="77">
        <v>26.6</v>
      </c>
      <c r="F9" s="64">
        <f>DEGREES(ATAN(B9/C9))</f>
        <v>26.56505117707799</v>
      </c>
      <c r="G9" s="83">
        <f>MOD(DEGREES(ATAN2(C9,B9)),360)</f>
        <v>26.56505117707799</v>
      </c>
      <c r="H9" s="64">
        <f>MOD(DEGREES(ATAN2(B9,C9)),360)</f>
        <v>63.43494882292201</v>
      </c>
      <c r="J9">
        <f>ATAN2(B9,C9)</f>
        <v>1.1071487177940904</v>
      </c>
    </row>
    <row r="10" spans="1:13" x14ac:dyDescent="0.25">
      <c r="A10" s="63" t="s">
        <v>67</v>
      </c>
      <c r="B10" s="63">
        <v>-1</v>
      </c>
      <c r="C10" s="63">
        <v>2</v>
      </c>
      <c r="D10" s="77">
        <f>-26.6+360</f>
        <v>333.4</v>
      </c>
      <c r="F10" s="64">
        <f>DEGREES(ATAN(B10/C10))</f>
        <v>-26.56505117707799</v>
      </c>
      <c r="G10" s="83">
        <f t="shared" ref="G10:G12" si="0">MOD(DEGREES(ATAN2(C10,B10)),360)</f>
        <v>333.43494882292202</v>
      </c>
      <c r="H10" s="64">
        <f t="shared" ref="H10:H12" si="1">MOD(DEGREES(ATAN2(B10,C10)),360)</f>
        <v>116.56505117707799</v>
      </c>
      <c r="J10">
        <f t="shared" ref="J10:J12" si="2">ATAN2(B10,C10)</f>
        <v>2.0344439357957027</v>
      </c>
    </row>
    <row r="11" spans="1:13" x14ac:dyDescent="0.25">
      <c r="A11" s="63" t="s">
        <v>68</v>
      </c>
      <c r="B11" s="63">
        <v>-1</v>
      </c>
      <c r="C11" s="63">
        <v>-2</v>
      </c>
      <c r="D11" s="77">
        <f>180+26.6</f>
        <v>206.6</v>
      </c>
      <c r="F11" s="64">
        <f>DEGREES(ATAN(B11/C11))</f>
        <v>26.56505117707799</v>
      </c>
      <c r="G11" s="83">
        <f t="shared" si="0"/>
        <v>206.565051177078</v>
      </c>
      <c r="H11" s="64">
        <f t="shared" si="1"/>
        <v>243.43494882292202</v>
      </c>
      <c r="J11">
        <f t="shared" si="2"/>
        <v>-2.0344439357957027</v>
      </c>
    </row>
    <row r="12" spans="1:13" x14ac:dyDescent="0.25">
      <c r="A12" s="63" t="s">
        <v>69</v>
      </c>
      <c r="B12" s="63">
        <v>1</v>
      </c>
      <c r="C12" s="63">
        <v>-2</v>
      </c>
      <c r="D12" s="77">
        <f>180-26.6</f>
        <v>153.4</v>
      </c>
      <c r="F12" s="64">
        <f>DEGREES(ATAN(B12/C12))</f>
        <v>-26.56505117707799</v>
      </c>
      <c r="G12" s="83">
        <f t="shared" si="0"/>
        <v>153.434948822922</v>
      </c>
      <c r="H12" s="64">
        <f t="shared" si="1"/>
        <v>296.56505117707798</v>
      </c>
      <c r="J12">
        <f t="shared" si="2"/>
        <v>-1.1071487177940904</v>
      </c>
    </row>
    <row r="16" spans="1:13" x14ac:dyDescent="0.25">
      <c r="A16" s="19" t="s">
        <v>196</v>
      </c>
    </row>
    <row r="17" spans="1:13" x14ac:dyDescent="0.25">
      <c r="B17" t="s">
        <v>32</v>
      </c>
      <c r="C17" t="s">
        <v>75</v>
      </c>
      <c r="D17" t="s">
        <v>76</v>
      </c>
      <c r="E17" t="s">
        <v>77</v>
      </c>
      <c r="F17" t="s">
        <v>79</v>
      </c>
      <c r="G17" t="s">
        <v>32</v>
      </c>
      <c r="H17" t="s">
        <v>32</v>
      </c>
    </row>
    <row r="18" spans="1:13" x14ac:dyDescent="0.25">
      <c r="A18" t="s">
        <v>73</v>
      </c>
      <c r="B18" s="77">
        <v>359</v>
      </c>
      <c r="C18">
        <f>RADIANS(B18)</f>
        <v>6.2657320146596431</v>
      </c>
      <c r="D18">
        <f>COS(C18)</f>
        <v>0.99984769515639127</v>
      </c>
      <c r="E18">
        <f>SIN(C18)</f>
        <v>-1.745240643728356E-2</v>
      </c>
      <c r="F18">
        <f>ATAN2(D18,E18)</f>
        <v>-1.7453292519943344E-2</v>
      </c>
      <c r="G18">
        <f>DEGREES(F18)</f>
        <v>-1.0000000000000029</v>
      </c>
      <c r="H18">
        <f>IF(G18&lt;0, G18+360, G18)</f>
        <v>359</v>
      </c>
    </row>
    <row r="19" spans="1:13" x14ac:dyDescent="0.25">
      <c r="A19" t="s">
        <v>74</v>
      </c>
      <c r="B19" s="77">
        <v>2</v>
      </c>
      <c r="C19">
        <f>RADIANS(B19)</f>
        <v>3.4906585039886591E-2</v>
      </c>
      <c r="D19">
        <f>COS(C19)</f>
        <v>0.99939082701909576</v>
      </c>
      <c r="E19">
        <f>SIN(C19)</f>
        <v>3.4899496702500969E-2</v>
      </c>
      <c r="F19">
        <f>ATAN2(D19,E19)</f>
        <v>3.4906585039886591E-2</v>
      </c>
      <c r="G19">
        <f>DEGREES(F19)</f>
        <v>2</v>
      </c>
      <c r="H19">
        <f>IF(G19&lt;0, G19+360, G19)</f>
        <v>2</v>
      </c>
    </row>
    <row r="20" spans="1:13" x14ac:dyDescent="0.25">
      <c r="A20" t="s">
        <v>78</v>
      </c>
      <c r="D20">
        <f>D18+D19</f>
        <v>1.9992385221754869</v>
      </c>
      <c r="E20">
        <f>E18+E19</f>
        <v>1.7447090265217409E-2</v>
      </c>
      <c r="F20">
        <f>ATAN2(D20,E20)</f>
        <v>8.7266462599716235E-3</v>
      </c>
      <c r="G20">
        <f>DEGREES(F20)</f>
        <v>0.49999999999999861</v>
      </c>
      <c r="H20" s="82">
        <f>IF(G20&lt;0, G20+360, G20)</f>
        <v>0.49999999999999861</v>
      </c>
    </row>
    <row r="22" spans="1:13" x14ac:dyDescent="0.25">
      <c r="A22" t="s">
        <v>73</v>
      </c>
      <c r="B22" s="77">
        <v>358</v>
      </c>
      <c r="C22">
        <f>RADIANS(B22)</f>
        <v>6.2482787221397</v>
      </c>
      <c r="D22">
        <f>COS(C22)</f>
        <v>0.99939082701909576</v>
      </c>
      <c r="E22">
        <f>SIN(C22)</f>
        <v>-3.4899496702500823E-2</v>
      </c>
      <c r="F22">
        <f>ATAN2(D22,E22)</f>
        <v>-3.4906585039886445E-2</v>
      </c>
      <c r="G22">
        <f>DEGREES(F22)</f>
        <v>-1.9999999999999918</v>
      </c>
      <c r="H22">
        <f>IF(G22&lt;0, G22+360, G22)</f>
        <v>358</v>
      </c>
    </row>
    <row r="23" spans="1:13" x14ac:dyDescent="0.25">
      <c r="A23" t="s">
        <v>74</v>
      </c>
      <c r="B23" s="77">
        <v>1</v>
      </c>
      <c r="C23">
        <f>RADIANS(B23)</f>
        <v>1.7453292519943295E-2</v>
      </c>
      <c r="D23">
        <f>COS(C23)</f>
        <v>0.99984769515639127</v>
      </c>
      <c r="E23">
        <f>SIN(C23)</f>
        <v>1.7452406437283512E-2</v>
      </c>
      <c r="F23">
        <f>ATAN2(D23,E23)</f>
        <v>1.7453292519943295E-2</v>
      </c>
      <c r="G23">
        <f>DEGREES(F23)</f>
        <v>1</v>
      </c>
      <c r="H23">
        <f>IF(G23&lt;0, G23+360, G23)</f>
        <v>1</v>
      </c>
    </row>
    <row r="24" spans="1:13" x14ac:dyDescent="0.25">
      <c r="A24" t="s">
        <v>78</v>
      </c>
      <c r="D24">
        <f>D22+D23</f>
        <v>1.9992385221754869</v>
      </c>
      <c r="E24">
        <f>E22+E23</f>
        <v>-1.7447090265217312E-2</v>
      </c>
      <c r="F24">
        <f>ATAN2(D24,E24)</f>
        <v>-8.7266462599715749E-3</v>
      </c>
      <c r="G24">
        <f>DEGREES(F24)</f>
        <v>-0.49999999999999584</v>
      </c>
      <c r="H24" s="82">
        <f>IF(G24&lt;0, G24+360, G24)</f>
        <v>359.5</v>
      </c>
      <c r="M24" s="65" t="s">
        <v>82</v>
      </c>
    </row>
    <row r="26" spans="1:13" x14ac:dyDescent="0.25">
      <c r="A26" t="s">
        <v>73</v>
      </c>
      <c r="B26" s="77">
        <v>89</v>
      </c>
      <c r="C26">
        <f>RADIANS(B26)</f>
        <v>1.5533430342749532</v>
      </c>
      <c r="D26">
        <f>COS(C26)</f>
        <v>1.7452406437283598E-2</v>
      </c>
      <c r="E26">
        <f>SIN(C26)</f>
        <v>0.99984769515639127</v>
      </c>
      <c r="F26">
        <f>ATAN2(D26,E26)</f>
        <v>1.5533430342749532</v>
      </c>
      <c r="G26">
        <f>DEGREES(F26)</f>
        <v>89</v>
      </c>
      <c r="H26">
        <f>IF(G26&lt;0, G26+360, G26)</f>
        <v>89</v>
      </c>
    </row>
    <row r="27" spans="1:13" x14ac:dyDescent="0.25">
      <c r="A27" t="s">
        <v>74</v>
      </c>
      <c r="B27" s="77">
        <v>92</v>
      </c>
      <c r="C27">
        <f>RADIANS(B27)</f>
        <v>1.6057029118347832</v>
      </c>
      <c r="D27">
        <f>COS(C27)</f>
        <v>-3.4899496702500955E-2</v>
      </c>
      <c r="E27">
        <f>SIN(C27)</f>
        <v>0.99939082701909576</v>
      </c>
      <c r="F27">
        <f>ATAN2(D27,E27)</f>
        <v>1.605702911834783</v>
      </c>
      <c r="G27">
        <f>DEGREES(F27)</f>
        <v>91.999999999999986</v>
      </c>
      <c r="H27">
        <f>IF(G27&lt;0, G27+360, G27)</f>
        <v>91.999999999999986</v>
      </c>
    </row>
    <row r="28" spans="1:13" x14ac:dyDescent="0.25">
      <c r="A28" t="s">
        <v>78</v>
      </c>
      <c r="D28">
        <f>D26+D27</f>
        <v>-1.7447090265217357E-2</v>
      </c>
      <c r="E28">
        <f>E26+E27</f>
        <v>1.9992385221754869</v>
      </c>
      <c r="F28">
        <f>ATAN2(D28,E28)</f>
        <v>1.5795229730548681</v>
      </c>
      <c r="G28">
        <f>DEGREES(F28)</f>
        <v>90.5</v>
      </c>
      <c r="H28" s="82">
        <f>IF(G28&lt;0, G28+360, G28)</f>
        <v>90.5</v>
      </c>
    </row>
    <row r="30" spans="1:13" x14ac:dyDescent="0.25">
      <c r="A30" t="s">
        <v>73</v>
      </c>
      <c r="B30" s="77">
        <v>88</v>
      </c>
      <c r="C30">
        <f>RADIANS(B30)</f>
        <v>1.5358897417550099</v>
      </c>
      <c r="D30">
        <f>COS(C30)</f>
        <v>3.489949670250108E-2</v>
      </c>
      <c r="E30">
        <f>SIN(C30)</f>
        <v>0.99939082701909576</v>
      </c>
      <c r="F30">
        <f>ATAN2(D30,E30)</f>
        <v>1.5358897417550099</v>
      </c>
      <c r="G30">
        <f>DEGREES(F30)</f>
        <v>88</v>
      </c>
      <c r="H30">
        <f>IF(G30&lt;0, G30+360, G30)</f>
        <v>88</v>
      </c>
    </row>
    <row r="31" spans="1:13" x14ac:dyDescent="0.25">
      <c r="A31" t="s">
        <v>74</v>
      </c>
      <c r="B31" s="77">
        <v>91</v>
      </c>
      <c r="C31">
        <f>RADIANS(B31)</f>
        <v>1.5882496193148399</v>
      </c>
      <c r="D31">
        <f>COS(C31)</f>
        <v>-1.7452406437283477E-2</v>
      </c>
      <c r="E31">
        <f>SIN(C31)</f>
        <v>0.99984769515639127</v>
      </c>
      <c r="F31">
        <f>ATAN2(D31,E31)</f>
        <v>1.5882496193148397</v>
      </c>
      <c r="G31">
        <f>DEGREES(F31)</f>
        <v>90.999999999999986</v>
      </c>
      <c r="H31">
        <f>IF(G31&lt;0, G31+360, G31)</f>
        <v>90.999999999999986</v>
      </c>
    </row>
    <row r="32" spans="1:13" x14ac:dyDescent="0.25">
      <c r="A32" t="s">
        <v>78</v>
      </c>
      <c r="D32">
        <f>D30+D31</f>
        <v>1.7447090265217603E-2</v>
      </c>
      <c r="E32">
        <f>E30+E31</f>
        <v>1.9992385221754869</v>
      </c>
      <c r="F32">
        <f>ATAN2(D32,E32)</f>
        <v>1.562069680534925</v>
      </c>
      <c r="G32">
        <f>DEGREES(F32)</f>
        <v>89.5</v>
      </c>
      <c r="H32" s="82">
        <f>IF(G32&lt;0, G32+360, G32)</f>
        <v>89.5</v>
      </c>
    </row>
    <row r="34" spans="1:8" x14ac:dyDescent="0.25">
      <c r="A34" t="s">
        <v>73</v>
      </c>
      <c r="B34" s="77">
        <v>-178</v>
      </c>
      <c r="C34">
        <f>RADIANS(B34)</f>
        <v>-3.1066860685499065</v>
      </c>
      <c r="D34">
        <f>COS(C34)</f>
        <v>-0.99939082701909576</v>
      </c>
      <c r="E34">
        <f>SIN(C34)</f>
        <v>-3.4899496702501143E-2</v>
      </c>
      <c r="F34">
        <f>ATAN2(D34,E34)</f>
        <v>-3.1066860685499065</v>
      </c>
      <c r="G34">
        <f>DEGREES(F34)</f>
        <v>-178</v>
      </c>
      <c r="H34">
        <f>IF(G34&lt;0, G34+360, G34)</f>
        <v>182</v>
      </c>
    </row>
    <row r="35" spans="1:8" x14ac:dyDescent="0.25">
      <c r="A35" t="s">
        <v>74</v>
      </c>
      <c r="B35" s="77">
        <v>181</v>
      </c>
      <c r="C35">
        <f>RADIANS(B35)</f>
        <v>3.1590459461097367</v>
      </c>
      <c r="D35">
        <f>COS(C35)</f>
        <v>-0.99984769515639127</v>
      </c>
      <c r="E35">
        <f>SIN(C35)</f>
        <v>-1.7452406437283637E-2</v>
      </c>
      <c r="F35">
        <f>ATAN2(D35,E35)</f>
        <v>-3.1241393610698496</v>
      </c>
      <c r="G35">
        <f>DEGREES(F35)</f>
        <v>-178.99999999999997</v>
      </c>
      <c r="H35">
        <f>IF(G35&lt;0, G35+360, G35)</f>
        <v>181.00000000000003</v>
      </c>
    </row>
    <row r="36" spans="1:8" x14ac:dyDescent="0.25">
      <c r="A36" t="s">
        <v>78</v>
      </c>
      <c r="D36">
        <f>D34+D35</f>
        <v>-1.9992385221754869</v>
      </c>
      <c r="E36">
        <f>E34+E35</f>
        <v>-5.2351903139784779E-2</v>
      </c>
      <c r="F36">
        <f>ATAN2(D36,E36)</f>
        <v>-3.115412714809878</v>
      </c>
      <c r="G36">
        <f>DEGREES(F36)</f>
        <v>-178.5</v>
      </c>
      <c r="H36" s="82">
        <f>IF(G36&lt;0, G36+360, G36)</f>
        <v>181.5</v>
      </c>
    </row>
    <row r="38" spans="1:8" x14ac:dyDescent="0.25">
      <c r="A38" t="s">
        <v>73</v>
      </c>
      <c r="B38" s="77">
        <v>179</v>
      </c>
      <c r="C38">
        <f>RADIANS(B38)</f>
        <v>3.12413936106985</v>
      </c>
      <c r="D38">
        <f>COS(C38)</f>
        <v>-0.99984769515639127</v>
      </c>
      <c r="E38">
        <f>SIN(C38)</f>
        <v>1.7452406437283439E-2</v>
      </c>
      <c r="F38">
        <f>ATAN2(D38,E38)</f>
        <v>3.12413936106985</v>
      </c>
      <c r="G38">
        <f>DEGREES(F38)</f>
        <v>179</v>
      </c>
      <c r="H38">
        <f>IF(G38&lt;0, G38+360, G38)</f>
        <v>179</v>
      </c>
    </row>
    <row r="39" spans="1:8" x14ac:dyDescent="0.25">
      <c r="A39" t="s">
        <v>74</v>
      </c>
      <c r="B39" s="77">
        <v>182</v>
      </c>
      <c r="C39">
        <f>RADIANS(B39)</f>
        <v>3.1764992386296798</v>
      </c>
      <c r="D39">
        <f>COS(C39)</f>
        <v>-0.99939082701909576</v>
      </c>
      <c r="E39">
        <f>SIN(C39)</f>
        <v>-3.48994967025009E-2</v>
      </c>
      <c r="F39">
        <f>ATAN2(D39,E39)</f>
        <v>-3.1066860685499065</v>
      </c>
      <c r="G39">
        <f>DEGREES(F39)</f>
        <v>-178</v>
      </c>
      <c r="H39">
        <f>IF(G39&lt;0, G39+360, G39)</f>
        <v>182</v>
      </c>
    </row>
    <row r="40" spans="1:8" x14ac:dyDescent="0.25">
      <c r="A40" t="s">
        <v>78</v>
      </c>
      <c r="D40">
        <f>D38+D39</f>
        <v>-1.9992385221754869</v>
      </c>
      <c r="E40">
        <f>E38+E39</f>
        <v>-1.7447090265217461E-2</v>
      </c>
      <c r="F40">
        <f>ATAN2(D40,E40)</f>
        <v>-3.1328660073298216</v>
      </c>
      <c r="G40">
        <f>DEGREES(F40)</f>
        <v>-179.5</v>
      </c>
      <c r="H40" s="82">
        <f>IF(G40&lt;0, G40+360, G40)</f>
        <v>180.5</v>
      </c>
    </row>
    <row r="42" spans="1:8" x14ac:dyDescent="0.25">
      <c r="A42" t="s">
        <v>73</v>
      </c>
      <c r="B42" s="77">
        <v>269</v>
      </c>
      <c r="C42">
        <f>RADIANS(B42)</f>
        <v>4.6949356878647466</v>
      </c>
      <c r="D42">
        <f>COS(C42)</f>
        <v>-1.7452406437283498E-2</v>
      </c>
      <c r="E42">
        <f>SIN(C42)</f>
        <v>-0.99984769515639127</v>
      </c>
      <c r="F42">
        <f>ATAN2(D42,E42)</f>
        <v>-1.5882496193148399</v>
      </c>
      <c r="G42">
        <f>DEGREES(F42)</f>
        <v>-91</v>
      </c>
      <c r="H42">
        <f>IF(G42&lt;0, G42+360, G42)</f>
        <v>269</v>
      </c>
    </row>
    <row r="43" spans="1:8" x14ac:dyDescent="0.25">
      <c r="A43" t="s">
        <v>74</v>
      </c>
      <c r="B43" s="77">
        <v>272</v>
      </c>
      <c r="C43">
        <f>RADIANS(B43)</f>
        <v>4.7472955654245768</v>
      </c>
      <c r="D43">
        <f>COS(C43)</f>
        <v>3.4899496702501281E-2</v>
      </c>
      <c r="E43">
        <f>SIN(C43)</f>
        <v>-0.99939082701909576</v>
      </c>
      <c r="F43">
        <f>ATAN2(D43,E43)</f>
        <v>-1.5358897417550097</v>
      </c>
      <c r="G43">
        <f>DEGREES(F43)</f>
        <v>-87.999999999999986</v>
      </c>
      <c r="H43">
        <f>IF(G43&lt;0, G43+360, G43)</f>
        <v>272</v>
      </c>
    </row>
    <row r="44" spans="1:8" x14ac:dyDescent="0.25">
      <c r="A44" t="s">
        <v>78</v>
      </c>
      <c r="D44">
        <f>D42+D43</f>
        <v>1.7447090265217784E-2</v>
      </c>
      <c r="E44">
        <f>E42+E43</f>
        <v>-1.9992385221754869</v>
      </c>
      <c r="F44">
        <f>ATAN2(D44,E44)</f>
        <v>-1.5620696805349248</v>
      </c>
      <c r="G44">
        <f>DEGREES(F44)</f>
        <v>-89.499999999999986</v>
      </c>
      <c r="H44" s="82">
        <f>IF(G44&lt;0, G44+360, G44)</f>
        <v>270.5</v>
      </c>
    </row>
    <row r="46" spans="1:8" x14ac:dyDescent="0.25">
      <c r="A46" t="s">
        <v>73</v>
      </c>
      <c r="B46" s="77">
        <v>268</v>
      </c>
      <c r="C46">
        <f>RADIANS(B46)</f>
        <v>4.6774823953448035</v>
      </c>
      <c r="D46">
        <f>COS(C46)</f>
        <v>-3.4899496702500761E-2</v>
      </c>
      <c r="E46">
        <f>SIN(C46)</f>
        <v>-0.99939082701909576</v>
      </c>
      <c r="F46">
        <f>ATAN2(D46,E46)</f>
        <v>-1.605702911834783</v>
      </c>
      <c r="G46">
        <f>DEGREES(F46)</f>
        <v>-91.999999999999986</v>
      </c>
      <c r="H46">
        <f>IF(G46&lt;0, G46+360, G46)</f>
        <v>268</v>
      </c>
    </row>
    <row r="47" spans="1:8" x14ac:dyDescent="0.25">
      <c r="A47" t="s">
        <v>74</v>
      </c>
      <c r="B47" s="77">
        <v>271</v>
      </c>
      <c r="C47">
        <f>RADIANS(B47)</f>
        <v>4.7298422729046328</v>
      </c>
      <c r="D47">
        <f>COS(C47)</f>
        <v>1.745240643728313E-2</v>
      </c>
      <c r="E47">
        <f>SIN(C47)</f>
        <v>-0.99984769515639127</v>
      </c>
      <c r="F47">
        <f>ATAN2(D47,E47)</f>
        <v>-1.5533430342749537</v>
      </c>
      <c r="G47">
        <f>DEGREES(F47)</f>
        <v>-89.000000000000028</v>
      </c>
      <c r="H47">
        <f>IF(G47&lt;0, G47+360, G47)</f>
        <v>271</v>
      </c>
    </row>
    <row r="48" spans="1:8" x14ac:dyDescent="0.25">
      <c r="A48" t="s">
        <v>78</v>
      </c>
      <c r="D48">
        <f>D46+D47</f>
        <v>-1.7447090265217631E-2</v>
      </c>
      <c r="E48">
        <f>E46+E47</f>
        <v>-1.9992385221754869</v>
      </c>
      <c r="F48">
        <f>ATAN2(D48,E48)</f>
        <v>-1.5795229730548683</v>
      </c>
      <c r="G48">
        <f>DEGREES(F48)</f>
        <v>-90.5</v>
      </c>
      <c r="H48" s="82">
        <f>IF(G48&lt;0, G48+360, G48)</f>
        <v>269.5</v>
      </c>
    </row>
  </sheetData>
  <hyperlinks>
    <hyperlink ref="M8" r:id="rId1" xr:uid="{2A4B7B18-C0AB-40AE-826C-0759E022D4AF}"/>
    <hyperlink ref="M24" r:id="rId2" xr:uid="{029CA7AF-0E67-4501-A947-467C6EC82DA9}"/>
  </hyperlinks>
  <pageMargins left="0.7" right="0.7" top="0.75" bottom="0.75" header="0.3" footer="0.3"/>
  <pageSetup orientation="portrait" horizontalDpi="300" verticalDpi="300" r:id="rId3"/>
  <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C170951-852C-4177-A63F-B7C318E9A9AC}">
  <dimension ref="A1:Q40"/>
  <sheetViews>
    <sheetView workbookViewId="0">
      <selection activeCell="B4" sqref="B4"/>
    </sheetView>
  </sheetViews>
  <sheetFormatPr defaultRowHeight="15" x14ac:dyDescent="0.25"/>
  <sheetData>
    <row r="1" spans="1:17" x14ac:dyDescent="0.25">
      <c r="A1" t="s">
        <v>166</v>
      </c>
    </row>
    <row r="4" spans="1:17" x14ac:dyDescent="0.25">
      <c r="A4" t="s">
        <v>42</v>
      </c>
    </row>
    <row r="6" spans="1:17" x14ac:dyDescent="0.25">
      <c r="A6" t="s">
        <v>157</v>
      </c>
    </row>
    <row r="7" spans="1:17" x14ac:dyDescent="0.25">
      <c r="A7" t="s">
        <v>158</v>
      </c>
    </row>
    <row r="8" spans="1:17" x14ac:dyDescent="0.25">
      <c r="A8" t="s">
        <v>21</v>
      </c>
    </row>
    <row r="9" spans="1:17" x14ac:dyDescent="0.25">
      <c r="A9" t="s">
        <v>159</v>
      </c>
    </row>
    <row r="10" spans="1:17" x14ac:dyDescent="0.25">
      <c r="A10" t="s">
        <v>160</v>
      </c>
    </row>
    <row r="12" spans="1:17" x14ac:dyDescent="0.25">
      <c r="A12" s="14" t="s">
        <v>43</v>
      </c>
    </row>
    <row r="13" spans="1:17" x14ac:dyDescent="0.25">
      <c r="N13" s="9" t="s">
        <v>30</v>
      </c>
    </row>
    <row r="14" spans="1:17" x14ac:dyDescent="0.25">
      <c r="B14" s="46" t="s">
        <v>40</v>
      </c>
      <c r="K14" s="46" t="s">
        <v>41</v>
      </c>
      <c r="P14" s="9" t="s">
        <v>29</v>
      </c>
    </row>
    <row r="15" spans="1:17" x14ac:dyDescent="0.25">
      <c r="A15" t="s">
        <v>7</v>
      </c>
      <c r="B15" s="16">
        <v>500000</v>
      </c>
      <c r="C15" s="17">
        <f>B15+6.25</f>
        <v>500006.25</v>
      </c>
      <c r="D15" s="17">
        <f t="shared" ref="D15:K15" si="0">C15+6.25</f>
        <v>500012.5</v>
      </c>
      <c r="E15" s="17">
        <f t="shared" si="0"/>
        <v>500018.75</v>
      </c>
      <c r="F15" s="17">
        <f t="shared" si="0"/>
        <v>500025</v>
      </c>
      <c r="G15" s="17">
        <f t="shared" si="0"/>
        <v>500031.25</v>
      </c>
      <c r="H15" s="17">
        <f t="shared" si="0"/>
        <v>500037.5</v>
      </c>
      <c r="I15" s="17">
        <f t="shared" si="0"/>
        <v>500043.75</v>
      </c>
      <c r="J15" s="17">
        <f t="shared" si="0"/>
        <v>500050</v>
      </c>
      <c r="K15" s="17">
        <f t="shared" si="0"/>
        <v>500056.25</v>
      </c>
      <c r="P15" s="9" t="s">
        <v>28</v>
      </c>
    </row>
    <row r="16" spans="1:17" ht="15.75" thickBot="1" x14ac:dyDescent="0.3">
      <c r="A16" t="s">
        <v>23</v>
      </c>
      <c r="B16" s="49">
        <v>1</v>
      </c>
      <c r="C16" s="49">
        <v>2</v>
      </c>
      <c r="D16" s="49">
        <v>3</v>
      </c>
      <c r="E16" s="49">
        <v>4</v>
      </c>
      <c r="F16" s="49">
        <v>5</v>
      </c>
      <c r="G16" s="49">
        <v>6</v>
      </c>
      <c r="H16" s="49">
        <v>7</v>
      </c>
      <c r="I16" s="49">
        <v>8</v>
      </c>
      <c r="J16" s="49">
        <v>9</v>
      </c>
      <c r="K16" s="49">
        <v>10</v>
      </c>
      <c r="L16" s="19" t="s">
        <v>24</v>
      </c>
      <c r="M16" s="19"/>
      <c r="N16" s="19" t="s">
        <v>25</v>
      </c>
      <c r="O16" s="19"/>
      <c r="P16" s="19" t="s">
        <v>26</v>
      </c>
      <c r="Q16" s="19"/>
    </row>
    <row r="17" spans="1:16" x14ac:dyDescent="0.25">
      <c r="A17" s="60">
        <v>1</v>
      </c>
      <c r="B17" s="50" t="s">
        <v>8</v>
      </c>
      <c r="C17" s="51" t="s">
        <v>8</v>
      </c>
      <c r="D17" s="51" t="s">
        <v>8</v>
      </c>
      <c r="E17" s="51" t="s">
        <v>8</v>
      </c>
      <c r="F17" s="51" t="s">
        <v>8</v>
      </c>
      <c r="G17" s="51" t="s">
        <v>8</v>
      </c>
      <c r="H17" s="51" t="s">
        <v>8</v>
      </c>
      <c r="I17" s="51" t="s">
        <v>8</v>
      </c>
      <c r="J17" s="51" t="s">
        <v>8</v>
      </c>
      <c r="K17" s="52" t="s">
        <v>8</v>
      </c>
      <c r="L17" s="48">
        <v>6.25</v>
      </c>
      <c r="M17" s="31" t="s">
        <v>22</v>
      </c>
      <c r="N17">
        <f>FLOOR((K$16-B$16)/A17,1)+1</f>
        <v>10</v>
      </c>
      <c r="P17" s="33">
        <f>SQRT((K15-B15)^2) / ((K16-B16+1)-1)</f>
        <v>6.25</v>
      </c>
    </row>
    <row r="18" spans="1:16" x14ac:dyDescent="0.25">
      <c r="A18" s="60">
        <v>2</v>
      </c>
      <c r="B18" s="53" t="s">
        <v>8</v>
      </c>
      <c r="C18" s="47"/>
      <c r="D18" s="18" t="s">
        <v>8</v>
      </c>
      <c r="E18" s="18"/>
      <c r="F18" s="47" t="s">
        <v>8</v>
      </c>
      <c r="G18" s="47"/>
      <c r="H18" s="18" t="s">
        <v>8</v>
      </c>
      <c r="I18" s="18"/>
      <c r="J18" s="47" t="s">
        <v>8</v>
      </c>
      <c r="K18" s="54"/>
      <c r="L18" s="32">
        <f>A18*L$17</f>
        <v>12.5</v>
      </c>
      <c r="N18">
        <f t="shared" ref="N18:N21" si="1">FLOOR((K$16-B$16)/A18,1)+1</f>
        <v>5</v>
      </c>
      <c r="P18" s="33">
        <f>P$17*A18</f>
        <v>12.5</v>
      </c>
    </row>
    <row r="19" spans="1:16" x14ac:dyDescent="0.25">
      <c r="A19" s="60">
        <v>3</v>
      </c>
      <c r="B19" s="55" t="s">
        <v>8</v>
      </c>
      <c r="C19" s="18"/>
      <c r="D19" s="18"/>
      <c r="E19" s="18" t="s">
        <v>8</v>
      </c>
      <c r="F19" s="18"/>
      <c r="G19" s="18"/>
      <c r="H19" s="18" t="s">
        <v>8</v>
      </c>
      <c r="I19" s="18"/>
      <c r="J19" s="18"/>
      <c r="K19" s="56" t="s">
        <v>8</v>
      </c>
      <c r="L19" s="32">
        <f t="shared" ref="L19:L21" si="2">A19*L$17</f>
        <v>18.75</v>
      </c>
      <c r="N19">
        <f t="shared" si="1"/>
        <v>4</v>
      </c>
      <c r="P19" s="33">
        <f t="shared" ref="P19:P27" si="3">P$17*A19</f>
        <v>18.75</v>
      </c>
    </row>
    <row r="20" spans="1:16" x14ac:dyDescent="0.25">
      <c r="A20" s="60">
        <v>4</v>
      </c>
      <c r="B20" s="55" t="s">
        <v>8</v>
      </c>
      <c r="C20" s="18"/>
      <c r="D20" s="18"/>
      <c r="E20" s="18"/>
      <c r="F20" s="18" t="s">
        <v>8</v>
      </c>
      <c r="G20" s="18"/>
      <c r="H20" s="18"/>
      <c r="I20" s="18"/>
      <c r="J20" s="18" t="s">
        <v>8</v>
      </c>
      <c r="K20" s="56"/>
      <c r="L20" s="32">
        <f t="shared" si="2"/>
        <v>25</v>
      </c>
      <c r="N20">
        <f t="shared" si="1"/>
        <v>3</v>
      </c>
      <c r="P20" s="33">
        <f t="shared" si="3"/>
        <v>25</v>
      </c>
    </row>
    <row r="21" spans="1:16" x14ac:dyDescent="0.25">
      <c r="A21" s="60">
        <v>5</v>
      </c>
      <c r="B21" s="55" t="s">
        <v>8</v>
      </c>
      <c r="C21" s="18"/>
      <c r="D21" s="18"/>
      <c r="E21" s="18"/>
      <c r="F21" s="18"/>
      <c r="G21" s="18" t="s">
        <v>8</v>
      </c>
      <c r="H21" s="18"/>
      <c r="I21" s="18"/>
      <c r="J21" s="18"/>
      <c r="K21" s="56"/>
      <c r="L21" s="32">
        <f t="shared" si="2"/>
        <v>31.25</v>
      </c>
      <c r="N21">
        <f t="shared" si="1"/>
        <v>2</v>
      </c>
      <c r="P21" s="33">
        <f t="shared" si="3"/>
        <v>31.25</v>
      </c>
    </row>
    <row r="22" spans="1:16" x14ac:dyDescent="0.25">
      <c r="A22" s="60">
        <v>6</v>
      </c>
      <c r="B22" s="55" t="s">
        <v>8</v>
      </c>
      <c r="C22" s="18"/>
      <c r="D22" s="18"/>
      <c r="E22" s="18"/>
      <c r="F22" s="18"/>
      <c r="G22" s="18"/>
      <c r="H22" s="18" t="s">
        <v>8</v>
      </c>
      <c r="I22" s="18"/>
      <c r="J22" s="18"/>
      <c r="K22" s="56"/>
      <c r="L22" s="32">
        <f t="shared" ref="L22" si="4">A22*L$17</f>
        <v>37.5</v>
      </c>
      <c r="N22">
        <f t="shared" ref="N22" si="5">FLOOR((K$16-B$16)/A22,1)+1</f>
        <v>2</v>
      </c>
      <c r="P22" s="33">
        <f t="shared" si="3"/>
        <v>37.5</v>
      </c>
    </row>
    <row r="23" spans="1:16" x14ac:dyDescent="0.25">
      <c r="A23" s="60">
        <v>7</v>
      </c>
      <c r="B23" s="55" t="s">
        <v>8</v>
      </c>
      <c r="C23" s="18"/>
      <c r="D23" s="18"/>
      <c r="E23" s="18"/>
      <c r="F23" s="18"/>
      <c r="G23" s="18"/>
      <c r="H23" s="18"/>
      <c r="I23" s="18" t="s">
        <v>8</v>
      </c>
      <c r="J23" s="18"/>
      <c r="K23" s="56"/>
      <c r="L23" s="32">
        <f t="shared" ref="L23:L25" si="6">A23*L$17</f>
        <v>43.75</v>
      </c>
      <c r="N23">
        <f t="shared" ref="N23:N25" si="7">FLOOR((K$16-B$16)/A23,1)+1</f>
        <v>2</v>
      </c>
      <c r="P23" s="33">
        <f t="shared" si="3"/>
        <v>43.75</v>
      </c>
    </row>
    <row r="24" spans="1:16" x14ac:dyDescent="0.25">
      <c r="A24" s="60">
        <v>8</v>
      </c>
      <c r="B24" s="55" t="s">
        <v>8</v>
      </c>
      <c r="C24" s="18"/>
      <c r="D24" s="18"/>
      <c r="E24" s="18"/>
      <c r="F24" s="18"/>
      <c r="G24" s="18"/>
      <c r="H24" s="18"/>
      <c r="I24" s="18"/>
      <c r="J24" s="18" t="s">
        <v>8</v>
      </c>
      <c r="K24" s="56"/>
      <c r="L24" s="32">
        <f t="shared" si="6"/>
        <v>50</v>
      </c>
      <c r="N24">
        <f t="shared" si="7"/>
        <v>2</v>
      </c>
      <c r="P24" s="33">
        <f t="shared" si="3"/>
        <v>50</v>
      </c>
    </row>
    <row r="25" spans="1:16" x14ac:dyDescent="0.25">
      <c r="A25" s="60">
        <v>9</v>
      </c>
      <c r="B25" s="55" t="s">
        <v>8</v>
      </c>
      <c r="C25" s="18"/>
      <c r="D25" s="18"/>
      <c r="E25" s="18"/>
      <c r="F25" s="18"/>
      <c r="G25" s="18"/>
      <c r="H25" s="18"/>
      <c r="I25" s="18"/>
      <c r="J25" s="18"/>
      <c r="K25" s="56" t="s">
        <v>8</v>
      </c>
      <c r="L25" s="32">
        <f t="shared" si="6"/>
        <v>56.25</v>
      </c>
      <c r="N25">
        <f t="shared" si="7"/>
        <v>2</v>
      </c>
      <c r="P25" s="33">
        <f t="shared" si="3"/>
        <v>56.25</v>
      </c>
    </row>
    <row r="26" spans="1:16" x14ac:dyDescent="0.25">
      <c r="A26" s="60">
        <v>10</v>
      </c>
      <c r="B26" s="55" t="s">
        <v>8</v>
      </c>
      <c r="C26" s="18"/>
      <c r="D26" s="18"/>
      <c r="E26" s="18"/>
      <c r="F26" s="18"/>
      <c r="G26" s="18"/>
      <c r="H26" s="18"/>
      <c r="I26" s="18"/>
      <c r="J26" s="18"/>
      <c r="K26" s="56"/>
      <c r="L26" s="32">
        <f t="shared" ref="L26" si="8">A26*L$17</f>
        <v>62.5</v>
      </c>
      <c r="N26">
        <f t="shared" ref="N26" si="9">FLOOR((K$16-B$16)/A26,1)+1</f>
        <v>1</v>
      </c>
      <c r="P26" s="33">
        <f t="shared" si="3"/>
        <v>62.5</v>
      </c>
    </row>
    <row r="27" spans="1:16" ht="15.75" thickBot="1" x14ac:dyDescent="0.3">
      <c r="A27" s="60">
        <v>11</v>
      </c>
      <c r="B27" s="57" t="s">
        <v>8</v>
      </c>
      <c r="C27" s="58"/>
      <c r="D27" s="58"/>
      <c r="E27" s="58"/>
      <c r="F27" s="58"/>
      <c r="G27" s="58"/>
      <c r="H27" s="58"/>
      <c r="I27" s="58"/>
      <c r="J27" s="58"/>
      <c r="K27" s="59"/>
      <c r="L27" s="32">
        <f t="shared" ref="L27" si="10">A27*L$17</f>
        <v>68.75</v>
      </c>
      <c r="N27">
        <f t="shared" ref="N27" si="11">FLOOR((K$16-B$16)/A27,1)+1</f>
        <v>1</v>
      </c>
      <c r="P27" s="33">
        <f t="shared" si="3"/>
        <v>68.75</v>
      </c>
    </row>
    <row r="29" spans="1:16" x14ac:dyDescent="0.25">
      <c r="B29" s="7" t="s">
        <v>27</v>
      </c>
    </row>
    <row r="30" spans="1:16" x14ac:dyDescent="0.25">
      <c r="B30" s="7" t="s">
        <v>9</v>
      </c>
    </row>
    <row r="32" spans="1:16" x14ac:dyDescent="0.25">
      <c r="A32" t="s">
        <v>44</v>
      </c>
    </row>
    <row r="33" spans="1:2" x14ac:dyDescent="0.25">
      <c r="A33" t="s">
        <v>45</v>
      </c>
    </row>
    <row r="36" spans="1:2" x14ac:dyDescent="0.25">
      <c r="A36" s="19" t="s">
        <v>10</v>
      </c>
    </row>
    <row r="37" spans="1:2" x14ac:dyDescent="0.25">
      <c r="B37" t="s">
        <v>11</v>
      </c>
    </row>
    <row r="38" spans="1:2" x14ac:dyDescent="0.25">
      <c r="B38" t="s">
        <v>12</v>
      </c>
    </row>
    <row r="39" spans="1:2" x14ac:dyDescent="0.25">
      <c r="B39" t="s">
        <v>13</v>
      </c>
    </row>
    <row r="40" spans="1:2" x14ac:dyDescent="0.25">
      <c r="B40" t="s">
        <v>161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CC94E7-D45A-4102-8CDB-791ED48B9C2B}">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182</v>
      </c>
      <c r="B1" t="s">
        <v>165</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171</v>
      </c>
      <c r="D10" s="10" t="s">
        <v>178</v>
      </c>
      <c r="E10" s="9" t="s">
        <v>172</v>
      </c>
      <c r="F10" s="9"/>
    </row>
    <row r="11" spans="1:13" x14ac:dyDescent="0.25">
      <c r="A11" s="1" t="s">
        <v>47</v>
      </c>
      <c r="B11" t="s">
        <v>48</v>
      </c>
      <c r="D11" s="10" t="s">
        <v>179</v>
      </c>
      <c r="E11" t="s">
        <v>48</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v>
      </c>
      <c r="C14" s="24">
        <v>1000</v>
      </c>
      <c r="D14" s="35">
        <v>500000</v>
      </c>
      <c r="E14" s="36">
        <v>3000000</v>
      </c>
      <c r="F14" s="72"/>
      <c r="G14" s="20" t="s">
        <v>105</v>
      </c>
    </row>
    <row r="15" spans="1:13" x14ac:dyDescent="0.25">
      <c r="A15" s="62" t="s">
        <v>4</v>
      </c>
      <c r="B15" s="25">
        <v>1</v>
      </c>
      <c r="C15" s="26">
        <v>2000</v>
      </c>
      <c r="D15" s="37">
        <v>500000</v>
      </c>
      <c r="E15" s="38">
        <v>3100000</v>
      </c>
      <c r="F15" s="72"/>
      <c r="G15" s="20" t="s">
        <v>108</v>
      </c>
    </row>
    <row r="16" spans="1:13" x14ac:dyDescent="0.25">
      <c r="A16" s="62" t="s">
        <v>5</v>
      </c>
      <c r="B16" s="25">
        <v>101</v>
      </c>
      <c r="C16" s="26">
        <v>1000</v>
      </c>
      <c r="D16" s="37">
        <v>600000</v>
      </c>
      <c r="E16" s="38">
        <v>3000000</v>
      </c>
      <c r="F16" s="72"/>
      <c r="G16" s="20" t="s">
        <v>107</v>
      </c>
    </row>
    <row r="17" spans="1:13" ht="15.75" thickBot="1" x14ac:dyDescent="0.3">
      <c r="A17" s="62" t="s">
        <v>6</v>
      </c>
      <c r="B17" s="27">
        <v>101</v>
      </c>
      <c r="C17" s="28">
        <v>2000</v>
      </c>
      <c r="D17" s="39">
        <v>600000</v>
      </c>
      <c r="E17" s="40">
        <v>3100000</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1</v>
      </c>
      <c r="C23" s="7"/>
      <c r="E23" t="s">
        <v>163</v>
      </c>
      <c r="F23" s="20"/>
    </row>
    <row r="24" spans="1:13" x14ac:dyDescent="0.25">
      <c r="A24" s="75" t="s">
        <v>59</v>
      </c>
      <c r="B24" s="26">
        <v>1</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100000</v>
      </c>
      <c r="C33" s="63" t="str">
        <f>B$30</f>
        <v>m</v>
      </c>
      <c r="E33" s="7" t="s">
        <v>1</v>
      </c>
      <c r="F33" s="7"/>
    </row>
    <row r="34" spans="1:8" x14ac:dyDescent="0.25">
      <c r="A34" s="11" t="s">
        <v>34</v>
      </c>
      <c r="B34" s="73">
        <f>SQRT((E17-E15)^2+(D17-D15)^2)</f>
        <v>100000</v>
      </c>
      <c r="C34" s="63" t="str">
        <f t="shared" ref="C34:C36" si="0">B$30</f>
        <v>m</v>
      </c>
    </row>
    <row r="35" spans="1:8" x14ac:dyDescent="0.25">
      <c r="A35" s="13" t="s">
        <v>142</v>
      </c>
      <c r="B35" s="66">
        <f>B23 * AVERAGE(B33,B34) / (B16-B14)</f>
        <v>1000</v>
      </c>
      <c r="C35" s="63" t="str">
        <f t="shared" si="0"/>
        <v>m</v>
      </c>
      <c r="E35" s="20" t="s">
        <v>141</v>
      </c>
      <c r="F35" s="20"/>
    </row>
    <row r="36" spans="1:8" x14ac:dyDescent="0.25">
      <c r="A36" s="13"/>
      <c r="B36" s="5" t="str">
        <f>TEXT(B35,"0.000000")</f>
        <v>1000.000000</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100000</v>
      </c>
      <c r="C39" s="63" t="str">
        <f>B$30</f>
        <v>m</v>
      </c>
    </row>
    <row r="40" spans="1:8" x14ac:dyDescent="0.25">
      <c r="A40" s="11" t="s">
        <v>33</v>
      </c>
      <c r="B40" s="73">
        <f>SQRT((E17-E16)^2+(D17-D16)^2)</f>
        <v>100000</v>
      </c>
      <c r="C40" s="63" t="str">
        <f t="shared" ref="C40:C42" si="1">B$30</f>
        <v>m</v>
      </c>
    </row>
    <row r="41" spans="1:8" x14ac:dyDescent="0.25">
      <c r="A41" s="13" t="s">
        <v>143</v>
      </c>
      <c r="B41" s="66">
        <f>B24 * AVERAGE(B39,B40) / (C15-C14)</f>
        <v>100</v>
      </c>
      <c r="C41" s="63" t="str">
        <f t="shared" si="1"/>
        <v>m</v>
      </c>
      <c r="E41" s="20" t="s">
        <v>140</v>
      </c>
      <c r="F41" s="20"/>
    </row>
    <row r="42" spans="1:8" x14ac:dyDescent="0.25">
      <c r="A42" s="13"/>
      <c r="B42" s="5" t="str">
        <f>TEXT(B41,"0.000000")</f>
        <v>100.000000</v>
      </c>
      <c r="C42" s="63" t="str">
        <f t="shared" si="1"/>
        <v>m</v>
      </c>
      <c r="E42" t="s">
        <v>87</v>
      </c>
    </row>
    <row r="44" spans="1:8" x14ac:dyDescent="0.25">
      <c r="A44" s="2" t="s">
        <v>88</v>
      </c>
      <c r="B44" s="2"/>
      <c r="C44" s="2"/>
      <c r="D44" s="2"/>
      <c r="E44" s="2"/>
      <c r="F44" s="2"/>
      <c r="G44" s="2"/>
      <c r="H44" s="2"/>
    </row>
    <row r="45" spans="1:8" x14ac:dyDescent="0.25">
      <c r="A45" s="11" t="s">
        <v>84</v>
      </c>
      <c r="B45">
        <f>DEGREES(ATAN2(E15-E14,D15-D14))</f>
        <v>0</v>
      </c>
      <c r="C45" s="70" t="s">
        <v>0</v>
      </c>
      <c r="E45" t="s">
        <v>126</v>
      </c>
    </row>
    <row r="46" spans="1:8" x14ac:dyDescent="0.25">
      <c r="A46" s="11" t="s">
        <v>85</v>
      </c>
      <c r="B46">
        <f>DEGREES(ATAN2(E17-E16,D17-D16))</f>
        <v>0</v>
      </c>
      <c r="C46" s="70" t="s">
        <v>0</v>
      </c>
      <c r="E46" t="s">
        <v>31</v>
      </c>
    </row>
    <row r="47" spans="1:8" x14ac:dyDescent="0.25">
      <c r="A47" t="s">
        <v>104</v>
      </c>
      <c r="B47">
        <f>DEGREES(ATAN2(COS(RADIANS(B45))+COS(RADIANS(B46)), SIN(RADIANS(B45))+SIN(RADIANS(B46))))</f>
        <v>0</v>
      </c>
      <c r="C47" s="70" t="s">
        <v>0</v>
      </c>
      <c r="E47" t="s">
        <v>101</v>
      </c>
    </row>
    <row r="48" spans="1:8" x14ac:dyDescent="0.25">
      <c r="A48" s="13" t="s">
        <v>72</v>
      </c>
      <c r="B48">
        <f>IF(B47&lt;0,B47+360,B47)</f>
        <v>0</v>
      </c>
      <c r="C48" s="70" t="s">
        <v>0</v>
      </c>
      <c r="E48" s="20" t="s">
        <v>102</v>
      </c>
      <c r="F48" s="20"/>
    </row>
    <row r="49" spans="1:8" x14ac:dyDescent="0.25">
      <c r="B49" s="5" t="str">
        <f>TEXT(B47,"0.00000")</f>
        <v>0.00000</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51</v>
      </c>
      <c r="C57" s="70" t="s">
        <v>120</v>
      </c>
      <c r="E57" s="20" t="s">
        <v>198</v>
      </c>
    </row>
    <row r="58" spans="1:8" x14ac:dyDescent="0.25">
      <c r="A58" s="20" t="s">
        <v>93</v>
      </c>
      <c r="B58">
        <f>AVERAGE(C14:C17)</f>
        <v>1500</v>
      </c>
      <c r="C58" s="70" t="s">
        <v>121</v>
      </c>
      <c r="E58" s="20" t="s">
        <v>198</v>
      </c>
    </row>
    <row r="59" spans="1:8" x14ac:dyDescent="0.25">
      <c r="A59" s="20" t="s">
        <v>94</v>
      </c>
      <c r="B59" s="61">
        <f>AVERAGE(D14:D17)</f>
        <v>550000</v>
      </c>
      <c r="C59" s="70" t="s">
        <v>19</v>
      </c>
      <c r="E59" s="20" t="s">
        <v>198</v>
      </c>
    </row>
    <row r="60" spans="1:8" x14ac:dyDescent="0.25">
      <c r="A60" s="20" t="s">
        <v>95</v>
      </c>
      <c r="B60" s="61">
        <f>AVERAGE(E14:E17)</f>
        <v>3050000</v>
      </c>
      <c r="C60" s="70" t="s">
        <v>20</v>
      </c>
      <c r="E60" s="20" t="s">
        <v>198</v>
      </c>
    </row>
    <row r="61" spans="1:8" x14ac:dyDescent="0.25">
      <c r="A61" s="20" t="s">
        <v>96</v>
      </c>
      <c r="B61" s="34">
        <f>B35</f>
        <v>1000</v>
      </c>
      <c r="C61" s="70" t="s">
        <v>142</v>
      </c>
    </row>
    <row r="62" spans="1:8" x14ac:dyDescent="0.25">
      <c r="A62" s="20" t="s">
        <v>97</v>
      </c>
      <c r="B62" s="34">
        <f>B41</f>
        <v>100</v>
      </c>
      <c r="C62" s="70" t="s">
        <v>143</v>
      </c>
    </row>
    <row r="63" spans="1:8" x14ac:dyDescent="0.25">
      <c r="A63" s="20" t="s">
        <v>98</v>
      </c>
      <c r="B63">
        <f>B48</f>
        <v>0</v>
      </c>
      <c r="C63" s="63" t="s">
        <v>124</v>
      </c>
    </row>
    <row r="64" spans="1:8" x14ac:dyDescent="0.25">
      <c r="A64" s="20" t="s">
        <v>99</v>
      </c>
      <c r="B64" s="71">
        <v>1</v>
      </c>
      <c r="C64" s="70" t="s">
        <v>125</v>
      </c>
    </row>
    <row r="65" spans="1:15" x14ac:dyDescent="0.25">
      <c r="A65" s="20" t="s">
        <v>58</v>
      </c>
      <c r="B65">
        <f>B23</f>
        <v>1</v>
      </c>
      <c r="C65" s="70" t="s">
        <v>56</v>
      </c>
    </row>
    <row r="66" spans="1:15" x14ac:dyDescent="0.25">
      <c r="A66" s="20" t="s">
        <v>59</v>
      </c>
      <c r="B66">
        <f>B24</f>
        <v>1</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v>
      </c>
      <c r="C72" s="41">
        <f t="shared" si="2"/>
        <v>1000</v>
      </c>
      <c r="D72" s="41">
        <f t="shared" si="2"/>
        <v>500000</v>
      </c>
      <c r="E72" s="41">
        <f t="shared" si="2"/>
        <v>3000000</v>
      </c>
      <c r="F72" s="41"/>
      <c r="G72" s="61">
        <f>B$57 + C$56* (((D72-B$59)*COS(RADIANS(B$63)) - (E72-B$60)*SIN(RADIANS(B$63))) * (B$65/(B$64*B$61)) )</f>
        <v>1</v>
      </c>
      <c r="H72" s="61">
        <f>B$58 + (((D72-B$59)*SIN(RADIANS(B$63)) + (E72-B$60)*COS(RADIANS(B$63))) * (B$66/(B$64*B$62)) )</f>
        <v>1000</v>
      </c>
      <c r="I72" s="61">
        <f>B$59 + C$56* ((B72-B$57)*COS(RADIANS(B$63))*B$64*B$61/B$65) + ((C72-B$58)*SIN(RADIANS(B$63))*B$64*B$62/B$66)</f>
        <v>500000</v>
      </c>
      <c r="J72" s="61">
        <f>B$60 - C$56* ((B72-B$57)*SIN(RADIANS(B$63))*B$64*B$61/B$65) + ((C72-B$58)*COS(RADIANS(B$63))*B$64*B$62/B$66)</f>
        <v>3000000</v>
      </c>
      <c r="L72" s="45">
        <f t="shared" ref="L72:O75" si="3">B72-G72</f>
        <v>0</v>
      </c>
      <c r="M72" s="45">
        <f t="shared" si="3"/>
        <v>0</v>
      </c>
      <c r="N72" s="44">
        <f t="shared" si="3"/>
        <v>0</v>
      </c>
      <c r="O72" s="44">
        <f t="shared" si="3"/>
        <v>0</v>
      </c>
    </row>
    <row r="73" spans="1:15" x14ac:dyDescent="0.25">
      <c r="A73" s="41" t="str">
        <f t="shared" ref="A73:E75" si="4">A15</f>
        <v>B</v>
      </c>
      <c r="B73" s="41">
        <f t="shared" si="4"/>
        <v>1</v>
      </c>
      <c r="C73" s="41">
        <f t="shared" si="4"/>
        <v>2000</v>
      </c>
      <c r="D73" s="41">
        <f t="shared" si="4"/>
        <v>500000</v>
      </c>
      <c r="E73" s="41">
        <f t="shared" si="4"/>
        <v>3100000</v>
      </c>
      <c r="F73" s="46" t="s">
        <v>151</v>
      </c>
      <c r="G73" s="61">
        <f>B$57 + C$56* (((D73-B$59)*COS(RADIANS(B$63)) - (E73-B$60)*SIN(RADIANS(B$63))) * (B$65/(B$64*B$61)) )</f>
        <v>1</v>
      </c>
      <c r="H73" s="61">
        <f>B$58 + (((D73-B$59)*SIN(RADIANS(B$63)) + (E73-B$60)*COS(RADIANS(B$63))) * (B$66/(B$64*B$62)) )</f>
        <v>2000</v>
      </c>
      <c r="I73" s="61">
        <f>B$59 + C$56* ((B73-B$57)*COS(RADIANS(B$63))*B$64*B$61/B$65) + ((C73-B$58)*SIN(RADIANS(B$63))*B$64*B$62/B$66)</f>
        <v>500000</v>
      </c>
      <c r="J73" s="61">
        <f>B$60 - C$56* ((B73-B$57)*SIN(RADIANS(B$63))*B$64*B$61/B$65) + ((C73-B$58)*COS(RADIANS(B$63))*B$64*B$62/B$66)</f>
        <v>3100000</v>
      </c>
      <c r="L73" s="45">
        <f t="shared" si="3"/>
        <v>0</v>
      </c>
      <c r="M73" s="45">
        <f t="shared" si="3"/>
        <v>0</v>
      </c>
      <c r="N73" s="44">
        <f t="shared" si="3"/>
        <v>0</v>
      </c>
      <c r="O73" s="44">
        <f t="shared" si="3"/>
        <v>0</v>
      </c>
    </row>
    <row r="74" spans="1:15" x14ac:dyDescent="0.25">
      <c r="A74" s="41" t="str">
        <f t="shared" si="4"/>
        <v>C</v>
      </c>
      <c r="B74" s="41">
        <f t="shared" si="4"/>
        <v>101</v>
      </c>
      <c r="C74" s="41">
        <f t="shared" si="4"/>
        <v>1000</v>
      </c>
      <c r="D74" s="41">
        <f t="shared" si="4"/>
        <v>600000</v>
      </c>
      <c r="E74" s="41">
        <f t="shared" si="4"/>
        <v>3000000</v>
      </c>
      <c r="F74" s="41"/>
      <c r="G74" s="61">
        <f>B$57 + C$56* (((D74-B$59)*COS(RADIANS(B$63)) - (E74-B$60)*SIN(RADIANS(B$63))) * (B$65/(B$64*B$61)) )</f>
        <v>101</v>
      </c>
      <c r="H74" s="61">
        <f>B$58 + (((D74-B$59)*SIN(RADIANS(B$63)) + (E74-B$60)*COS(RADIANS(B$63))) * (B$66/(B$64*B$62)) )</f>
        <v>1000</v>
      </c>
      <c r="I74" s="61">
        <f>B$59 + C$56* ((B74-B$57)*COS(RADIANS(B$63))*B$64*B$61/B$65) + ((C74-B$58)*SIN(RADIANS(B$63))*B$64*B$62/B$66)</f>
        <v>600000</v>
      </c>
      <c r="J74" s="61">
        <f>B$60 - C$56* ((B74-B$57)*SIN(RADIANS(B$63))*B$64*B$61/B$65) + ((C74-B$58)*COS(RADIANS(B$63))*B$64*B$62/B$66)</f>
        <v>3000000</v>
      </c>
      <c r="L74" s="45">
        <f t="shared" si="3"/>
        <v>0</v>
      </c>
      <c r="M74" s="45">
        <f t="shared" si="3"/>
        <v>0</v>
      </c>
      <c r="N74" s="44">
        <f t="shared" si="3"/>
        <v>0</v>
      </c>
      <c r="O74" s="44">
        <f t="shared" si="3"/>
        <v>0</v>
      </c>
    </row>
    <row r="75" spans="1:15" x14ac:dyDescent="0.25">
      <c r="A75" s="41" t="str">
        <f t="shared" si="4"/>
        <v>D</v>
      </c>
      <c r="B75" s="41">
        <f t="shared" si="4"/>
        <v>101</v>
      </c>
      <c r="C75" s="41">
        <f t="shared" si="4"/>
        <v>2000</v>
      </c>
      <c r="D75" s="41">
        <f t="shared" si="4"/>
        <v>600000</v>
      </c>
      <c r="E75" s="41">
        <f t="shared" si="4"/>
        <v>3100000</v>
      </c>
      <c r="F75" s="41"/>
      <c r="G75" s="61">
        <f>B$57 + C$56* (((D75-B$59)*COS(RADIANS(B$63)) - (E75-B$60)*SIN(RADIANS(B$63))) * (B$65/(B$64*B$61)) )</f>
        <v>101</v>
      </c>
      <c r="H75" s="61">
        <f>B$58 + (((D75-B$59)*SIN(RADIANS(B$63)) + (E75-B$60)*COS(RADIANS(B$63))) * (B$66/(B$64*B$62)) )</f>
        <v>2000</v>
      </c>
      <c r="I75" s="61">
        <f>B$59 + C$56* ((B75-B$57)*COS(RADIANS(B$63))*B$64*B$61/B$65) + ((C75-B$58)*SIN(RADIANS(B$63))*B$64*B$62/B$66)</f>
        <v>600000</v>
      </c>
      <c r="J75" s="61">
        <f>B$60 - C$56* ((B75-B$57)*SIN(RADIANS(B$63))*B$64*B$61/B$65) + ((C75-B$58)*COS(RADIANS(B$63))*B$64*B$62/B$66)</f>
        <v>3100000</v>
      </c>
      <c r="L75" s="45">
        <f t="shared" si="3"/>
        <v>0</v>
      </c>
      <c r="M75" s="45">
        <f t="shared" si="3"/>
        <v>0</v>
      </c>
      <c r="N75" s="44">
        <f t="shared" si="3"/>
        <v>0</v>
      </c>
      <c r="O75" s="44">
        <f t="shared" si="3"/>
        <v>0</v>
      </c>
    </row>
    <row r="76" spans="1:15" x14ac:dyDescent="0.25">
      <c r="K76" s="74" t="s">
        <v>137</v>
      </c>
      <c r="L76" s="81">
        <f>MAX(MAX(L72:L75),-MIN(L72:L75))</f>
        <v>0</v>
      </c>
      <c r="M76" s="81">
        <f>MAX(MAX(M72:M75),-MIN(M72:M75))</f>
        <v>0</v>
      </c>
      <c r="N76" s="7" t="s">
        <v>150</v>
      </c>
    </row>
    <row r="78" spans="1:15" x14ac:dyDescent="0.25">
      <c r="A78" t="s">
        <v>153</v>
      </c>
      <c r="B78" t="str">
        <f>IF(AND(MAX(MAX(N72:N75),-MIN(N72:N75))&lt;1.5, MAX(MAX(O72:O75),-MIN(O72:O75))&lt;1.5), "PASS", "FAIL")</f>
        <v>PASS</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7E03E65-E46D-4487-AD7F-A84E54C32423}">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183</v>
      </c>
      <c r="B1" t="s">
        <v>167</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171</v>
      </c>
      <c r="D10" s="10" t="s">
        <v>178</v>
      </c>
      <c r="E10" s="9" t="s">
        <v>172</v>
      </c>
      <c r="F10" s="9"/>
    </row>
    <row r="11" spans="1:13" x14ac:dyDescent="0.25">
      <c r="A11" s="1" t="s">
        <v>47</v>
      </c>
      <c r="B11" t="s">
        <v>48</v>
      </c>
      <c r="D11" s="10" t="s">
        <v>179</v>
      </c>
      <c r="E11" t="s">
        <v>48</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v>
      </c>
      <c r="C14" s="24">
        <v>1000</v>
      </c>
      <c r="D14" s="35">
        <v>500000</v>
      </c>
      <c r="E14" s="36">
        <v>3000000</v>
      </c>
      <c r="F14" s="72"/>
      <c r="G14" s="20" t="s">
        <v>105</v>
      </c>
    </row>
    <row r="15" spans="1:13" x14ac:dyDescent="0.25">
      <c r="A15" s="62" t="s">
        <v>4</v>
      </c>
      <c r="B15" s="25">
        <v>1</v>
      </c>
      <c r="C15" s="26">
        <v>2000</v>
      </c>
      <c r="D15" s="85">
        <v>499850</v>
      </c>
      <c r="E15" s="38">
        <v>3100000</v>
      </c>
      <c r="F15" s="72"/>
      <c r="G15" s="20" t="s">
        <v>108</v>
      </c>
    </row>
    <row r="16" spans="1:13" x14ac:dyDescent="0.25">
      <c r="A16" s="62" t="s">
        <v>5</v>
      </c>
      <c r="B16" s="25">
        <v>101</v>
      </c>
      <c r="C16" s="26">
        <v>1000</v>
      </c>
      <c r="D16" s="37">
        <v>600000</v>
      </c>
      <c r="E16" s="38">
        <v>3000000</v>
      </c>
      <c r="F16" s="72"/>
      <c r="G16" s="20" t="s">
        <v>107</v>
      </c>
    </row>
    <row r="17" spans="1:13" ht="15.75" thickBot="1" x14ac:dyDescent="0.3">
      <c r="A17" s="62" t="s">
        <v>6</v>
      </c>
      <c r="B17" s="27">
        <v>101</v>
      </c>
      <c r="C17" s="28">
        <v>2000</v>
      </c>
      <c r="D17" s="86">
        <v>600100</v>
      </c>
      <c r="E17" s="40">
        <v>3100000</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1</v>
      </c>
      <c r="C23" s="7"/>
      <c r="E23" t="s">
        <v>163</v>
      </c>
      <c r="F23" s="20"/>
    </row>
    <row r="24" spans="1:13" x14ac:dyDescent="0.25">
      <c r="A24" s="75" t="s">
        <v>59</v>
      </c>
      <c r="B24" s="26">
        <v>1</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100000</v>
      </c>
      <c r="C33" s="63" t="str">
        <f>B$30</f>
        <v>m</v>
      </c>
      <c r="E33" s="7" t="s">
        <v>1</v>
      </c>
      <c r="F33" s="7"/>
    </row>
    <row r="34" spans="1:8" x14ac:dyDescent="0.25">
      <c r="A34" s="11" t="s">
        <v>34</v>
      </c>
      <c r="B34" s="73">
        <f>SQRT((E17-E15)^2+(D17-D15)^2)</f>
        <v>100250</v>
      </c>
      <c r="C34" s="63" t="str">
        <f t="shared" ref="C34:C36" si="0">B$30</f>
        <v>m</v>
      </c>
    </row>
    <row r="35" spans="1:8" x14ac:dyDescent="0.25">
      <c r="A35" s="13" t="s">
        <v>142</v>
      </c>
      <c r="B35" s="66">
        <f>B23 * AVERAGE(B33,B34) / (B16-B14)</f>
        <v>1001.25</v>
      </c>
      <c r="C35" s="63" t="str">
        <f t="shared" si="0"/>
        <v>m</v>
      </c>
      <c r="E35" s="20" t="s">
        <v>141</v>
      </c>
      <c r="F35" s="20"/>
    </row>
    <row r="36" spans="1:8" x14ac:dyDescent="0.25">
      <c r="A36" s="13"/>
      <c r="B36" s="5" t="str">
        <f>TEXT(B35,"0.000000")</f>
        <v>1001.250000</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100000.11249993672</v>
      </c>
      <c r="C39" s="63" t="str">
        <f>B$30</f>
        <v>m</v>
      </c>
    </row>
    <row r="40" spans="1:8" x14ac:dyDescent="0.25">
      <c r="A40" s="11" t="s">
        <v>33</v>
      </c>
      <c r="B40" s="73">
        <f>SQRT((E17-E16)^2+(D17-D16)^2)</f>
        <v>100000.0499999875</v>
      </c>
      <c r="C40" s="63" t="str">
        <f t="shared" ref="C40:C42" si="1">B$30</f>
        <v>m</v>
      </c>
    </row>
    <row r="41" spans="1:8" x14ac:dyDescent="0.25">
      <c r="A41" s="13" t="s">
        <v>143</v>
      </c>
      <c r="B41" s="66">
        <f>B24 * AVERAGE(B39,B40) / (C15-C14)</f>
        <v>100.00008124996211</v>
      </c>
      <c r="C41" s="63" t="str">
        <f t="shared" si="1"/>
        <v>m</v>
      </c>
      <c r="E41" s="20" t="s">
        <v>140</v>
      </c>
      <c r="F41" s="20"/>
    </row>
    <row r="42" spans="1:8" x14ac:dyDescent="0.25">
      <c r="A42" s="13"/>
      <c r="B42" s="5" t="str">
        <f>TEXT(B41,"0.000000")</f>
        <v>100.000081</v>
      </c>
      <c r="C42" s="63" t="str">
        <f t="shared" si="1"/>
        <v>m</v>
      </c>
      <c r="E42" t="s">
        <v>87</v>
      </c>
    </row>
    <row r="44" spans="1:8" x14ac:dyDescent="0.25">
      <c r="A44" s="2" t="s">
        <v>88</v>
      </c>
      <c r="B44" s="2"/>
      <c r="C44" s="2"/>
      <c r="D44" s="2"/>
      <c r="E44" s="2"/>
      <c r="F44" s="2"/>
      <c r="G44" s="2"/>
      <c r="H44" s="2"/>
    </row>
    <row r="45" spans="1:8" x14ac:dyDescent="0.25">
      <c r="A45" s="11" t="s">
        <v>84</v>
      </c>
      <c r="B45">
        <f>DEGREES(ATAN2(E15-E14,D15-D14))</f>
        <v>-8.5943604811958549E-2</v>
      </c>
      <c r="C45" s="70" t="s">
        <v>0</v>
      </c>
      <c r="E45" t="s">
        <v>126</v>
      </c>
    </row>
    <row r="46" spans="1:8" x14ac:dyDescent="0.25">
      <c r="A46" s="11" t="s">
        <v>85</v>
      </c>
      <c r="B46">
        <f>DEGREES(ATAN2(E17-E16,D17-D16))</f>
        <v>5.7295760414500616E-2</v>
      </c>
      <c r="C46" s="70" t="s">
        <v>0</v>
      </c>
      <c r="E46" t="s">
        <v>31</v>
      </c>
    </row>
    <row r="47" spans="1:8" x14ac:dyDescent="0.25">
      <c r="A47" t="s">
        <v>104</v>
      </c>
      <c r="B47">
        <f>DEGREES(ATAN2(COS(RADIANS(B45))+COS(RADIANS(B46)), SIN(RADIANS(B45))+SIN(RADIANS(B46))))</f>
        <v>-1.4323922198728961E-2</v>
      </c>
      <c r="C47" s="70" t="s">
        <v>0</v>
      </c>
      <c r="E47" t="s">
        <v>101</v>
      </c>
    </row>
    <row r="48" spans="1:8" x14ac:dyDescent="0.25">
      <c r="A48" s="13" t="s">
        <v>72</v>
      </c>
      <c r="B48">
        <f>IF(B47&lt;0,B47+360,B47)</f>
        <v>359.98567607780126</v>
      </c>
      <c r="C48" s="70" t="s">
        <v>0</v>
      </c>
      <c r="E48" s="20" t="s">
        <v>102</v>
      </c>
      <c r="F48" s="20"/>
    </row>
    <row r="49" spans="1:8" x14ac:dyDescent="0.25">
      <c r="B49" s="5" t="str">
        <f>TEXT(B47,"0.00000")</f>
        <v>-0.01432</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51</v>
      </c>
      <c r="C57" s="70" t="s">
        <v>120</v>
      </c>
      <c r="E57" s="20" t="s">
        <v>198</v>
      </c>
    </row>
    <row r="58" spans="1:8" x14ac:dyDescent="0.25">
      <c r="A58" s="20" t="s">
        <v>93</v>
      </c>
      <c r="B58">
        <f>AVERAGE(C14:C17)</f>
        <v>1500</v>
      </c>
      <c r="C58" s="70" t="s">
        <v>121</v>
      </c>
      <c r="E58" s="20" t="s">
        <v>198</v>
      </c>
    </row>
    <row r="59" spans="1:8" x14ac:dyDescent="0.25">
      <c r="A59" s="20" t="s">
        <v>94</v>
      </c>
      <c r="B59" s="61">
        <f>AVERAGE(D14:D17)</f>
        <v>549987.5</v>
      </c>
      <c r="C59" s="70" t="s">
        <v>19</v>
      </c>
      <c r="E59" s="20" t="s">
        <v>198</v>
      </c>
    </row>
    <row r="60" spans="1:8" x14ac:dyDescent="0.25">
      <c r="A60" s="20" t="s">
        <v>95</v>
      </c>
      <c r="B60" s="61">
        <f>AVERAGE(E14:E17)</f>
        <v>3050000</v>
      </c>
      <c r="C60" s="70" t="s">
        <v>20</v>
      </c>
      <c r="E60" s="20" t="s">
        <v>198</v>
      </c>
    </row>
    <row r="61" spans="1:8" x14ac:dyDescent="0.25">
      <c r="A61" s="20" t="s">
        <v>96</v>
      </c>
      <c r="B61" s="34">
        <f>B35</f>
        <v>1001.25</v>
      </c>
      <c r="C61" s="70" t="s">
        <v>142</v>
      </c>
    </row>
    <row r="62" spans="1:8" x14ac:dyDescent="0.25">
      <c r="A62" s="20" t="s">
        <v>97</v>
      </c>
      <c r="B62" s="34">
        <f>B41</f>
        <v>100.00008124996211</v>
      </c>
      <c r="C62" s="70" t="s">
        <v>143</v>
      </c>
    </row>
    <row r="63" spans="1:8" x14ac:dyDescent="0.25">
      <c r="A63" s="20" t="s">
        <v>98</v>
      </c>
      <c r="B63">
        <f>B48</f>
        <v>359.98567607780126</v>
      </c>
      <c r="C63" s="63" t="s">
        <v>124</v>
      </c>
    </row>
    <row r="64" spans="1:8" x14ac:dyDescent="0.25">
      <c r="A64" s="20" t="s">
        <v>99</v>
      </c>
      <c r="B64" s="71">
        <v>1</v>
      </c>
      <c r="C64" s="70" t="s">
        <v>125</v>
      </c>
    </row>
    <row r="65" spans="1:15" x14ac:dyDescent="0.25">
      <c r="A65" s="20" t="s">
        <v>58</v>
      </c>
      <c r="B65">
        <f>B23</f>
        <v>1</v>
      </c>
      <c r="C65" s="70" t="s">
        <v>56</v>
      </c>
    </row>
    <row r="66" spans="1:15" x14ac:dyDescent="0.25">
      <c r="A66" s="20" t="s">
        <v>59</v>
      </c>
      <c r="B66">
        <f>B24</f>
        <v>1</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v>
      </c>
      <c r="C72" s="41">
        <f t="shared" si="2"/>
        <v>1000</v>
      </c>
      <c r="D72" s="41">
        <f t="shared" si="2"/>
        <v>500000</v>
      </c>
      <c r="E72" s="41">
        <f t="shared" si="2"/>
        <v>3000000</v>
      </c>
      <c r="F72" s="41"/>
      <c r="G72" s="61">
        <f>B$57 + C$56* (((D72-B$59)*COS(RADIANS(B$63)) - (E72-B$60)*SIN(RADIANS(B$63))) * (B$65/(B$64*B$61)) )</f>
        <v>1.062423552585507</v>
      </c>
      <c r="H72" s="61">
        <f>B$58 + (((D72-B$59)*SIN(RADIANS(B$63)) + (E72-B$60)*COS(RADIANS(B$63))) * (B$66/(B$64*B$62)) )</f>
        <v>1000.1253903237131</v>
      </c>
      <c r="I72" s="61">
        <f>B$59 + C$56* ((B72-B$57)*COS(RADIANS(B$63))*B$64*B$61/B$65) + ((C72-B$58)*SIN(RADIANS(B$63))*B$64*B$62/B$66)</f>
        <v>499937.50155468262</v>
      </c>
      <c r="J72" s="61">
        <f>B$60 - C$56* ((B72-B$57)*SIN(RADIANS(B$63))*B$64*B$61/B$65) + ((C72-B$58)*COS(RADIANS(B$63))*B$64*B$62/B$66)</f>
        <v>2999987.445332462</v>
      </c>
      <c r="L72" s="45">
        <f t="shared" ref="L72:O75" si="3">B72-G72</f>
        <v>-6.2423552585507025E-2</v>
      </c>
      <c r="M72" s="45">
        <f t="shared" si="3"/>
        <v>-0.12539032371307712</v>
      </c>
      <c r="N72" s="44">
        <f t="shared" si="3"/>
        <v>62.498445317381993</v>
      </c>
      <c r="O72" s="44">
        <f t="shared" si="3"/>
        <v>12.554667538031936</v>
      </c>
    </row>
    <row r="73" spans="1:15" x14ac:dyDescent="0.25">
      <c r="A73" s="41" t="str">
        <f t="shared" ref="A73:E75" si="4">A15</f>
        <v>B</v>
      </c>
      <c r="B73" s="41">
        <f t="shared" si="4"/>
        <v>1</v>
      </c>
      <c r="C73" s="41">
        <f t="shared" si="4"/>
        <v>2000</v>
      </c>
      <c r="D73" s="41">
        <f t="shared" si="4"/>
        <v>499850</v>
      </c>
      <c r="E73" s="41">
        <f t="shared" si="4"/>
        <v>3100000</v>
      </c>
      <c r="F73" s="46" t="s">
        <v>151</v>
      </c>
      <c r="G73" s="61">
        <f>B$57 + C$56* (((D73-B$59)*COS(RADIANS(B$63)) - (E73-B$60)*SIN(RADIANS(B$63))) * (B$65/(B$64*B$61)) )</f>
        <v>0.93757957240459433</v>
      </c>
      <c r="H73" s="61">
        <f>B$58 + (((D73-B$59)*SIN(RADIANS(B$63)) + (E73-B$60)*COS(RADIANS(B$63))) * (B$66/(B$64*B$62)) )</f>
        <v>2000.1249215739742</v>
      </c>
      <c r="I73" s="61">
        <f>B$59 + C$56* ((B73-B$57)*COS(RADIANS(B$63))*B$64*B$61/B$65) + ((C73-B$58)*SIN(RADIANS(B$63))*B$64*B$62/B$66)</f>
        <v>499912.50157421373</v>
      </c>
      <c r="J73" s="61">
        <f>B$60 - C$56* ((B73-B$57)*SIN(RADIANS(B$63))*B$64*B$61/B$65) + ((C73-B$58)*COS(RADIANS(B$63))*B$64*B$62/B$66)</f>
        <v>3099987.5234574312</v>
      </c>
      <c r="L73" s="45">
        <f t="shared" si="3"/>
        <v>6.242042759540567E-2</v>
      </c>
      <c r="M73" s="45">
        <f t="shared" si="3"/>
        <v>-0.12492157397423398</v>
      </c>
      <c r="N73" s="44">
        <f t="shared" si="3"/>
        <v>-62.501574213732965</v>
      </c>
      <c r="O73" s="44">
        <f t="shared" si="3"/>
        <v>12.476542568765581</v>
      </c>
    </row>
    <row r="74" spans="1:15" x14ac:dyDescent="0.25">
      <c r="A74" s="41" t="str">
        <f t="shared" si="4"/>
        <v>C</v>
      </c>
      <c r="B74" s="41">
        <f t="shared" si="4"/>
        <v>101</v>
      </c>
      <c r="C74" s="41">
        <f t="shared" si="4"/>
        <v>1000</v>
      </c>
      <c r="D74" s="41">
        <f t="shared" si="4"/>
        <v>600000</v>
      </c>
      <c r="E74" s="41">
        <f t="shared" si="4"/>
        <v>3000000</v>
      </c>
      <c r="F74" s="41"/>
      <c r="G74" s="61">
        <f>B$57 + C$56* (((D74-B$59)*COS(RADIANS(B$63)) - (E74-B$60)*SIN(RADIANS(B$63))) * (B$65/(B$64*B$61)) )</f>
        <v>100.9375764864281</v>
      </c>
      <c r="H74" s="61">
        <f>B$58 + (((D74-B$59)*SIN(RADIANS(B$63)) + (E74-B$60)*COS(RADIANS(B$63))) * (B$66/(B$64*B$62)) )</f>
        <v>999.87539092527379</v>
      </c>
      <c r="I74" s="61">
        <f>B$59 + C$56* ((B74-B$57)*COS(RADIANS(B$63))*B$64*B$61/B$65) + ((C74-B$58)*SIN(RADIANS(B$63))*B$64*B$62/B$66)</f>
        <v>600062.49842578627</v>
      </c>
      <c r="J74" s="61">
        <f>B$60 - C$56* ((B74-B$57)*SIN(RADIANS(B$63))*B$64*B$61/B$65) + ((C74-B$58)*COS(RADIANS(B$63))*B$64*B$62/B$66)</f>
        <v>3000012.4765425688</v>
      </c>
      <c r="L74" s="45">
        <f t="shared" si="3"/>
        <v>6.2423513571900457E-2</v>
      </c>
      <c r="M74" s="45">
        <f t="shared" si="3"/>
        <v>0.12460907472620875</v>
      </c>
      <c r="N74" s="44">
        <f t="shared" si="3"/>
        <v>-62.498425786267035</v>
      </c>
      <c r="O74" s="44">
        <f t="shared" si="3"/>
        <v>-12.476542568765581</v>
      </c>
    </row>
    <row r="75" spans="1:15" x14ac:dyDescent="0.25">
      <c r="A75" s="41" t="str">
        <f t="shared" si="4"/>
        <v>D</v>
      </c>
      <c r="B75" s="41">
        <f t="shared" si="4"/>
        <v>101</v>
      </c>
      <c r="C75" s="41">
        <f t="shared" si="4"/>
        <v>2000</v>
      </c>
      <c r="D75" s="41">
        <f t="shared" si="4"/>
        <v>600100</v>
      </c>
      <c r="E75" s="41">
        <f t="shared" si="4"/>
        <v>3100000</v>
      </c>
      <c r="F75" s="41"/>
      <c r="G75" s="61">
        <f>B$57 + C$56* (((D75-B$59)*COS(RADIANS(B$63)) - (E75-B$60)*SIN(RADIANS(B$63))) * (B$65/(B$64*B$61)) )</f>
        <v>101.0624203885818</v>
      </c>
      <c r="H75" s="61">
        <f>B$58 + (((D75-B$59)*SIN(RADIANS(B$63)) + (E75-B$60)*COS(RADIANS(B$63))) * (B$66/(B$64*B$62)) )</f>
        <v>1999.8742971770389</v>
      </c>
      <c r="I75" s="61">
        <f>B$59 + C$56* ((B75-B$57)*COS(RADIANS(B$63))*B$64*B$61/B$65) + ((C75-B$58)*SIN(RADIANS(B$63))*B$64*B$62/B$66)</f>
        <v>600037.4984453175</v>
      </c>
      <c r="J75" s="61">
        <f>B$60 - C$56* ((B75-B$57)*SIN(RADIANS(B$63))*B$64*B$61/B$65) + ((C75-B$58)*COS(RADIANS(B$63))*B$64*B$62/B$66)</f>
        <v>3100012.554667538</v>
      </c>
      <c r="L75" s="45">
        <f t="shared" si="3"/>
        <v>-6.2420388581799102E-2</v>
      </c>
      <c r="M75" s="45">
        <f t="shared" si="3"/>
        <v>0.12570282296110236</v>
      </c>
      <c r="N75" s="44">
        <f t="shared" si="3"/>
        <v>62.501554682501592</v>
      </c>
      <c r="O75" s="44">
        <f t="shared" si="3"/>
        <v>-12.554667538031936</v>
      </c>
    </row>
    <row r="76" spans="1:15" x14ac:dyDescent="0.25">
      <c r="K76" s="74" t="s">
        <v>137</v>
      </c>
      <c r="L76" s="81">
        <f>MAX(MAX(L72:L75),-MIN(L72:L75))</f>
        <v>6.2423552585507025E-2</v>
      </c>
      <c r="M76" s="81">
        <f>MAX(MAX(M72:M75),-MIN(M72:M75))</f>
        <v>0.12570282296110236</v>
      </c>
      <c r="N76" s="7" t="s">
        <v>150</v>
      </c>
    </row>
    <row r="78" spans="1:15" x14ac:dyDescent="0.25">
      <c r="A78" t="s">
        <v>153</v>
      </c>
      <c r="B78" t="str">
        <f>IF(AND(MAX(MAX(N72:N75),-MIN(N72:N75))&lt;1.5, MAX(MAX(O72:O75),-MIN(O72:O75))&lt;1.5), "PASS", "FAIL")</f>
        <v>FAIL</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E2BF7C-44B1-4266-8A25-8CC58A1E7FA6}">
  <sheetPr>
    <tabColor theme="9" tint="0.59999389629810485"/>
  </sheetPr>
  <dimension ref="A1:O79"/>
  <sheetViews>
    <sheetView workbookViewId="0">
      <selection activeCell="A3" sqref="A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184</v>
      </c>
      <c r="B1" t="s">
        <v>168</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171</v>
      </c>
      <c r="D10" s="10" t="s">
        <v>178</v>
      </c>
      <c r="E10" s="9" t="s">
        <v>172</v>
      </c>
      <c r="F10" s="9"/>
    </row>
    <row r="11" spans="1:13" x14ac:dyDescent="0.25">
      <c r="A11" s="1" t="s">
        <v>47</v>
      </c>
      <c r="B11" t="s">
        <v>48</v>
      </c>
      <c r="D11" s="10" t="s">
        <v>179</v>
      </c>
      <c r="E11" t="s">
        <v>48</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v>
      </c>
      <c r="C14" s="24">
        <v>1000</v>
      </c>
      <c r="D14" s="35">
        <v>500000</v>
      </c>
      <c r="E14" s="36">
        <v>3000000</v>
      </c>
      <c r="F14" s="72"/>
      <c r="G14" s="20" t="s">
        <v>105</v>
      </c>
    </row>
    <row r="15" spans="1:13" x14ac:dyDescent="0.25">
      <c r="A15" s="62" t="s">
        <v>4</v>
      </c>
      <c r="B15" s="25">
        <v>1</v>
      </c>
      <c r="C15" s="26">
        <v>2000</v>
      </c>
      <c r="D15" s="37">
        <v>500000</v>
      </c>
      <c r="E15" s="38">
        <v>3100000</v>
      </c>
      <c r="F15" s="72"/>
      <c r="G15" s="20" t="s">
        <v>108</v>
      </c>
    </row>
    <row r="16" spans="1:13" x14ac:dyDescent="0.25">
      <c r="A16" s="62" t="s">
        <v>5</v>
      </c>
      <c r="B16" s="25">
        <v>101</v>
      </c>
      <c r="C16" s="26">
        <v>1000</v>
      </c>
      <c r="D16" s="85">
        <v>598995</v>
      </c>
      <c r="E16" s="87">
        <v>3006300</v>
      </c>
      <c r="F16" s="72"/>
      <c r="G16" s="20" t="s">
        <v>107</v>
      </c>
    </row>
    <row r="17" spans="1:13" ht="15.75" thickBot="1" x14ac:dyDescent="0.3">
      <c r="A17" s="62" t="s">
        <v>6</v>
      </c>
      <c r="B17" s="27">
        <v>101</v>
      </c>
      <c r="C17" s="28">
        <v>2000</v>
      </c>
      <c r="D17" s="39">
        <v>600000</v>
      </c>
      <c r="E17" s="40">
        <v>3100000</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1</v>
      </c>
      <c r="C23" s="7"/>
      <c r="E23" t="s">
        <v>163</v>
      </c>
      <c r="F23" s="20"/>
    </row>
    <row r="24" spans="1:13" x14ac:dyDescent="0.25">
      <c r="A24" s="75" t="s">
        <v>59</v>
      </c>
      <c r="B24" s="26">
        <v>1</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99195.262109639094</v>
      </c>
      <c r="C33" s="63" t="str">
        <f>B$30</f>
        <v>m</v>
      </c>
      <c r="E33" s="7" t="s">
        <v>1</v>
      </c>
      <c r="F33" s="7"/>
    </row>
    <row r="34" spans="1:8" x14ac:dyDescent="0.25">
      <c r="A34" s="11" t="s">
        <v>34</v>
      </c>
      <c r="B34" s="73">
        <f>SQRT((E17-E15)^2+(D17-D15)^2)</f>
        <v>100000</v>
      </c>
      <c r="C34" s="63" t="str">
        <f t="shared" ref="C34:C36" si="0">B$30</f>
        <v>m</v>
      </c>
    </row>
    <row r="35" spans="1:8" x14ac:dyDescent="0.25">
      <c r="A35" s="13" t="s">
        <v>142</v>
      </c>
      <c r="B35" s="66">
        <f>B23 * AVERAGE(B33,B34) / (B16-B14)</f>
        <v>995.97631054819544</v>
      </c>
      <c r="C35" s="63" t="str">
        <f t="shared" si="0"/>
        <v>m</v>
      </c>
      <c r="E35" s="20" t="s">
        <v>141</v>
      </c>
      <c r="F35" s="20"/>
    </row>
    <row r="36" spans="1:8" x14ac:dyDescent="0.25">
      <c r="A36" s="13"/>
      <c r="B36" s="5" t="str">
        <f>TEXT(B35,"0.000000")</f>
        <v>995.976311</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100000</v>
      </c>
      <c r="C39" s="63" t="str">
        <f>B$30</f>
        <v>m</v>
      </c>
    </row>
    <row r="40" spans="1:8" x14ac:dyDescent="0.25">
      <c r="A40" s="11" t="s">
        <v>33</v>
      </c>
      <c r="B40" s="73">
        <f>SQRT((E17-E16)^2+(D17-D16)^2)</f>
        <v>93705.389519493488</v>
      </c>
      <c r="C40" s="63" t="str">
        <f t="shared" ref="C40:C42" si="1">B$30</f>
        <v>m</v>
      </c>
    </row>
    <row r="41" spans="1:8" x14ac:dyDescent="0.25">
      <c r="A41" s="13" t="s">
        <v>143</v>
      </c>
      <c r="B41" s="66">
        <f>B24 * AVERAGE(B39,B40) / (C15-C14)</f>
        <v>96.852694759746754</v>
      </c>
      <c r="C41" s="63" t="str">
        <f t="shared" si="1"/>
        <v>m</v>
      </c>
      <c r="E41" s="20" t="s">
        <v>140</v>
      </c>
      <c r="F41" s="20"/>
    </row>
    <row r="42" spans="1:8" x14ac:dyDescent="0.25">
      <c r="A42" s="13"/>
      <c r="B42" s="5" t="str">
        <f>TEXT(B41,"0.000000")</f>
        <v>96.852695</v>
      </c>
      <c r="C42" s="63" t="str">
        <f t="shared" si="1"/>
        <v>m</v>
      </c>
      <c r="E42" t="s">
        <v>87</v>
      </c>
    </row>
    <row r="44" spans="1:8" x14ac:dyDescent="0.25">
      <c r="A44" s="2" t="s">
        <v>88</v>
      </c>
      <c r="B44" s="2"/>
      <c r="C44" s="2"/>
      <c r="D44" s="2"/>
      <c r="E44" s="2"/>
      <c r="F44" s="2"/>
      <c r="G44" s="2"/>
      <c r="H44" s="2"/>
    </row>
    <row r="45" spans="1:8" x14ac:dyDescent="0.25">
      <c r="A45" s="11" t="s">
        <v>84</v>
      </c>
      <c r="B45">
        <f>DEGREES(ATAN2(E15-E14,D15-D14))</f>
        <v>0</v>
      </c>
      <c r="C45" s="70" t="s">
        <v>0</v>
      </c>
      <c r="E45" t="s">
        <v>126</v>
      </c>
    </row>
    <row r="46" spans="1:8" x14ac:dyDescent="0.25">
      <c r="A46" s="11" t="s">
        <v>85</v>
      </c>
      <c r="B46">
        <f>DEGREES(ATAN2(E17-E16,D17-D16))</f>
        <v>0.61451494615467761</v>
      </c>
      <c r="C46" s="70" t="s">
        <v>0</v>
      </c>
      <c r="E46" t="s">
        <v>31</v>
      </c>
    </row>
    <row r="47" spans="1:8" x14ac:dyDescent="0.25">
      <c r="A47" t="s">
        <v>104</v>
      </c>
      <c r="B47">
        <f>DEGREES(ATAN2(COS(RADIANS(B45))+COS(RADIANS(B46)), SIN(RADIANS(B45))+SIN(RADIANS(B46))))</f>
        <v>0.30725747307733881</v>
      </c>
      <c r="C47" s="70" t="s">
        <v>0</v>
      </c>
      <c r="E47" t="s">
        <v>101</v>
      </c>
    </row>
    <row r="48" spans="1:8" x14ac:dyDescent="0.25">
      <c r="A48" s="13" t="s">
        <v>72</v>
      </c>
      <c r="B48">
        <f>IF(B47&lt;0,B47+360,B47)</f>
        <v>0.30725747307733881</v>
      </c>
      <c r="C48" s="70" t="s">
        <v>0</v>
      </c>
      <c r="E48" s="20" t="s">
        <v>102</v>
      </c>
      <c r="F48" s="20"/>
    </row>
    <row r="49" spans="1:8" x14ac:dyDescent="0.25">
      <c r="B49" s="5" t="str">
        <f>TEXT(B47,"0.00000")</f>
        <v>0.30726</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51</v>
      </c>
      <c r="C57" s="70" t="s">
        <v>120</v>
      </c>
      <c r="E57" s="20" t="s">
        <v>198</v>
      </c>
    </row>
    <row r="58" spans="1:8" x14ac:dyDescent="0.25">
      <c r="A58" s="20" t="s">
        <v>93</v>
      </c>
      <c r="B58">
        <f>AVERAGE(C14:C17)</f>
        <v>1500</v>
      </c>
      <c r="C58" s="70" t="s">
        <v>121</v>
      </c>
      <c r="E58" s="20" t="s">
        <v>198</v>
      </c>
    </row>
    <row r="59" spans="1:8" x14ac:dyDescent="0.25">
      <c r="A59" s="20" t="s">
        <v>94</v>
      </c>
      <c r="B59" s="61">
        <f>AVERAGE(D14:D17)</f>
        <v>549748.75</v>
      </c>
      <c r="C59" s="70" t="s">
        <v>19</v>
      </c>
      <c r="E59" s="20" t="s">
        <v>198</v>
      </c>
    </row>
    <row r="60" spans="1:8" x14ac:dyDescent="0.25">
      <c r="A60" s="20" t="s">
        <v>95</v>
      </c>
      <c r="B60" s="61">
        <f>AVERAGE(E14:E17)</f>
        <v>3051575</v>
      </c>
      <c r="C60" s="70" t="s">
        <v>20</v>
      </c>
      <c r="E60" s="20" t="s">
        <v>198</v>
      </c>
    </row>
    <row r="61" spans="1:8" x14ac:dyDescent="0.25">
      <c r="A61" s="20" t="s">
        <v>96</v>
      </c>
      <c r="B61" s="34">
        <f>B35</f>
        <v>995.97631054819544</v>
      </c>
      <c r="C61" s="70" t="s">
        <v>142</v>
      </c>
    </row>
    <row r="62" spans="1:8" x14ac:dyDescent="0.25">
      <c r="A62" s="20" t="s">
        <v>97</v>
      </c>
      <c r="B62" s="34">
        <f>B41</f>
        <v>96.852694759746754</v>
      </c>
      <c r="C62" s="70" t="s">
        <v>143</v>
      </c>
    </row>
    <row r="63" spans="1:8" x14ac:dyDescent="0.25">
      <c r="A63" s="20" t="s">
        <v>98</v>
      </c>
      <c r="B63">
        <f>B48</f>
        <v>0.30725747307733881</v>
      </c>
      <c r="C63" s="63" t="s">
        <v>124</v>
      </c>
    </row>
    <row r="64" spans="1:8" x14ac:dyDescent="0.25">
      <c r="A64" s="20" t="s">
        <v>99</v>
      </c>
      <c r="B64" s="71">
        <v>1</v>
      </c>
      <c r="C64" s="70" t="s">
        <v>125</v>
      </c>
    </row>
    <row r="65" spans="1:15" x14ac:dyDescent="0.25">
      <c r="A65" s="20" t="s">
        <v>58</v>
      </c>
      <c r="B65">
        <f>B23</f>
        <v>1</v>
      </c>
      <c r="C65" s="70" t="s">
        <v>56</v>
      </c>
    </row>
    <row r="66" spans="1:15" x14ac:dyDescent="0.25">
      <c r="A66" s="20" t="s">
        <v>59</v>
      </c>
      <c r="B66">
        <f>B24</f>
        <v>1</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v>
      </c>
      <c r="C72" s="41">
        <f t="shared" si="2"/>
        <v>1000</v>
      </c>
      <c r="D72" s="41">
        <f t="shared" si="2"/>
        <v>500000</v>
      </c>
      <c r="E72" s="41">
        <f t="shared" si="2"/>
        <v>3000000</v>
      </c>
      <c r="F72" s="41"/>
      <c r="G72" s="61">
        <f>B$57 + C$56* (((D72-B$59)*COS(RADIANS(B$63)) - (E72-B$60)*SIN(RADIANS(B$63))) * (B$65/(B$64*B$61)) )</f>
        <v>1.328680957774516</v>
      </c>
      <c r="H72" s="61">
        <f>B$58 + (((D72-B$59)*SIN(RADIANS(B$63)) + (E72-B$60)*COS(RADIANS(B$63))) * (B$66/(B$64*B$62)) )</f>
        <v>964.74341664969654</v>
      </c>
      <c r="I72" s="61">
        <f>B$59 + C$56* ((B72-B$57)*COS(RADIANS(B$63))*B$64*B$61/B$65) + ((C72-B$58)*SIN(RADIANS(B$63))*B$64*B$62/B$66)</f>
        <v>499690.95800191269</v>
      </c>
      <c r="J72" s="61">
        <f>B$60 - C$56* ((B72-B$57)*SIN(RADIANS(B$63))*B$64*B$61/B$65) + ((C72-B$58)*COS(RADIANS(B$63))*B$64*B$62/B$66)</f>
        <v>3003416.4015074633</v>
      </c>
      <c r="L72" s="45">
        <f t="shared" ref="L72:O75" si="3">B72-G72</f>
        <v>-0.328680957774516</v>
      </c>
      <c r="M72" s="45">
        <f t="shared" si="3"/>
        <v>35.256583350303458</v>
      </c>
      <c r="N72" s="44">
        <f t="shared" si="3"/>
        <v>309.04199808731209</v>
      </c>
      <c r="O72" s="44">
        <f t="shared" si="3"/>
        <v>-3416.4015074633062</v>
      </c>
    </row>
    <row r="73" spans="1:15" x14ac:dyDescent="0.25">
      <c r="A73" s="41" t="str">
        <f t="shared" ref="A73:E75" si="4">A15</f>
        <v>B</v>
      </c>
      <c r="B73" s="41">
        <f t="shared" si="4"/>
        <v>1</v>
      </c>
      <c r="C73" s="41">
        <f t="shared" si="4"/>
        <v>2000</v>
      </c>
      <c r="D73" s="41">
        <f t="shared" si="4"/>
        <v>500000</v>
      </c>
      <c r="E73" s="41">
        <f t="shared" si="4"/>
        <v>3100000</v>
      </c>
      <c r="F73" s="46" t="s">
        <v>151</v>
      </c>
      <c r="G73" s="61">
        <f>B$57 + C$56* (((D73-B$59)*COS(RADIANS(B$63)) - (E73-B$60)*SIN(RADIANS(B$63))) * (B$65/(B$64*B$61)) )</f>
        <v>0.79025159991334704</v>
      </c>
      <c r="H73" s="61">
        <f>B$58 + (((D73-B$59)*SIN(RADIANS(B$63)) + (E73-B$60)*COS(RADIANS(B$63))) * (B$66/(B$64*B$62)) )</f>
        <v>1997.2243646326947</v>
      </c>
      <c r="I73" s="61">
        <f>B$59 + C$56* ((B73-B$57)*COS(RADIANS(B$63))*B$64*B$61/B$65) + ((C73-B$58)*SIN(RADIANS(B$63))*B$64*B$62/B$66)</f>
        <v>500210.34305735445</v>
      </c>
      <c r="J73" s="61">
        <f>B$60 - C$56* ((B73-B$57)*SIN(RADIANS(B$63))*B$64*B$61/B$65) + ((C73-B$58)*COS(RADIANS(B$63))*B$64*B$62/B$66)</f>
        <v>3100267.7036225554</v>
      </c>
      <c r="L73" s="45">
        <f t="shared" si="3"/>
        <v>0.20974840008665296</v>
      </c>
      <c r="M73" s="45">
        <f t="shared" si="3"/>
        <v>2.7756353673053127</v>
      </c>
      <c r="N73" s="44">
        <f t="shared" si="3"/>
        <v>-210.3430573544465</v>
      </c>
      <c r="O73" s="44">
        <f t="shared" si="3"/>
        <v>-267.7036225553602</v>
      </c>
    </row>
    <row r="74" spans="1:15" x14ac:dyDescent="0.25">
      <c r="A74" s="41" t="str">
        <f t="shared" si="4"/>
        <v>C</v>
      </c>
      <c r="B74" s="41">
        <f t="shared" si="4"/>
        <v>101</v>
      </c>
      <c r="C74" s="41">
        <f t="shared" si="4"/>
        <v>1000</v>
      </c>
      <c r="D74" s="41">
        <f t="shared" si="4"/>
        <v>598995</v>
      </c>
      <c r="E74" s="41">
        <f t="shared" si="4"/>
        <v>3006300</v>
      </c>
      <c r="F74" s="41"/>
      <c r="G74" s="61">
        <f>B$57 + C$56* (((D74-B$59)*COS(RADIANS(B$63)) - (E74-B$60)*SIN(RADIANS(B$63))) * (B$65/(B$64*B$61)) )</f>
        <v>100.6882650576205</v>
      </c>
      <c r="H74" s="61">
        <f>B$58 + (((D74-B$59)*SIN(RADIANS(B$63)) + (E74-B$60)*COS(RADIANS(B$63))) * (B$66/(B$64*B$62)) )</f>
        <v>1035.2709623477908</v>
      </c>
      <c r="I74" s="61">
        <f>B$59 + C$56* ((B74-B$57)*COS(RADIANS(B$63))*B$64*B$61/B$65) + ((C74-B$58)*SIN(RADIANS(B$63))*B$64*B$62/B$66)</f>
        <v>599287.15694264555</v>
      </c>
      <c r="J74" s="61">
        <f>B$60 - C$56* ((B74-B$57)*SIN(RADIANS(B$63))*B$64*B$61/B$65) + ((C74-B$58)*COS(RADIANS(B$63))*B$64*B$62/B$66)</f>
        <v>3002882.2963774446</v>
      </c>
      <c r="L74" s="45">
        <f t="shared" si="3"/>
        <v>0.31173494237950194</v>
      </c>
      <c r="M74" s="45">
        <f t="shared" si="3"/>
        <v>-35.270962347790828</v>
      </c>
      <c r="N74" s="44">
        <f t="shared" si="3"/>
        <v>-292.1569426455535</v>
      </c>
      <c r="O74" s="44">
        <f t="shared" si="3"/>
        <v>3417.7036225553602</v>
      </c>
    </row>
    <row r="75" spans="1:15" x14ac:dyDescent="0.25">
      <c r="A75" s="41" t="str">
        <f t="shared" si="4"/>
        <v>D</v>
      </c>
      <c r="B75" s="41">
        <f t="shared" si="4"/>
        <v>101</v>
      </c>
      <c r="C75" s="41">
        <f t="shared" si="4"/>
        <v>2000</v>
      </c>
      <c r="D75" s="41">
        <f t="shared" si="4"/>
        <v>600000</v>
      </c>
      <c r="E75" s="41">
        <f t="shared" si="4"/>
        <v>3100000</v>
      </c>
      <c r="F75" s="41"/>
      <c r="G75" s="61">
        <f>B$57 + C$56* (((D75-B$59)*COS(RADIANS(B$63)) - (E75-B$60)*SIN(RADIANS(B$63))) * (B$65/(B$64*B$61)) )</f>
        <v>101.19280238469162</v>
      </c>
      <c r="H75" s="61">
        <f>B$58 + (((D75-B$59)*SIN(RADIANS(B$63)) + (E75-B$60)*COS(RADIANS(B$63))) * (B$66/(B$64*B$62)) )</f>
        <v>2002.7612563698181</v>
      </c>
      <c r="I75" s="61">
        <f>B$59 + C$56* ((B75-B$57)*COS(RADIANS(B$63))*B$64*B$61/B$65) + ((C75-B$58)*SIN(RADIANS(B$63))*B$64*B$62/B$66)</f>
        <v>599806.54199808743</v>
      </c>
      <c r="J75" s="61">
        <f>B$60 - C$56* ((B75-B$57)*SIN(RADIANS(B$63))*B$64*B$61/B$65) + ((C75-B$58)*COS(RADIANS(B$63))*B$64*B$62/B$66)</f>
        <v>3099733.5984925367</v>
      </c>
      <c r="L75" s="45">
        <f t="shared" si="3"/>
        <v>-0.19280238469161759</v>
      </c>
      <c r="M75" s="45">
        <f t="shared" si="3"/>
        <v>-2.7612563698180566</v>
      </c>
      <c r="N75" s="44">
        <f t="shared" si="3"/>
        <v>193.45800191257149</v>
      </c>
      <c r="O75" s="44">
        <f t="shared" si="3"/>
        <v>266.40150746330619</v>
      </c>
    </row>
    <row r="76" spans="1:15" x14ac:dyDescent="0.25">
      <c r="K76" s="74" t="s">
        <v>137</v>
      </c>
      <c r="L76" s="81">
        <f>MAX(MAX(L72:L75),-MIN(L72:L75))</f>
        <v>0.328680957774516</v>
      </c>
      <c r="M76" s="81">
        <f>MAX(MAX(M72:M75),-MIN(M72:M75))</f>
        <v>35.270962347790828</v>
      </c>
      <c r="N76" s="7" t="s">
        <v>150</v>
      </c>
    </row>
    <row r="78" spans="1:15" x14ac:dyDescent="0.25">
      <c r="A78" t="s">
        <v>153</v>
      </c>
      <c r="B78" t="str">
        <f>IF(AND(MAX(MAX(N72:N75),-MIN(N72:N75))&lt;1.5, MAX(MAX(O72:O75),-MIN(O72:O75))&lt;1.5), "PASS", "FAIL")</f>
        <v>FAIL</v>
      </c>
      <c r="C78" s="20" t="s">
        <v>155</v>
      </c>
    </row>
    <row r="79" spans="1:15" x14ac:dyDescent="0.25">
      <c r="A79" s="11" t="s">
        <v>152</v>
      </c>
      <c r="B79" t="str">
        <f>IF(AND(L76&lt;B65, M76&lt;B66), "PASS", "FAIL")</f>
        <v>FAIL</v>
      </c>
      <c r="C79" s="20" t="s">
        <v>154</v>
      </c>
    </row>
  </sheetData>
  <pageMargins left="0.7" right="0.7" top="0.75" bottom="0.75" header="0.3" footer="0.3"/>
  <pageSetup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F51F0-BB83-48CC-85C2-5D53F7386CA9}">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185</v>
      </c>
      <c r="B1" t="s">
        <v>170</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88" t="s">
        <v>175</v>
      </c>
      <c r="D10" s="10" t="s">
        <v>178</v>
      </c>
      <c r="E10" s="9" t="s">
        <v>176</v>
      </c>
      <c r="F10" s="9"/>
    </row>
    <row r="11" spans="1:13" x14ac:dyDescent="0.25">
      <c r="A11" s="1" t="s">
        <v>47</v>
      </c>
      <c r="B11" t="s">
        <v>177</v>
      </c>
      <c r="D11" s="10" t="s">
        <v>179</v>
      </c>
      <c r="E11" t="s">
        <v>180</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v>
      </c>
      <c r="C14" s="24">
        <v>1000</v>
      </c>
      <c r="D14" s="35">
        <v>3593524.86</v>
      </c>
      <c r="E14" s="36">
        <v>9888579.9299999997</v>
      </c>
      <c r="F14" s="72"/>
      <c r="G14" s="20" t="s">
        <v>105</v>
      </c>
    </row>
    <row r="15" spans="1:13" x14ac:dyDescent="0.25">
      <c r="A15" s="62" t="s">
        <v>4</v>
      </c>
      <c r="B15" s="25">
        <v>1</v>
      </c>
      <c r="C15" s="26">
        <v>2000</v>
      </c>
      <c r="D15" s="37">
        <v>3577518.4</v>
      </c>
      <c r="E15" s="38">
        <v>10217694.310000001</v>
      </c>
      <c r="F15" s="72"/>
      <c r="G15" s="20" t="s">
        <v>108</v>
      </c>
    </row>
    <row r="16" spans="1:13" x14ac:dyDescent="0.25">
      <c r="A16" s="62" t="s">
        <v>5</v>
      </c>
      <c r="B16" s="25">
        <v>101</v>
      </c>
      <c r="C16" s="26">
        <v>1000</v>
      </c>
      <c r="D16" s="37">
        <v>3922906.04</v>
      </c>
      <c r="E16" s="38">
        <v>9904378.1300000008</v>
      </c>
      <c r="F16" s="72"/>
      <c r="G16" s="20" t="s">
        <v>107</v>
      </c>
    </row>
    <row r="17" spans="1:13" ht="15.75" thickBot="1" x14ac:dyDescent="0.3">
      <c r="A17" s="62" t="s">
        <v>6</v>
      </c>
      <c r="B17" s="27">
        <v>101</v>
      </c>
      <c r="C17" s="28">
        <v>2000</v>
      </c>
      <c r="D17" s="39">
        <v>3906852.11</v>
      </c>
      <c r="E17" s="40">
        <v>10233974.619999999</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1</v>
      </c>
      <c r="C23" s="7"/>
      <c r="E23" t="s">
        <v>163</v>
      </c>
      <c r="F23" s="20"/>
    </row>
    <row r="24" spans="1:13" x14ac:dyDescent="0.25">
      <c r="A24" s="75" t="s">
        <v>59</v>
      </c>
      <c r="B24" s="26">
        <v>1</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49</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329759.82905962417</v>
      </c>
      <c r="C33" s="63" t="str">
        <f>B$30</f>
        <v>ftUS</v>
      </c>
      <c r="E33" s="7" t="s">
        <v>1</v>
      </c>
      <c r="F33" s="7"/>
    </row>
    <row r="34" spans="1:8" x14ac:dyDescent="0.25">
      <c r="A34" s="11" t="s">
        <v>34</v>
      </c>
      <c r="B34" s="73">
        <f>SQRT((E17-E15)^2+(D17-D15)^2)</f>
        <v>329735.86555917776</v>
      </c>
      <c r="C34" s="63" t="str">
        <f t="shared" ref="C34:C36" si="0">B$30</f>
        <v>ftUS</v>
      </c>
    </row>
    <row r="35" spans="1:8" x14ac:dyDescent="0.25">
      <c r="A35" s="13" t="s">
        <v>142</v>
      </c>
      <c r="B35" s="66">
        <f>B23 * AVERAGE(B33,B34) / (B16-B14)</f>
        <v>3297.4784730940096</v>
      </c>
      <c r="C35" s="63" t="str">
        <f t="shared" si="0"/>
        <v>ftUS</v>
      </c>
      <c r="E35" s="20" t="s">
        <v>141</v>
      </c>
      <c r="F35" s="20"/>
    </row>
    <row r="36" spans="1:8" x14ac:dyDescent="0.25">
      <c r="A36" s="13"/>
      <c r="B36" s="5" t="str">
        <f>TEXT(B35,"0.000000")</f>
        <v>3297.478473</v>
      </c>
      <c r="C36" s="63" t="str">
        <f t="shared" si="0"/>
        <v>ftUS</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329503.38675727835</v>
      </c>
      <c r="C39" s="63" t="str">
        <f>B$30</f>
        <v>ftUS</v>
      </c>
    </row>
    <row r="40" spans="1:8" x14ac:dyDescent="0.25">
      <c r="A40" s="11" t="s">
        <v>33</v>
      </c>
      <c r="B40" s="73">
        <f>SQRT((E17-E16)^2+(D17-D16)^2)</f>
        <v>329987.23443303671</v>
      </c>
      <c r="C40" s="63" t="str">
        <f t="shared" ref="C40:C42" si="1">B$30</f>
        <v>ftUS</v>
      </c>
    </row>
    <row r="41" spans="1:8" x14ac:dyDescent="0.25">
      <c r="A41" s="13" t="s">
        <v>143</v>
      </c>
      <c r="B41" s="66">
        <f>B24 * AVERAGE(B39,B40) / (C15-C14)</f>
        <v>329.74531059515755</v>
      </c>
      <c r="C41" s="63" t="str">
        <f t="shared" si="1"/>
        <v>ftUS</v>
      </c>
      <c r="E41" s="20" t="s">
        <v>140</v>
      </c>
      <c r="F41" s="20"/>
    </row>
    <row r="42" spans="1:8" x14ac:dyDescent="0.25">
      <c r="A42" s="13"/>
      <c r="B42" s="5" t="str">
        <f>TEXT(B41,"0.000000")</f>
        <v>329.745311</v>
      </c>
      <c r="C42" s="63" t="str">
        <f t="shared" si="1"/>
        <v>ftUS</v>
      </c>
      <c r="E42" t="s">
        <v>87</v>
      </c>
    </row>
    <row r="44" spans="1:8" x14ac:dyDescent="0.25">
      <c r="A44" s="2" t="s">
        <v>88</v>
      </c>
      <c r="B44" s="2"/>
      <c r="C44" s="2"/>
      <c r="D44" s="2"/>
      <c r="E44" s="2"/>
      <c r="F44" s="2"/>
      <c r="G44" s="2"/>
      <c r="H44" s="2"/>
    </row>
    <row r="45" spans="1:8" x14ac:dyDescent="0.25">
      <c r="A45" s="11" t="s">
        <v>84</v>
      </c>
      <c r="B45">
        <f>DEGREES(ATAN2(E15-E14,D15-D14))</f>
        <v>-2.7843831541532795</v>
      </c>
      <c r="C45" s="70" t="s">
        <v>0</v>
      </c>
      <c r="E45" t="s">
        <v>126</v>
      </c>
    </row>
    <row r="46" spans="1:8" x14ac:dyDescent="0.25">
      <c r="A46" s="11" t="s">
        <v>85</v>
      </c>
      <c r="B46">
        <f>DEGREES(ATAN2(E17-E16,D17-D16))</f>
        <v>-2.7885492820008979</v>
      </c>
      <c r="C46" s="70" t="s">
        <v>0</v>
      </c>
      <c r="E46" t="s">
        <v>31</v>
      </c>
    </row>
    <row r="47" spans="1:8" x14ac:dyDescent="0.25">
      <c r="A47" t="s">
        <v>104</v>
      </c>
      <c r="B47">
        <f>DEGREES(ATAN2(COS(RADIANS(B45))+COS(RADIANS(B46)), SIN(RADIANS(B45))+SIN(RADIANS(B46))))</f>
        <v>-2.7864662180770887</v>
      </c>
      <c r="C47" s="70" t="s">
        <v>0</v>
      </c>
      <c r="E47" t="s">
        <v>101</v>
      </c>
    </row>
    <row r="48" spans="1:8" x14ac:dyDescent="0.25">
      <c r="A48" s="13" t="s">
        <v>72</v>
      </c>
      <c r="B48">
        <f>IF(B47&lt;0,B47+360,B47)</f>
        <v>357.21353378192293</v>
      </c>
      <c r="C48" s="70" t="s">
        <v>0</v>
      </c>
      <c r="E48" s="20" t="s">
        <v>102</v>
      </c>
      <c r="F48" s="20"/>
    </row>
    <row r="49" spans="1:8" x14ac:dyDescent="0.25">
      <c r="B49" s="5" t="str">
        <f>TEXT(B47,"0.00000")</f>
        <v>-2.78647</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51</v>
      </c>
      <c r="C57" s="70" t="s">
        <v>120</v>
      </c>
      <c r="E57" s="20" t="s">
        <v>198</v>
      </c>
    </row>
    <row r="58" spans="1:8" x14ac:dyDescent="0.25">
      <c r="A58" s="20" t="s">
        <v>93</v>
      </c>
      <c r="B58">
        <f>AVERAGE(C14:C17)</f>
        <v>1500</v>
      </c>
      <c r="C58" s="70" t="s">
        <v>121</v>
      </c>
      <c r="E58" s="20" t="s">
        <v>198</v>
      </c>
    </row>
    <row r="59" spans="1:8" x14ac:dyDescent="0.25">
      <c r="A59" s="20" t="s">
        <v>94</v>
      </c>
      <c r="B59" s="61">
        <f>AVERAGE(D14:D17)</f>
        <v>3750200.3525</v>
      </c>
      <c r="C59" s="70" t="s">
        <v>19</v>
      </c>
      <c r="E59" s="20" t="s">
        <v>198</v>
      </c>
    </row>
    <row r="60" spans="1:8" x14ac:dyDescent="0.25">
      <c r="A60" s="20" t="s">
        <v>95</v>
      </c>
      <c r="B60" s="61">
        <f>AVERAGE(E14:E17)</f>
        <v>10061156.747500001</v>
      </c>
      <c r="C60" s="70" t="s">
        <v>20</v>
      </c>
      <c r="E60" s="20" t="s">
        <v>198</v>
      </c>
    </row>
    <row r="61" spans="1:8" x14ac:dyDescent="0.25">
      <c r="A61" s="20" t="s">
        <v>96</v>
      </c>
      <c r="B61" s="34">
        <f>B35</f>
        <v>3297.4784730940096</v>
      </c>
      <c r="C61" s="70" t="s">
        <v>142</v>
      </c>
    </row>
    <row r="62" spans="1:8" x14ac:dyDescent="0.25">
      <c r="A62" s="20" t="s">
        <v>97</v>
      </c>
      <c r="B62" s="34">
        <f>B41</f>
        <v>329.74531059515755</v>
      </c>
      <c r="C62" s="70" t="s">
        <v>143</v>
      </c>
    </row>
    <row r="63" spans="1:8" x14ac:dyDescent="0.25">
      <c r="A63" s="20" t="s">
        <v>98</v>
      </c>
      <c r="B63">
        <f>B48</f>
        <v>357.21353378192293</v>
      </c>
      <c r="C63" s="63" t="s">
        <v>124</v>
      </c>
    </row>
    <row r="64" spans="1:8" x14ac:dyDescent="0.25">
      <c r="A64" s="20" t="s">
        <v>99</v>
      </c>
      <c r="B64" s="71">
        <v>1</v>
      </c>
      <c r="C64" s="70" t="s">
        <v>125</v>
      </c>
    </row>
    <row r="65" spans="1:15" x14ac:dyDescent="0.25">
      <c r="A65" s="20" t="s">
        <v>58</v>
      </c>
      <c r="B65">
        <f>B23</f>
        <v>1</v>
      </c>
      <c r="C65" s="70" t="s">
        <v>56</v>
      </c>
    </row>
    <row r="66" spans="1:15" x14ac:dyDescent="0.25">
      <c r="A66" s="20" t="s">
        <v>59</v>
      </c>
      <c r="B66">
        <f>B24</f>
        <v>1</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v>
      </c>
      <c r="C72" s="41">
        <f t="shared" si="2"/>
        <v>1000</v>
      </c>
      <c r="D72" s="41">
        <f t="shared" si="2"/>
        <v>3593524.86</v>
      </c>
      <c r="E72" s="41">
        <f t="shared" si="2"/>
        <v>9888579.9299999997</v>
      </c>
      <c r="F72" s="41"/>
      <c r="G72" s="61">
        <f>B$57 + C$56* (((D72-B$59)*COS(RADIANS(B$63)) - (E72-B$60)*SIN(RADIANS(B$63))) * (B$65/(B$64*B$61)) )</f>
        <v>0.99819700648697562</v>
      </c>
      <c r="H72" s="61">
        <f>B$58 + (((D72-B$59)*SIN(RADIANS(B$63)) + (E72-B$60)*COS(RADIANS(B$63))) * (B$66/(B$64*B$62)) )</f>
        <v>1000.3532479138073</v>
      </c>
      <c r="I72" s="61">
        <f>B$59 + C$56* ((B72-B$57)*COS(RADIANS(B$63))*B$64*B$61/B$65) + ((C72-B$58)*SIN(RADIANS(B$63))*B$64*B$62/B$66)</f>
        <v>3593536.4609326641</v>
      </c>
      <c r="J72" s="61">
        <f>B$60 - C$56* ((B72-B$57)*SIN(RADIANS(B$63))*B$64*B$61/B$65) + ((C72-B$58)*COS(RADIANS(B$63))*B$64*B$62/B$66)</f>
        <v>9888463.8749048989</v>
      </c>
      <c r="L72" s="45">
        <f t="shared" ref="L72:O75" si="3">B72-G72</f>
        <v>1.8029935130243757E-3</v>
      </c>
      <c r="M72" s="45">
        <f t="shared" si="3"/>
        <v>-0.35324791380730858</v>
      </c>
      <c r="N72" s="44">
        <f t="shared" si="3"/>
        <v>-11.600932664237916</v>
      </c>
      <c r="O72" s="44">
        <f t="shared" si="3"/>
        <v>116.05509510077536</v>
      </c>
    </row>
    <row r="73" spans="1:15" x14ac:dyDescent="0.25">
      <c r="A73" s="41" t="str">
        <f t="shared" ref="A73:E75" si="4">A15</f>
        <v>B</v>
      </c>
      <c r="B73" s="41">
        <f t="shared" si="4"/>
        <v>1</v>
      </c>
      <c r="C73" s="41">
        <f t="shared" si="4"/>
        <v>2000</v>
      </c>
      <c r="D73" s="41">
        <f t="shared" si="4"/>
        <v>3577518.4</v>
      </c>
      <c r="E73" s="41">
        <f t="shared" si="4"/>
        <v>10217694.310000001</v>
      </c>
      <c r="F73" s="46" t="s">
        <v>151</v>
      </c>
      <c r="G73" s="61">
        <f>B$57 + C$56* (((D73-B$59)*COS(RADIANS(B$63)) - (E73-B$60)*SIN(RADIANS(B$63))) * (B$65/(B$64*B$61)) )</f>
        <v>1.0018299435881488</v>
      </c>
      <c r="H73" s="61">
        <f>B$58 + (((D73-B$59)*SIN(RADIANS(B$63)) + (E73-B$60)*COS(RADIANS(B$63))) * (B$66/(B$64*B$62)) )</f>
        <v>1999.6195784790293</v>
      </c>
      <c r="I73" s="61">
        <f>B$59 + C$56* ((B73-B$57)*COS(RADIANS(B$63))*B$64*B$61/B$65) + ((C73-B$58)*SIN(RADIANS(B$63))*B$64*B$62/B$66)</f>
        <v>3577506.2747071325</v>
      </c>
      <c r="J73" s="61">
        <f>B$60 - C$56* ((B73-B$57)*SIN(RADIANS(B$63))*B$64*B$61/B$65) + ((C73-B$58)*COS(RADIANS(B$63))*B$64*B$62/B$66)</f>
        <v>10217819.310550148</v>
      </c>
      <c r="L73" s="45">
        <f t="shared" si="3"/>
        <v>-1.829943588148808E-3</v>
      </c>
      <c r="M73" s="45">
        <f t="shared" si="3"/>
        <v>0.38042152097068538</v>
      </c>
      <c r="N73" s="44">
        <f t="shared" si="3"/>
        <v>12.125292867422104</v>
      </c>
      <c r="O73" s="44">
        <f t="shared" si="3"/>
        <v>-125.00055014714599</v>
      </c>
    </row>
    <row r="74" spans="1:15" x14ac:dyDescent="0.25">
      <c r="A74" s="41" t="str">
        <f t="shared" si="4"/>
        <v>C</v>
      </c>
      <c r="B74" s="41">
        <f t="shared" si="4"/>
        <v>101</v>
      </c>
      <c r="C74" s="41">
        <f t="shared" si="4"/>
        <v>1000</v>
      </c>
      <c r="D74" s="41">
        <f t="shared" si="4"/>
        <v>3922906.04</v>
      </c>
      <c r="E74" s="41">
        <f t="shared" si="4"/>
        <v>9904378.1300000008</v>
      </c>
      <c r="F74" s="41"/>
      <c r="G74" s="61">
        <f>B$57 + C$56* (((D74-B$59)*COS(RADIANS(B$63)) - (E74-B$60)*SIN(RADIANS(B$63))) * (B$65/(B$64*B$61)) )</f>
        <v>101.00180566084244</v>
      </c>
      <c r="H74" s="61">
        <f>B$58 + (((D74-B$59)*SIN(RADIANS(B$63)) + (E74-B$60)*COS(RADIANS(B$63))) * (B$66/(B$64*B$62)) )</f>
        <v>999.64675274708111</v>
      </c>
      <c r="I74" s="61">
        <f>B$59 + C$56* ((B74-B$57)*COS(RADIANS(B$63))*B$64*B$61/B$65) + ((C74-B$58)*SIN(RADIANS(B$63))*B$64*B$62/B$66)</f>
        <v>3922894.4302928676</v>
      </c>
      <c r="J74" s="61">
        <f>B$60 - C$56* ((B74-B$57)*SIN(RADIANS(B$63))*B$64*B$61/B$65) + ((C74-B$58)*COS(RADIANS(B$63))*B$64*B$62/B$66)</f>
        <v>9904494.1844498534</v>
      </c>
      <c r="L74" s="45">
        <f t="shared" si="3"/>
        <v>-1.805660842435941E-3</v>
      </c>
      <c r="M74" s="45">
        <f t="shared" si="3"/>
        <v>0.35324725291889081</v>
      </c>
      <c r="N74" s="44">
        <f t="shared" si="3"/>
        <v>11.609707132447511</v>
      </c>
      <c r="O74" s="44">
        <f t="shared" si="3"/>
        <v>-116.05444985255599</v>
      </c>
    </row>
    <row r="75" spans="1:15" x14ac:dyDescent="0.25">
      <c r="A75" s="41" t="str">
        <f t="shared" si="4"/>
        <v>D</v>
      </c>
      <c r="B75" s="41">
        <f t="shared" si="4"/>
        <v>101</v>
      </c>
      <c r="C75" s="41">
        <f t="shared" si="4"/>
        <v>2000</v>
      </c>
      <c r="D75" s="41">
        <f t="shared" si="4"/>
        <v>3906852.11</v>
      </c>
      <c r="E75" s="41">
        <f t="shared" si="4"/>
        <v>10233974.619999999</v>
      </c>
      <c r="F75" s="41"/>
      <c r="G75" s="61">
        <f>B$57 + C$56* (((D75-B$59)*COS(RADIANS(B$63)) - (E75-B$60)*SIN(RADIANS(B$63))) * (B$65/(B$64*B$61)) )</f>
        <v>100.99816738908227</v>
      </c>
      <c r="H75" s="61">
        <f>B$58 + (((D75-B$59)*SIN(RADIANS(B$63)) + (E75-B$60)*COS(RADIANS(B$63))) * (B$66/(B$64*B$62)) )</f>
        <v>2000.3804208600768</v>
      </c>
      <c r="I75" s="61">
        <f>B$59 + C$56* ((B75-B$57)*COS(RADIANS(B$63))*B$64*B$61/B$65) + ((C75-B$58)*SIN(RADIANS(B$63))*B$64*B$62/B$66)</f>
        <v>3906864.244067336</v>
      </c>
      <c r="J75" s="61">
        <f>B$60 - C$56* ((B75-B$57)*SIN(RADIANS(B$63))*B$64*B$61/B$65) + ((C75-B$58)*COS(RADIANS(B$63))*B$64*B$62/B$66)</f>
        <v>10233849.620095102</v>
      </c>
      <c r="L75" s="45">
        <f t="shared" si="3"/>
        <v>1.8326109177309036E-3</v>
      </c>
      <c r="M75" s="45">
        <f t="shared" si="3"/>
        <v>-0.38042086007681064</v>
      </c>
      <c r="N75" s="44">
        <f t="shared" si="3"/>
        <v>-12.13406733609736</v>
      </c>
      <c r="O75" s="44">
        <f t="shared" si="3"/>
        <v>124.99990489706397</v>
      </c>
    </row>
    <row r="76" spans="1:15" x14ac:dyDescent="0.25">
      <c r="K76" s="74" t="s">
        <v>137</v>
      </c>
      <c r="L76" s="81">
        <f>MAX(MAX(L72:L75),-MIN(L72:L75))</f>
        <v>1.8326109177309036E-3</v>
      </c>
      <c r="M76" s="81">
        <f>MAX(MAX(M72:M75),-MIN(M72:M75))</f>
        <v>0.38042152097068538</v>
      </c>
      <c r="N76" s="7" t="s">
        <v>150</v>
      </c>
    </row>
    <row r="78" spans="1:15" x14ac:dyDescent="0.25">
      <c r="A78" t="s">
        <v>153</v>
      </c>
      <c r="B78" t="str">
        <f>IF(AND(MAX(MAX(N72:N75),-MIN(N72:N75))&lt;1.5, MAX(MAX(O72:O75),-MIN(O72:O75))&lt;1.5), "PASS", "FAIL")</f>
        <v>FAIL</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17BF4-CA9D-4A2D-AE22-81B67623E75A}">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186</v>
      </c>
      <c r="B1" t="s">
        <v>169</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88" t="s">
        <v>173</v>
      </c>
      <c r="D10" s="10" t="s">
        <v>178</v>
      </c>
      <c r="E10" s="9" t="s">
        <v>174</v>
      </c>
      <c r="F10" s="9"/>
    </row>
    <row r="11" spans="1:13" x14ac:dyDescent="0.25">
      <c r="A11" s="1" t="s">
        <v>47</v>
      </c>
      <c r="B11" t="s">
        <v>177</v>
      </c>
      <c r="D11" s="10" t="s">
        <v>179</v>
      </c>
      <c r="E11" t="s">
        <v>180</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v>
      </c>
      <c r="C14" s="24">
        <v>1000</v>
      </c>
      <c r="D14" s="35">
        <v>-312617.65999999997</v>
      </c>
      <c r="E14" s="36">
        <v>9888576.3900000006</v>
      </c>
      <c r="F14" s="72"/>
      <c r="G14" s="20" t="s">
        <v>105</v>
      </c>
    </row>
    <row r="15" spans="1:13" x14ac:dyDescent="0.25">
      <c r="A15" s="62" t="s">
        <v>4</v>
      </c>
      <c r="B15" s="25">
        <v>1</v>
      </c>
      <c r="C15" s="26">
        <v>2000</v>
      </c>
      <c r="D15" s="37">
        <v>-296599.21999999997</v>
      </c>
      <c r="E15" s="38">
        <v>10217690.07</v>
      </c>
      <c r="F15" s="72"/>
      <c r="G15" s="20" t="s">
        <v>108</v>
      </c>
    </row>
    <row r="16" spans="1:13" x14ac:dyDescent="0.25">
      <c r="A16" s="62" t="s">
        <v>5</v>
      </c>
      <c r="B16" s="25">
        <v>101</v>
      </c>
      <c r="C16" s="26">
        <v>1000</v>
      </c>
      <c r="D16" s="37">
        <v>16280.67</v>
      </c>
      <c r="E16" s="38">
        <v>9872829.6500000004</v>
      </c>
      <c r="F16" s="72"/>
      <c r="G16" s="20" t="s">
        <v>107</v>
      </c>
    </row>
    <row r="17" spans="1:13" ht="15.75" thickBot="1" x14ac:dyDescent="0.3">
      <c r="A17" s="62" t="s">
        <v>6</v>
      </c>
      <c r="B17" s="27">
        <v>101</v>
      </c>
      <c r="C17" s="28">
        <v>2000</v>
      </c>
      <c r="D17" s="39">
        <v>32255.91</v>
      </c>
      <c r="E17" s="40">
        <v>10201463.52</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1</v>
      </c>
      <c r="C23" s="7"/>
      <c r="E23" t="s">
        <v>163</v>
      </c>
      <c r="F23" s="20"/>
    </row>
    <row r="24" spans="1:13" x14ac:dyDescent="0.25">
      <c r="A24" s="75" t="s">
        <v>59</v>
      </c>
      <c r="B24" s="26">
        <v>1</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49</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329275.06935299019</v>
      </c>
      <c r="C33" s="63" t="str">
        <f>B$30</f>
        <v>ftUS</v>
      </c>
      <c r="E33" s="7" t="s">
        <v>1</v>
      </c>
      <c r="F33" s="7"/>
    </row>
    <row r="34" spans="1:8" x14ac:dyDescent="0.25">
      <c r="A34" s="11" t="s">
        <v>34</v>
      </c>
      <c r="B34" s="73">
        <f>SQRT((E17-E15)^2+(D17-D15)^2)</f>
        <v>329255.21628703072</v>
      </c>
      <c r="C34" s="63" t="str">
        <f t="shared" ref="C34:C36" si="0">B$30</f>
        <v>ftUS</v>
      </c>
    </row>
    <row r="35" spans="1:8" x14ac:dyDescent="0.25">
      <c r="A35" s="13" t="s">
        <v>142</v>
      </c>
      <c r="B35" s="66">
        <f>B23 * AVERAGE(B33,B34) / (B16-B14)</f>
        <v>3292.6514282001044</v>
      </c>
      <c r="C35" s="63" t="str">
        <f t="shared" si="0"/>
        <v>ftUS</v>
      </c>
      <c r="E35" s="20" t="s">
        <v>141</v>
      </c>
      <c r="F35" s="20"/>
    </row>
    <row r="36" spans="1:8" x14ac:dyDescent="0.25">
      <c r="A36" s="13"/>
      <c r="B36" s="5" t="str">
        <f>TEXT(B35,"0.000000")</f>
        <v>3292.651428</v>
      </c>
      <c r="C36" s="63" t="str">
        <f t="shared" si="0"/>
        <v>ftUS</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329503.26976097794</v>
      </c>
      <c r="C39" s="63" t="str">
        <f>B$30</f>
        <v>ftUS</v>
      </c>
    </row>
    <row r="40" spans="1:8" x14ac:dyDescent="0.25">
      <c r="A40" s="11" t="s">
        <v>33</v>
      </c>
      <c r="B40" s="73">
        <f>SQRT((E17-E16)^2+(D17-D16)^2)</f>
        <v>329021.92754318664</v>
      </c>
      <c r="C40" s="63" t="str">
        <f t="shared" ref="C40:C42" si="1">B$30</f>
        <v>ftUS</v>
      </c>
    </row>
    <row r="41" spans="1:8" x14ac:dyDescent="0.25">
      <c r="A41" s="13" t="s">
        <v>143</v>
      </c>
      <c r="B41" s="66">
        <f>B24 * AVERAGE(B39,B40) / (C15-C14)</f>
        <v>329.26259865208226</v>
      </c>
      <c r="C41" s="63" t="str">
        <f t="shared" si="1"/>
        <v>ftUS</v>
      </c>
      <c r="E41" s="20" t="s">
        <v>140</v>
      </c>
      <c r="F41" s="20"/>
    </row>
    <row r="42" spans="1:8" x14ac:dyDescent="0.25">
      <c r="A42" s="13"/>
      <c r="B42" s="5" t="str">
        <f>TEXT(B41,"0.000000")</f>
        <v>329.262599</v>
      </c>
      <c r="C42" s="63" t="str">
        <f t="shared" si="1"/>
        <v>ftUS</v>
      </c>
      <c r="E42" t="s">
        <v>87</v>
      </c>
    </row>
    <row r="44" spans="1:8" x14ac:dyDescent="0.25">
      <c r="A44" s="2" t="s">
        <v>88</v>
      </c>
      <c r="B44" s="2"/>
      <c r="C44" s="2"/>
      <c r="D44" s="2"/>
      <c r="E44" s="2"/>
      <c r="F44" s="2"/>
      <c r="G44" s="2"/>
      <c r="H44" s="2"/>
    </row>
    <row r="45" spans="1:8" x14ac:dyDescent="0.25">
      <c r="A45" s="11" t="s">
        <v>84</v>
      </c>
      <c r="B45">
        <f>DEGREES(ATAN2(E15-E14,D15-D14))</f>
        <v>2.7864697537270877</v>
      </c>
      <c r="C45" s="70" t="s">
        <v>0</v>
      </c>
      <c r="E45" t="s">
        <v>126</v>
      </c>
    </row>
    <row r="46" spans="1:8" x14ac:dyDescent="0.25">
      <c r="A46" s="11" t="s">
        <v>85</v>
      </c>
      <c r="B46">
        <f>DEGREES(ATAN2(E17-E16,D17-D16))</f>
        <v>2.7830176979273613</v>
      </c>
      <c r="C46" s="70" t="s">
        <v>0</v>
      </c>
      <c r="E46" t="s">
        <v>31</v>
      </c>
    </row>
    <row r="47" spans="1:8" x14ac:dyDescent="0.25">
      <c r="A47" t="s">
        <v>104</v>
      </c>
      <c r="B47">
        <f>DEGREES(ATAN2(COS(RADIANS(B45))+COS(RADIANS(B46)), SIN(RADIANS(B45))+SIN(RADIANS(B46))))</f>
        <v>2.7847437258272247</v>
      </c>
      <c r="C47" s="70" t="s">
        <v>0</v>
      </c>
      <c r="E47" t="s">
        <v>101</v>
      </c>
    </row>
    <row r="48" spans="1:8" x14ac:dyDescent="0.25">
      <c r="A48" s="13" t="s">
        <v>72</v>
      </c>
      <c r="B48">
        <f>IF(B47&lt;0,B47+360,B47)</f>
        <v>2.7847437258272247</v>
      </c>
      <c r="C48" s="70" t="s">
        <v>0</v>
      </c>
      <c r="E48" s="20" t="s">
        <v>102</v>
      </c>
      <c r="F48" s="20"/>
    </row>
    <row r="49" spans="1:8" x14ac:dyDescent="0.25">
      <c r="B49" s="5" t="str">
        <f>TEXT(B47,"0.00000")</f>
        <v>2.78474</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51</v>
      </c>
      <c r="C57" s="70" t="s">
        <v>120</v>
      </c>
      <c r="E57" s="20" t="s">
        <v>198</v>
      </c>
    </row>
    <row r="58" spans="1:8" x14ac:dyDescent="0.25">
      <c r="A58" s="20" t="s">
        <v>93</v>
      </c>
      <c r="B58">
        <f>AVERAGE(C14:C17)</f>
        <v>1500</v>
      </c>
      <c r="C58" s="70" t="s">
        <v>121</v>
      </c>
      <c r="E58" s="20" t="s">
        <v>198</v>
      </c>
    </row>
    <row r="59" spans="1:8" x14ac:dyDescent="0.25">
      <c r="A59" s="20" t="s">
        <v>94</v>
      </c>
      <c r="B59" s="61">
        <f>AVERAGE(D14:D17)</f>
        <v>-140170.07499999995</v>
      </c>
      <c r="C59" s="70" t="s">
        <v>19</v>
      </c>
      <c r="E59" s="20" t="s">
        <v>198</v>
      </c>
    </row>
    <row r="60" spans="1:8" x14ac:dyDescent="0.25">
      <c r="A60" s="20" t="s">
        <v>95</v>
      </c>
      <c r="B60" s="61">
        <f>AVERAGE(E14:E17)</f>
        <v>10045139.907499999</v>
      </c>
      <c r="C60" s="70" t="s">
        <v>20</v>
      </c>
      <c r="E60" s="20" t="s">
        <v>198</v>
      </c>
    </row>
    <row r="61" spans="1:8" x14ac:dyDescent="0.25">
      <c r="A61" s="20" t="s">
        <v>96</v>
      </c>
      <c r="B61" s="34">
        <f>B35</f>
        <v>3292.6514282001044</v>
      </c>
      <c r="C61" s="70" t="s">
        <v>142</v>
      </c>
    </row>
    <row r="62" spans="1:8" x14ac:dyDescent="0.25">
      <c r="A62" s="20" t="s">
        <v>97</v>
      </c>
      <c r="B62" s="34">
        <f>B41</f>
        <v>329.26259865208226</v>
      </c>
      <c r="C62" s="70" t="s">
        <v>143</v>
      </c>
    </row>
    <row r="63" spans="1:8" x14ac:dyDescent="0.25">
      <c r="A63" s="20" t="s">
        <v>98</v>
      </c>
      <c r="B63">
        <f>B48</f>
        <v>2.7847437258272247</v>
      </c>
      <c r="C63" s="63" t="s">
        <v>124</v>
      </c>
    </row>
    <row r="64" spans="1:8" x14ac:dyDescent="0.25">
      <c r="A64" s="20" t="s">
        <v>99</v>
      </c>
      <c r="B64" s="71">
        <v>1</v>
      </c>
      <c r="C64" s="70" t="s">
        <v>125</v>
      </c>
    </row>
    <row r="65" spans="1:15" x14ac:dyDescent="0.25">
      <c r="A65" s="20" t="s">
        <v>58</v>
      </c>
      <c r="B65">
        <f>B23</f>
        <v>1</v>
      </c>
      <c r="C65" s="70" t="s">
        <v>56</v>
      </c>
    </row>
    <row r="66" spans="1:15" x14ac:dyDescent="0.25">
      <c r="A66" s="20" t="s">
        <v>59</v>
      </c>
      <c r="B66">
        <f>B24</f>
        <v>1</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v>
      </c>
      <c r="C72" s="41">
        <f t="shared" si="2"/>
        <v>1000</v>
      </c>
      <c r="D72" s="41">
        <f t="shared" si="2"/>
        <v>-312617.65999999997</v>
      </c>
      <c r="E72" s="41">
        <f t="shared" si="2"/>
        <v>9888576.3900000006</v>
      </c>
      <c r="F72" s="41"/>
      <c r="G72" s="61">
        <f>B$57 + C$56* (((D72-B$59)*COS(RADIANS(B$63)) - (E72-B$60)*SIN(RADIANS(B$63))) * (B$65/(B$64*B$61)) )</f>
        <v>0.99850604832008116</v>
      </c>
      <c r="H72" s="61">
        <f>B$58 + (((D72-B$59)*SIN(RADIANS(B$63)) + (E72-B$60)*COS(RADIANS(B$63))) * (B$66/(B$64*B$62)) )</f>
        <v>999.61886008886313</v>
      </c>
      <c r="I72" s="61">
        <f>B$59 + C$56* ((B72-B$57)*COS(RADIANS(B$63))*B$64*B$61/B$65) + ((C72-B$58)*SIN(RADIANS(B$63))*B$64*B$62/B$66)</f>
        <v>-312606.64971532358</v>
      </c>
      <c r="J72" s="61">
        <f>B$60 - C$56* ((B72-B$57)*SIN(RADIANS(B$63))*B$64*B$61/B$65) + ((C72-B$58)*COS(RADIANS(B$63))*B$64*B$62/B$66)</f>
        <v>9888701.4979347736</v>
      </c>
      <c r="L72" s="45">
        <f t="shared" ref="L72:O75" si="3">B72-G72</f>
        <v>1.4939516799188368E-3</v>
      </c>
      <c r="M72" s="45">
        <f t="shared" si="3"/>
        <v>0.38113991113687007</v>
      </c>
      <c r="N72" s="44">
        <f t="shared" si="3"/>
        <v>-11.010284676391166</v>
      </c>
      <c r="O72" s="44">
        <f t="shared" si="3"/>
        <v>-125.10793477296829</v>
      </c>
    </row>
    <row r="73" spans="1:15" x14ac:dyDescent="0.25">
      <c r="A73" s="41" t="str">
        <f t="shared" ref="A73:E75" si="4">A15</f>
        <v>B</v>
      </c>
      <c r="B73" s="41">
        <f t="shared" si="4"/>
        <v>1</v>
      </c>
      <c r="C73" s="41">
        <f t="shared" si="4"/>
        <v>2000</v>
      </c>
      <c r="D73" s="41">
        <f t="shared" si="4"/>
        <v>-296599.21999999997</v>
      </c>
      <c r="E73" s="41">
        <f t="shared" si="4"/>
        <v>10217690.07</v>
      </c>
      <c r="F73" s="46" t="s">
        <v>151</v>
      </c>
      <c r="G73" s="61">
        <f>B$57 + C$56* (((D73-B$59)*COS(RADIANS(B$63)) - (E73-B$60)*SIN(RADIANS(B$63))) * (B$65/(B$64*B$61)) )</f>
        <v>1.0015207139554647</v>
      </c>
      <c r="H73" s="61">
        <f>B$58 + (((D73-B$59)*SIN(RADIANS(B$63)) + (E73-B$60)*COS(RADIANS(B$63))) * (B$66/(B$64*B$62)) )</f>
        <v>2000.3497993463664</v>
      </c>
      <c r="I73" s="61">
        <f>B$59 + C$56* ((B73-B$57)*COS(RADIANS(B$63))*B$64*B$61/B$65) + ((C73-B$58)*SIN(RADIANS(B$63))*B$64*B$62/B$66)</f>
        <v>-296609.81694968906</v>
      </c>
      <c r="J73" s="61">
        <f>B$60 - C$56* ((B73-B$57)*SIN(RADIANS(B$63))*B$64*B$61/B$65) + ((C73-B$58)*COS(RADIANS(B$63))*B$64*B$62/B$66)</f>
        <v>10217575.273436241</v>
      </c>
      <c r="L73" s="45">
        <f t="shared" si="3"/>
        <v>-1.5207139554647142E-3</v>
      </c>
      <c r="M73" s="45">
        <f t="shared" si="3"/>
        <v>-0.34979934636635335</v>
      </c>
      <c r="N73" s="44">
        <f t="shared" si="3"/>
        <v>10.596949689090252</v>
      </c>
      <c r="O73" s="44">
        <f t="shared" si="3"/>
        <v>114.79656375944614</v>
      </c>
    </row>
    <row r="74" spans="1:15" x14ac:dyDescent="0.25">
      <c r="A74" s="41" t="str">
        <f t="shared" si="4"/>
        <v>C</v>
      </c>
      <c r="B74" s="41">
        <f t="shared" si="4"/>
        <v>101</v>
      </c>
      <c r="C74" s="41">
        <f t="shared" si="4"/>
        <v>1000</v>
      </c>
      <c r="D74" s="41">
        <f t="shared" si="4"/>
        <v>16280.67</v>
      </c>
      <c r="E74" s="41">
        <f t="shared" si="4"/>
        <v>9872829.6500000004</v>
      </c>
      <c r="F74" s="41"/>
      <c r="G74" s="61">
        <f>B$57 + C$56* (((D74-B$59)*COS(RADIANS(B$63)) - (E74-B$60)*SIN(RADIANS(B$63))) * (B$65/(B$64*B$61)) )</f>
        <v>101.00149174975051</v>
      </c>
      <c r="H74" s="61">
        <f>B$58 + (((D74-B$59)*SIN(RADIANS(B$63)) + (E74-B$60)*COS(RADIANS(B$63))) * (B$66/(B$64*B$62)) )</f>
        <v>1000.381140364899</v>
      </c>
      <c r="I74" s="61">
        <f>B$59 + C$56* ((B74-B$57)*COS(RADIANS(B$63))*B$64*B$61/B$65) + ((C74-B$58)*SIN(RADIANS(B$63))*B$64*B$62/B$66)</f>
        <v>16269.666949689177</v>
      </c>
      <c r="J74" s="61">
        <f>B$60 - C$56* ((B74-B$57)*SIN(RADIANS(B$63))*B$64*B$61/B$65) + ((C74-B$58)*COS(RADIANS(B$63))*B$64*B$62/B$66)</f>
        <v>9872704.5415637568</v>
      </c>
      <c r="L74" s="45">
        <f t="shared" si="3"/>
        <v>-1.4917497505138044E-3</v>
      </c>
      <c r="M74" s="45">
        <f t="shared" si="3"/>
        <v>-0.38114036489901082</v>
      </c>
      <c r="N74" s="44">
        <f t="shared" si="3"/>
        <v>11.0030503108228</v>
      </c>
      <c r="O74" s="44">
        <f t="shared" si="3"/>
        <v>125.10843624360859</v>
      </c>
    </row>
    <row r="75" spans="1:15" x14ac:dyDescent="0.25">
      <c r="A75" s="41" t="str">
        <f t="shared" si="4"/>
        <v>D</v>
      </c>
      <c r="B75" s="41">
        <f t="shared" si="4"/>
        <v>101</v>
      </c>
      <c r="C75" s="41">
        <f t="shared" si="4"/>
        <v>2000</v>
      </c>
      <c r="D75" s="41">
        <f t="shared" si="4"/>
        <v>32255.91</v>
      </c>
      <c r="E75" s="41">
        <f t="shared" si="4"/>
        <v>10201463.52</v>
      </c>
      <c r="F75" s="41"/>
      <c r="G75" s="61">
        <f>B$57 + C$56* (((D75-B$59)*COS(RADIANS(B$63)) - (E75-B$60)*SIN(RADIANS(B$63))) * (B$65/(B$64*B$61)) )</f>
        <v>100.99848148797383</v>
      </c>
      <c r="H75" s="61">
        <f>B$58 + (((D75-B$59)*SIN(RADIANS(B$63)) + (E75-B$60)*COS(RADIANS(B$63))) * (B$66/(B$64*B$62)) )</f>
        <v>1999.6502001998883</v>
      </c>
      <c r="I75" s="61">
        <f>B$59 + C$56* ((B75-B$57)*COS(RADIANS(B$63))*B$64*B$61/B$65) + ((C75-B$58)*SIN(RADIANS(B$63))*B$64*B$62/B$66)</f>
        <v>32266.499715323655</v>
      </c>
      <c r="J75" s="61">
        <f>B$60 - C$56* ((B75-B$57)*SIN(RADIANS(B$63))*B$64*B$61/B$65) + ((C75-B$58)*COS(RADIANS(B$63))*B$64*B$62/B$66)</f>
        <v>10201578.317065224</v>
      </c>
      <c r="L75" s="45">
        <f t="shared" si="3"/>
        <v>1.5185120261662632E-3</v>
      </c>
      <c r="M75" s="45">
        <f t="shared" si="3"/>
        <v>0.34979980011166845</v>
      </c>
      <c r="N75" s="44">
        <f t="shared" si="3"/>
        <v>-10.589715323654673</v>
      </c>
      <c r="O75" s="44">
        <f t="shared" si="3"/>
        <v>-114.79706522449851</v>
      </c>
    </row>
    <row r="76" spans="1:15" x14ac:dyDescent="0.25">
      <c r="K76" s="74" t="s">
        <v>137</v>
      </c>
      <c r="L76" s="81">
        <f>MAX(MAX(L72:L75),-MIN(L72:L75))</f>
        <v>1.5207139554647142E-3</v>
      </c>
      <c r="M76" s="81">
        <f>MAX(MAX(M72:M75),-MIN(M72:M75))</f>
        <v>0.38114036489901082</v>
      </c>
      <c r="N76" s="7" t="s">
        <v>150</v>
      </c>
    </row>
    <row r="78" spans="1:15" x14ac:dyDescent="0.25">
      <c r="A78" t="s">
        <v>153</v>
      </c>
      <c r="B78" t="str">
        <f>IF(AND(MAX(MAX(N72:N75),-MIN(N72:N75))&lt;1.5, MAX(MAX(O72:O75),-MIN(O72:O75))&lt;1.5), "PASS", "FAIL")</f>
        <v>FAIL</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A1C2AE-67AA-43AA-8728-27A759C20FEF}">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181</v>
      </c>
      <c r="B1" t="s">
        <v>187</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51</v>
      </c>
      <c r="D10" s="10" t="s">
        <v>178</v>
      </c>
      <c r="E10" s="9" t="s">
        <v>52</v>
      </c>
      <c r="F10" s="9"/>
    </row>
    <row r="11" spans="1:13" x14ac:dyDescent="0.25">
      <c r="A11" s="1" t="s">
        <v>47</v>
      </c>
      <c r="B11" t="s">
        <v>177</v>
      </c>
      <c r="D11" s="10" t="s">
        <v>179</v>
      </c>
      <c r="E11" t="s">
        <v>180</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14100</v>
      </c>
      <c r="C14" s="24">
        <v>5161</v>
      </c>
      <c r="D14" s="35">
        <v>423082</v>
      </c>
      <c r="E14" s="36">
        <v>3227690</v>
      </c>
      <c r="F14" s="72"/>
      <c r="G14" s="20" t="s">
        <v>105</v>
      </c>
    </row>
    <row r="15" spans="1:13" x14ac:dyDescent="0.25">
      <c r="A15" s="62" t="s">
        <v>4</v>
      </c>
      <c r="B15" s="25">
        <v>14100</v>
      </c>
      <c r="C15" s="26">
        <v>9409</v>
      </c>
      <c r="D15" s="37">
        <v>491346</v>
      </c>
      <c r="E15" s="38">
        <v>3309044</v>
      </c>
      <c r="F15" s="72"/>
      <c r="G15" s="20" t="s">
        <v>108</v>
      </c>
    </row>
    <row r="16" spans="1:13" x14ac:dyDescent="0.25">
      <c r="A16" s="62" t="s">
        <v>5</v>
      </c>
      <c r="B16" s="25">
        <v>17700</v>
      </c>
      <c r="C16" s="26">
        <v>5161</v>
      </c>
      <c r="D16" s="37">
        <v>395504</v>
      </c>
      <c r="E16" s="38">
        <v>3250830</v>
      </c>
      <c r="F16" s="72"/>
      <c r="G16" s="20" t="s">
        <v>107</v>
      </c>
    </row>
    <row r="17" spans="1:13" ht="15.75" thickBot="1" x14ac:dyDescent="0.3">
      <c r="A17" s="62" t="s">
        <v>6</v>
      </c>
      <c r="B17" s="27">
        <v>17700</v>
      </c>
      <c r="C17" s="28">
        <v>9409</v>
      </c>
      <c r="D17" s="39">
        <v>463768</v>
      </c>
      <c r="E17" s="40">
        <v>3332184</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3</v>
      </c>
      <c r="C23" s="7"/>
      <c r="E23" t="s">
        <v>163</v>
      </c>
      <c r="F23" s="20"/>
    </row>
    <row r="24" spans="1:13" x14ac:dyDescent="0.25">
      <c r="A24" s="75" t="s">
        <v>59</v>
      </c>
      <c r="B24" s="26">
        <v>2</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36000.078944357883</v>
      </c>
      <c r="C33" s="63" t="str">
        <f>B$30</f>
        <v>m</v>
      </c>
      <c r="E33" s="7" t="s">
        <v>1</v>
      </c>
      <c r="F33" s="7"/>
    </row>
    <row r="34" spans="1:8" x14ac:dyDescent="0.25">
      <c r="A34" s="11" t="s">
        <v>34</v>
      </c>
      <c r="B34" s="73">
        <f>SQRT((E17-E15)^2+(D17-D15)^2)</f>
        <v>36000.078944357883</v>
      </c>
      <c r="C34" s="63" t="str">
        <f t="shared" ref="C34:C36" si="0">B$30</f>
        <v>m</v>
      </c>
    </row>
    <row r="35" spans="1:8" x14ac:dyDescent="0.25">
      <c r="A35" s="13" t="s">
        <v>142</v>
      </c>
      <c r="B35" s="66">
        <f>B23 * AVERAGE(B33,B34) / (B16-B14)</f>
        <v>30.000065786964903</v>
      </c>
      <c r="C35" s="63" t="str">
        <f t="shared" si="0"/>
        <v>m</v>
      </c>
      <c r="E35" s="20" t="s">
        <v>141</v>
      </c>
      <c r="F35" s="20"/>
    </row>
    <row r="36" spans="1:8" x14ac:dyDescent="0.25">
      <c r="A36" s="13"/>
      <c r="B36" s="5" t="str">
        <f>TEXT(B35,"0.000000")</f>
        <v>30.000066</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106200.03301317754</v>
      </c>
      <c r="C39" s="63" t="str">
        <f>B$30</f>
        <v>m</v>
      </c>
    </row>
    <row r="40" spans="1:8" x14ac:dyDescent="0.25">
      <c r="A40" s="11" t="s">
        <v>33</v>
      </c>
      <c r="B40" s="73">
        <f>SQRT((E17-E16)^2+(D17-D16)^2)</f>
        <v>106200.03301317754</v>
      </c>
      <c r="C40" s="63" t="str">
        <f t="shared" ref="C40:C42" si="1">B$30</f>
        <v>m</v>
      </c>
    </row>
    <row r="41" spans="1:8" x14ac:dyDescent="0.25">
      <c r="A41" s="13" t="s">
        <v>143</v>
      </c>
      <c r="B41" s="66">
        <f>B24 * AVERAGE(B39,B40) / (C15-C14)</f>
        <v>50.000015542927279</v>
      </c>
      <c r="C41" s="63" t="str">
        <f t="shared" si="1"/>
        <v>m</v>
      </c>
      <c r="E41" s="20" t="s">
        <v>140</v>
      </c>
      <c r="F41" s="20"/>
    </row>
    <row r="42" spans="1:8" x14ac:dyDescent="0.25">
      <c r="A42" s="13"/>
      <c r="B42" s="5" t="str">
        <f>TEXT(B41,"0.000000")</f>
        <v>50.000016</v>
      </c>
      <c r="C42" s="63" t="str">
        <f t="shared" si="1"/>
        <v>m</v>
      </c>
      <c r="E42" t="s">
        <v>87</v>
      </c>
    </row>
    <row r="44" spans="1:8" x14ac:dyDescent="0.25">
      <c r="A44" s="2" t="s">
        <v>88</v>
      </c>
      <c r="B44" s="2"/>
      <c r="C44" s="2"/>
      <c r="D44" s="2"/>
      <c r="E44" s="2"/>
      <c r="F44" s="2"/>
      <c r="G44" s="2"/>
      <c r="H44" s="2"/>
    </row>
    <row r="45" spans="1:8" x14ac:dyDescent="0.25">
      <c r="A45" s="11" t="s">
        <v>84</v>
      </c>
      <c r="B45">
        <f>DEGREES(ATAN2(E15-E14,D15-D14))</f>
        <v>39.999953961957296</v>
      </c>
      <c r="C45" s="70" t="s">
        <v>0</v>
      </c>
      <c r="E45" t="s">
        <v>126</v>
      </c>
    </row>
    <row r="46" spans="1:8" x14ac:dyDescent="0.25">
      <c r="A46" s="11" t="s">
        <v>85</v>
      </c>
      <c r="B46">
        <f>DEGREES(ATAN2(E17-E16,D17-D16))</f>
        <v>39.999953961957296</v>
      </c>
      <c r="C46" s="70" t="s">
        <v>0</v>
      </c>
      <c r="E46" t="s">
        <v>31</v>
      </c>
    </row>
    <row r="47" spans="1:8" x14ac:dyDescent="0.25">
      <c r="A47" t="s">
        <v>104</v>
      </c>
      <c r="B47">
        <f>DEGREES(ATAN2(COS(RADIANS(B45))+COS(RADIANS(B46)), SIN(RADIANS(B45))+SIN(RADIANS(B46))))</f>
        <v>39.999953961957296</v>
      </c>
      <c r="C47" s="70" t="s">
        <v>0</v>
      </c>
      <c r="E47" t="s">
        <v>101</v>
      </c>
    </row>
    <row r="48" spans="1:8" x14ac:dyDescent="0.25">
      <c r="A48" s="13" t="s">
        <v>72</v>
      </c>
      <c r="B48">
        <f>IF(B47&lt;0,B47+360,B47)</f>
        <v>39.999953961957296</v>
      </c>
      <c r="C48" s="70" t="s">
        <v>0</v>
      </c>
      <c r="E48" s="20" t="s">
        <v>102</v>
      </c>
      <c r="F48" s="20"/>
    </row>
    <row r="49" spans="1:8" x14ac:dyDescent="0.25">
      <c r="B49" s="5" t="str">
        <f>TEXT(B47,"0.00000")</f>
        <v>39.99995</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LEFT-HANDED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1049</v>
      </c>
      <c r="C56">
        <f>IF(B56=9666, 1, -1)</f>
        <v>-1</v>
      </c>
      <c r="E56" s="20" t="s">
        <v>135</v>
      </c>
    </row>
    <row r="57" spans="1:8" x14ac:dyDescent="0.25">
      <c r="A57" s="20" t="s">
        <v>92</v>
      </c>
      <c r="B57">
        <f>AVERAGE(B14:B17)</f>
        <v>15900</v>
      </c>
      <c r="C57" s="70" t="s">
        <v>120</v>
      </c>
      <c r="E57" s="20" t="s">
        <v>198</v>
      </c>
    </row>
    <row r="58" spans="1:8" x14ac:dyDescent="0.25">
      <c r="A58" s="20" t="s">
        <v>93</v>
      </c>
      <c r="B58">
        <f>AVERAGE(C14:C17)</f>
        <v>7285</v>
      </c>
      <c r="C58" s="70" t="s">
        <v>121</v>
      </c>
      <c r="E58" s="20" t="s">
        <v>198</v>
      </c>
    </row>
    <row r="59" spans="1:8" x14ac:dyDescent="0.25">
      <c r="A59" s="20" t="s">
        <v>94</v>
      </c>
      <c r="B59" s="61">
        <f>AVERAGE(D14:D17)</f>
        <v>443425</v>
      </c>
      <c r="C59" s="70" t="s">
        <v>19</v>
      </c>
      <c r="E59" s="20" t="s">
        <v>198</v>
      </c>
    </row>
    <row r="60" spans="1:8" x14ac:dyDescent="0.25">
      <c r="A60" s="20" t="s">
        <v>95</v>
      </c>
      <c r="B60" s="61">
        <f>AVERAGE(E14:E17)</f>
        <v>3279937</v>
      </c>
      <c r="C60" s="70" t="s">
        <v>20</v>
      </c>
      <c r="E60" s="20" t="s">
        <v>198</v>
      </c>
    </row>
    <row r="61" spans="1:8" x14ac:dyDescent="0.25">
      <c r="A61" s="20" t="s">
        <v>96</v>
      </c>
      <c r="B61" s="34">
        <f>B35</f>
        <v>30.000065786964903</v>
      </c>
      <c r="C61" s="70" t="s">
        <v>142</v>
      </c>
    </row>
    <row r="62" spans="1:8" x14ac:dyDescent="0.25">
      <c r="A62" s="20" t="s">
        <v>97</v>
      </c>
      <c r="B62" s="34">
        <f>B41</f>
        <v>50.000015542927279</v>
      </c>
      <c r="C62" s="70" t="s">
        <v>143</v>
      </c>
    </row>
    <row r="63" spans="1:8" x14ac:dyDescent="0.25">
      <c r="A63" s="20" t="s">
        <v>98</v>
      </c>
      <c r="B63">
        <f>B48</f>
        <v>39.999953961957296</v>
      </c>
      <c r="C63" s="63" t="s">
        <v>124</v>
      </c>
    </row>
    <row r="64" spans="1:8" x14ac:dyDescent="0.25">
      <c r="A64" s="20" t="s">
        <v>99</v>
      </c>
      <c r="B64" s="71">
        <v>1</v>
      </c>
      <c r="C64" s="70" t="s">
        <v>125</v>
      </c>
    </row>
    <row r="65" spans="1:15" x14ac:dyDescent="0.25">
      <c r="A65" s="20" t="s">
        <v>58</v>
      </c>
      <c r="B65">
        <f>B23</f>
        <v>3</v>
      </c>
      <c r="C65" s="70" t="s">
        <v>56</v>
      </c>
    </row>
    <row r="66" spans="1:15" x14ac:dyDescent="0.25">
      <c r="A66" s="20" t="s">
        <v>59</v>
      </c>
      <c r="B66">
        <f>B24</f>
        <v>2</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14100</v>
      </c>
      <c r="C72" s="41">
        <f t="shared" si="2"/>
        <v>5161</v>
      </c>
      <c r="D72" s="41">
        <f t="shared" si="2"/>
        <v>423082</v>
      </c>
      <c r="E72" s="41">
        <f t="shared" si="2"/>
        <v>3227690</v>
      </c>
      <c r="F72" s="41"/>
      <c r="G72" s="61">
        <f>B$57 + C$56* (((D72-B$59)*COS(RADIANS(B$63)) - (E72-B$60)*SIN(RADIANS(B$63))) * (B$65/(B$64*B$61)) )</f>
        <v>14100.000000173166</v>
      </c>
      <c r="H72" s="61">
        <f>B$58 + (((D72-B$59)*SIN(RADIANS(B$63)) + (E72-B$60)*COS(RADIANS(B$63))) * (B$66/(B$64*B$62)) )</f>
        <v>5161.0099871877646</v>
      </c>
      <c r="I72" s="61">
        <f>B$59 + C$56* ((B72-B$57)*COS(RADIANS(B$63))*B$64*B$61/B$65) + ((C72-B$58)*SIN(RADIANS(B$63))*B$64*B$62/B$66)</f>
        <v>423081.83951041655</v>
      </c>
      <c r="J72" s="61">
        <f>B$60 - C$56* ((B72-B$57)*SIN(RADIANS(B$63))*B$64*B$61/B$65) + ((C72-B$58)*COS(RADIANS(B$63))*B$64*B$62/B$66)</f>
        <v>3227689.8087329562</v>
      </c>
      <c r="L72" s="45">
        <f t="shared" ref="L72:O75" si="3">B72-G72</f>
        <v>-1.7316597222816199E-7</v>
      </c>
      <c r="M72" s="45">
        <f t="shared" si="3"/>
        <v>-9.9871877646364737E-3</v>
      </c>
      <c r="N72" s="44">
        <f t="shared" si="3"/>
        <v>0.16048958344617859</v>
      </c>
      <c r="O72" s="44">
        <f t="shared" si="3"/>
        <v>0.19126704381778836</v>
      </c>
    </row>
    <row r="73" spans="1:15" x14ac:dyDescent="0.25">
      <c r="A73" s="41" t="str">
        <f t="shared" ref="A73:E75" si="4">A15</f>
        <v>B</v>
      </c>
      <c r="B73" s="41">
        <f t="shared" si="4"/>
        <v>14100</v>
      </c>
      <c r="C73" s="41">
        <f t="shared" si="4"/>
        <v>9409</v>
      </c>
      <c r="D73" s="41">
        <f t="shared" si="4"/>
        <v>491346</v>
      </c>
      <c r="E73" s="41">
        <f t="shared" si="4"/>
        <v>3309044</v>
      </c>
      <c r="F73" s="46" t="s">
        <v>151</v>
      </c>
      <c r="G73" s="61">
        <f>B$57 + C$56* (((D73-B$59)*COS(RADIANS(B$63)) - (E73-B$60)*SIN(RADIANS(B$63))) * (B$65/(B$64*B$61)) )</f>
        <v>14100.000000173166</v>
      </c>
      <c r="H73" s="61">
        <f>B$58 + (((D73-B$59)*SIN(RADIANS(B$63)) + (E73-B$60)*COS(RADIANS(B$63))) * (B$66/(B$64*B$62)) )</f>
        <v>9409.0099871877646</v>
      </c>
      <c r="I73" s="61">
        <f>B$59 + C$56* ((B73-B$57)*COS(RADIANS(B$63))*B$64*B$61/B$65) + ((C73-B$58)*SIN(RADIANS(B$63))*B$64*B$62/B$66)</f>
        <v>491345.83951041655</v>
      </c>
      <c r="J73" s="61">
        <f>B$60 - C$56* ((B73-B$57)*SIN(RADIANS(B$63))*B$64*B$61/B$65) + ((C73-B$58)*COS(RADIANS(B$63))*B$64*B$62/B$66)</f>
        <v>3309043.8087329562</v>
      </c>
      <c r="L73" s="45">
        <f t="shared" si="3"/>
        <v>-1.7316597222816199E-7</v>
      </c>
      <c r="M73" s="45">
        <f t="shared" si="3"/>
        <v>-9.9871877646364737E-3</v>
      </c>
      <c r="N73" s="44">
        <f t="shared" si="3"/>
        <v>0.16048958344617859</v>
      </c>
      <c r="O73" s="44">
        <f t="shared" si="3"/>
        <v>0.19126704381778836</v>
      </c>
    </row>
    <row r="74" spans="1:15" x14ac:dyDescent="0.25">
      <c r="A74" s="41" t="str">
        <f t="shared" si="4"/>
        <v>C</v>
      </c>
      <c r="B74" s="41">
        <f t="shared" si="4"/>
        <v>17700</v>
      </c>
      <c r="C74" s="41">
        <f t="shared" si="4"/>
        <v>5161</v>
      </c>
      <c r="D74" s="41">
        <f t="shared" si="4"/>
        <v>395504</v>
      </c>
      <c r="E74" s="41">
        <f t="shared" si="4"/>
        <v>3250830</v>
      </c>
      <c r="F74" s="41"/>
      <c r="G74" s="61">
        <f>B$57 + C$56* (((D74-B$59)*COS(RADIANS(B$63)) - (E74-B$60)*SIN(RADIANS(B$63))) * (B$65/(B$64*B$61)) )</f>
        <v>17699.999999826832</v>
      </c>
      <c r="H74" s="61">
        <f>B$58 + (((D74-B$59)*SIN(RADIANS(B$63)) + (E74-B$60)*COS(RADIANS(B$63))) * (B$66/(B$64*B$62)) )</f>
        <v>5160.9900128122354</v>
      </c>
      <c r="I74" s="61">
        <f>B$59 + C$56* ((B74-B$57)*COS(RADIANS(B$63))*B$64*B$61/B$65) + ((C74-B$58)*SIN(RADIANS(B$63))*B$64*B$62/B$66)</f>
        <v>395504.16048958345</v>
      </c>
      <c r="J74" s="61">
        <f>B$60 - C$56* ((B74-B$57)*SIN(RADIANS(B$63))*B$64*B$61/B$65) + ((C74-B$58)*COS(RADIANS(B$63))*B$64*B$62/B$66)</f>
        <v>3250830.1912670438</v>
      </c>
      <c r="L74" s="45">
        <f t="shared" si="3"/>
        <v>1.7316779121756554E-7</v>
      </c>
      <c r="M74" s="45">
        <f t="shared" si="3"/>
        <v>9.9871877646364737E-3</v>
      </c>
      <c r="N74" s="44">
        <f t="shared" si="3"/>
        <v>-0.16048958344617859</v>
      </c>
      <c r="O74" s="44">
        <f t="shared" si="3"/>
        <v>-0.19126704381778836</v>
      </c>
    </row>
    <row r="75" spans="1:15" x14ac:dyDescent="0.25">
      <c r="A75" s="41" t="str">
        <f t="shared" si="4"/>
        <v>D</v>
      </c>
      <c r="B75" s="41">
        <f t="shared" si="4"/>
        <v>17700</v>
      </c>
      <c r="C75" s="41">
        <f t="shared" si="4"/>
        <v>9409</v>
      </c>
      <c r="D75" s="41">
        <f t="shared" si="4"/>
        <v>463768</v>
      </c>
      <c r="E75" s="41">
        <f t="shared" si="4"/>
        <v>3332184</v>
      </c>
      <c r="F75" s="41"/>
      <c r="G75" s="61">
        <f>B$57 + C$56* (((D75-B$59)*COS(RADIANS(B$63)) - (E75-B$60)*SIN(RADIANS(B$63))) * (B$65/(B$64*B$61)) )</f>
        <v>17699.999999826836</v>
      </c>
      <c r="H75" s="61">
        <f>B$58 + (((D75-B$59)*SIN(RADIANS(B$63)) + (E75-B$60)*COS(RADIANS(B$63))) * (B$66/(B$64*B$62)) )</f>
        <v>9408.9900128122354</v>
      </c>
      <c r="I75" s="61">
        <f>B$59 + C$56* ((B75-B$57)*COS(RADIANS(B$63))*B$64*B$61/B$65) + ((C75-B$58)*SIN(RADIANS(B$63))*B$64*B$62/B$66)</f>
        <v>463768.16048958345</v>
      </c>
      <c r="J75" s="61">
        <f>B$60 - C$56* ((B75-B$57)*SIN(RADIANS(B$63))*B$64*B$61/B$65) + ((C75-B$58)*COS(RADIANS(B$63))*B$64*B$62/B$66)</f>
        <v>3332184.1912670438</v>
      </c>
      <c r="L75" s="45">
        <f t="shared" si="3"/>
        <v>1.7316415323875844E-7</v>
      </c>
      <c r="M75" s="45">
        <f t="shared" si="3"/>
        <v>9.9871877646364737E-3</v>
      </c>
      <c r="N75" s="44">
        <f t="shared" si="3"/>
        <v>-0.16048958344617859</v>
      </c>
      <c r="O75" s="44">
        <f t="shared" si="3"/>
        <v>-0.19126704381778836</v>
      </c>
    </row>
    <row r="76" spans="1:15" x14ac:dyDescent="0.25">
      <c r="K76" s="74" t="s">
        <v>137</v>
      </c>
      <c r="L76" s="81">
        <f>MAX(MAX(L72:L75),-MIN(L72:L75))</f>
        <v>1.7316779121756554E-7</v>
      </c>
      <c r="M76" s="81">
        <f>MAX(MAX(M72:M75),-MIN(M72:M75))</f>
        <v>9.9871877646364737E-3</v>
      </c>
      <c r="N76" s="7" t="s">
        <v>150</v>
      </c>
    </row>
    <row r="78" spans="1:15" x14ac:dyDescent="0.25">
      <c r="A78" t="s">
        <v>153</v>
      </c>
      <c r="B78" t="str">
        <f>IF(AND(MAX(MAX(N72:N75),-MIN(N72:N75))&lt;1.5, MAX(MAX(O72:O75),-MIN(O72:O75))&lt;1.5), "PASS", "FAIL")</f>
        <v>PASS</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1D29AF-EEA9-4A86-8814-C5B6B41E132B}">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195</v>
      </c>
      <c r="B1" t="s">
        <v>188</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51</v>
      </c>
      <c r="D10" s="10" t="s">
        <v>178</v>
      </c>
      <c r="E10" s="9" t="s">
        <v>52</v>
      </c>
      <c r="F10" s="9"/>
    </row>
    <row r="11" spans="1:13" x14ac:dyDescent="0.25">
      <c r="A11" s="1" t="s">
        <v>47</v>
      </c>
      <c r="B11" t="s">
        <v>177</v>
      </c>
      <c r="D11" s="10" t="s">
        <v>179</v>
      </c>
      <c r="E11" t="s">
        <v>180</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14100</v>
      </c>
      <c r="C14" s="24">
        <v>5161</v>
      </c>
      <c r="D14" s="35">
        <v>395504</v>
      </c>
      <c r="E14" s="36">
        <v>3250830</v>
      </c>
      <c r="F14" s="72"/>
      <c r="G14" s="20" t="s">
        <v>105</v>
      </c>
    </row>
    <row r="15" spans="1:13" x14ac:dyDescent="0.25">
      <c r="A15" s="62" t="s">
        <v>4</v>
      </c>
      <c r="B15" s="25">
        <v>14100</v>
      </c>
      <c r="C15" s="26">
        <v>9409</v>
      </c>
      <c r="D15" s="37">
        <v>463768</v>
      </c>
      <c r="E15" s="38">
        <v>3332184</v>
      </c>
      <c r="F15" s="72"/>
      <c r="G15" s="20" t="s">
        <v>108</v>
      </c>
    </row>
    <row r="16" spans="1:13" x14ac:dyDescent="0.25">
      <c r="A16" s="62" t="s">
        <v>5</v>
      </c>
      <c r="B16" s="25">
        <v>17700</v>
      </c>
      <c r="C16" s="26">
        <v>5161</v>
      </c>
      <c r="D16" s="37">
        <v>423082</v>
      </c>
      <c r="E16" s="38">
        <v>3227690</v>
      </c>
      <c r="F16" s="72"/>
      <c r="G16" s="20" t="s">
        <v>107</v>
      </c>
    </row>
    <row r="17" spans="1:13" ht="15.75" thickBot="1" x14ac:dyDescent="0.3">
      <c r="A17" s="62" t="s">
        <v>6</v>
      </c>
      <c r="B17" s="27">
        <v>17700</v>
      </c>
      <c r="C17" s="28">
        <v>9409</v>
      </c>
      <c r="D17" s="39">
        <v>491346</v>
      </c>
      <c r="E17" s="40">
        <v>3309044</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3</v>
      </c>
      <c r="C23" s="7"/>
      <c r="E23" t="s">
        <v>163</v>
      </c>
      <c r="F23" s="20"/>
    </row>
    <row r="24" spans="1:13" x14ac:dyDescent="0.25">
      <c r="A24" s="75" t="s">
        <v>59</v>
      </c>
      <c r="B24" s="26">
        <v>2</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36000.078944357883</v>
      </c>
      <c r="C33" s="63" t="str">
        <f>B$30</f>
        <v>m</v>
      </c>
      <c r="E33" s="7" t="s">
        <v>1</v>
      </c>
      <c r="F33" s="7"/>
    </row>
    <row r="34" spans="1:8" x14ac:dyDescent="0.25">
      <c r="A34" s="11" t="s">
        <v>34</v>
      </c>
      <c r="B34" s="73">
        <f>SQRT((E17-E15)^2+(D17-D15)^2)</f>
        <v>36000.078944357883</v>
      </c>
      <c r="C34" s="63" t="str">
        <f t="shared" ref="C34:C36" si="0">B$30</f>
        <v>m</v>
      </c>
    </row>
    <row r="35" spans="1:8" x14ac:dyDescent="0.25">
      <c r="A35" s="13" t="s">
        <v>142</v>
      </c>
      <c r="B35" s="66">
        <f>B23 * AVERAGE(B33,B34) / (B16-B14)</f>
        <v>30.000065786964903</v>
      </c>
      <c r="C35" s="63" t="str">
        <f t="shared" si="0"/>
        <v>m</v>
      </c>
      <c r="E35" s="20" t="s">
        <v>141</v>
      </c>
      <c r="F35" s="20"/>
    </row>
    <row r="36" spans="1:8" x14ac:dyDescent="0.25">
      <c r="A36" s="13"/>
      <c r="B36" s="5" t="str">
        <f>TEXT(B35,"0.000000")</f>
        <v>30.000066</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106200.03301317754</v>
      </c>
      <c r="C39" s="63" t="str">
        <f>B$30</f>
        <v>m</v>
      </c>
    </row>
    <row r="40" spans="1:8" x14ac:dyDescent="0.25">
      <c r="A40" s="11" t="s">
        <v>33</v>
      </c>
      <c r="B40" s="73">
        <f>SQRT((E17-E16)^2+(D17-D16)^2)</f>
        <v>106200.03301317754</v>
      </c>
      <c r="C40" s="63" t="str">
        <f t="shared" ref="C40:C42" si="1">B$30</f>
        <v>m</v>
      </c>
    </row>
    <row r="41" spans="1:8" x14ac:dyDescent="0.25">
      <c r="A41" s="13" t="s">
        <v>143</v>
      </c>
      <c r="B41" s="66">
        <f>B24 * AVERAGE(B39,B40) / (C15-C14)</f>
        <v>50.000015542927279</v>
      </c>
      <c r="C41" s="63" t="str">
        <f t="shared" si="1"/>
        <v>m</v>
      </c>
      <c r="E41" s="20" t="s">
        <v>140</v>
      </c>
      <c r="F41" s="20"/>
    </row>
    <row r="42" spans="1:8" x14ac:dyDescent="0.25">
      <c r="A42" s="13"/>
      <c r="B42" s="5" t="str">
        <f>TEXT(B41,"0.000000")</f>
        <v>50.000016</v>
      </c>
      <c r="C42" s="63" t="str">
        <f t="shared" si="1"/>
        <v>m</v>
      </c>
      <c r="E42" t="s">
        <v>87</v>
      </c>
    </row>
    <row r="44" spans="1:8" x14ac:dyDescent="0.25">
      <c r="A44" s="2" t="s">
        <v>88</v>
      </c>
      <c r="B44" s="2"/>
      <c r="C44" s="2"/>
      <c r="D44" s="2"/>
      <c r="E44" s="2"/>
      <c r="F44" s="2"/>
      <c r="G44" s="2"/>
      <c r="H44" s="2"/>
    </row>
    <row r="45" spans="1:8" x14ac:dyDescent="0.25">
      <c r="A45" s="11" t="s">
        <v>84</v>
      </c>
      <c r="B45">
        <f>DEGREES(ATAN2(E15-E14,D15-D14))</f>
        <v>39.999953961957296</v>
      </c>
      <c r="C45" s="70" t="s">
        <v>0</v>
      </c>
      <c r="E45" t="s">
        <v>126</v>
      </c>
    </row>
    <row r="46" spans="1:8" x14ac:dyDescent="0.25">
      <c r="A46" s="11" t="s">
        <v>85</v>
      </c>
      <c r="B46">
        <f>DEGREES(ATAN2(E17-E16,D17-D16))</f>
        <v>39.999953961957296</v>
      </c>
      <c r="C46" s="70" t="s">
        <v>0</v>
      </c>
      <c r="E46" t="s">
        <v>31</v>
      </c>
    </row>
    <row r="47" spans="1:8" x14ac:dyDescent="0.25">
      <c r="A47" t="s">
        <v>104</v>
      </c>
      <c r="B47">
        <f>DEGREES(ATAN2(COS(RADIANS(B45))+COS(RADIANS(B46)), SIN(RADIANS(B45))+SIN(RADIANS(B46))))</f>
        <v>39.999953961957296</v>
      </c>
      <c r="C47" s="70" t="s">
        <v>0</v>
      </c>
      <c r="E47" t="s">
        <v>101</v>
      </c>
    </row>
    <row r="48" spans="1:8" x14ac:dyDescent="0.25">
      <c r="A48" s="13" t="s">
        <v>72</v>
      </c>
      <c r="B48">
        <f>IF(B47&lt;0,B47+360,B47)</f>
        <v>39.999953961957296</v>
      </c>
      <c r="C48" s="70" t="s">
        <v>0</v>
      </c>
      <c r="E48" s="20" t="s">
        <v>102</v>
      </c>
      <c r="F48" s="20"/>
    </row>
    <row r="49" spans="1:8" x14ac:dyDescent="0.25">
      <c r="B49" s="5" t="str">
        <f>TEXT(B47,"0.00000")</f>
        <v>39.99995</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15900</v>
      </c>
      <c r="C57" s="70" t="s">
        <v>120</v>
      </c>
      <c r="E57" s="20" t="s">
        <v>198</v>
      </c>
    </row>
    <row r="58" spans="1:8" x14ac:dyDescent="0.25">
      <c r="A58" s="20" t="s">
        <v>93</v>
      </c>
      <c r="B58">
        <f>AVERAGE(C14:C17)</f>
        <v>7285</v>
      </c>
      <c r="C58" s="70" t="s">
        <v>121</v>
      </c>
      <c r="E58" s="20" t="s">
        <v>198</v>
      </c>
    </row>
    <row r="59" spans="1:8" x14ac:dyDescent="0.25">
      <c r="A59" s="20" t="s">
        <v>94</v>
      </c>
      <c r="B59" s="61">
        <f>AVERAGE(D14:D17)</f>
        <v>443425</v>
      </c>
      <c r="C59" s="70" t="s">
        <v>19</v>
      </c>
      <c r="E59" s="20" t="s">
        <v>198</v>
      </c>
    </row>
    <row r="60" spans="1:8" x14ac:dyDescent="0.25">
      <c r="A60" s="20" t="s">
        <v>95</v>
      </c>
      <c r="B60" s="61">
        <f>AVERAGE(E14:E17)</f>
        <v>3279937</v>
      </c>
      <c r="C60" s="70" t="s">
        <v>20</v>
      </c>
      <c r="E60" s="20" t="s">
        <v>198</v>
      </c>
    </row>
    <row r="61" spans="1:8" x14ac:dyDescent="0.25">
      <c r="A61" s="20" t="s">
        <v>96</v>
      </c>
      <c r="B61" s="34">
        <f>B35</f>
        <v>30.000065786964903</v>
      </c>
      <c r="C61" s="70" t="s">
        <v>142</v>
      </c>
    </row>
    <row r="62" spans="1:8" x14ac:dyDescent="0.25">
      <c r="A62" s="20" t="s">
        <v>97</v>
      </c>
      <c r="B62" s="34">
        <f>B41</f>
        <v>50.000015542927279</v>
      </c>
      <c r="C62" s="70" t="s">
        <v>143</v>
      </c>
    </row>
    <row r="63" spans="1:8" x14ac:dyDescent="0.25">
      <c r="A63" s="20" t="s">
        <v>98</v>
      </c>
      <c r="B63">
        <f>B48</f>
        <v>39.999953961957296</v>
      </c>
      <c r="C63" s="63" t="s">
        <v>124</v>
      </c>
    </row>
    <row r="64" spans="1:8" x14ac:dyDescent="0.25">
      <c r="A64" s="20" t="s">
        <v>99</v>
      </c>
      <c r="B64" s="71">
        <v>1</v>
      </c>
      <c r="C64" s="70" t="s">
        <v>125</v>
      </c>
    </row>
    <row r="65" spans="1:15" x14ac:dyDescent="0.25">
      <c r="A65" s="20" t="s">
        <v>58</v>
      </c>
      <c r="B65">
        <f>B23</f>
        <v>3</v>
      </c>
      <c r="C65" s="70" t="s">
        <v>56</v>
      </c>
    </row>
    <row r="66" spans="1:15" x14ac:dyDescent="0.25">
      <c r="A66" s="20" t="s">
        <v>59</v>
      </c>
      <c r="B66">
        <f>B24</f>
        <v>2</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14100</v>
      </c>
      <c r="C72" s="41">
        <f t="shared" si="2"/>
        <v>5161</v>
      </c>
      <c r="D72" s="41">
        <f t="shared" si="2"/>
        <v>395504</v>
      </c>
      <c r="E72" s="41">
        <f t="shared" si="2"/>
        <v>3250830</v>
      </c>
      <c r="F72" s="41"/>
      <c r="G72" s="61">
        <f>B$57 + C$56* (((D72-B$59)*COS(RADIANS(B$63)) - (E72-B$60)*SIN(RADIANS(B$63))) * (B$65/(B$64*B$61)) )</f>
        <v>14100.000000173166</v>
      </c>
      <c r="H72" s="61">
        <f>B$58 + (((D72-B$59)*SIN(RADIANS(B$63)) + (E72-B$60)*COS(RADIANS(B$63))) * (B$66/(B$64*B$62)) )</f>
        <v>5160.9900128122354</v>
      </c>
      <c r="I72" s="61">
        <f>B$59 + C$56* ((B72-B$57)*COS(RADIANS(B$63))*B$64*B$61/B$65) + ((C72-B$58)*SIN(RADIANS(B$63))*B$64*B$62/B$66)</f>
        <v>395504.16048958345</v>
      </c>
      <c r="J72" s="61">
        <f>B$60 - C$56* ((B72-B$57)*SIN(RADIANS(B$63))*B$64*B$61/B$65) + ((C72-B$58)*COS(RADIANS(B$63))*B$64*B$62/B$66)</f>
        <v>3250830.1912670438</v>
      </c>
      <c r="L72" s="45">
        <f t="shared" ref="L72:O75" si="3">B72-G72</f>
        <v>-1.7316597222816199E-7</v>
      </c>
      <c r="M72" s="45">
        <f t="shared" si="3"/>
        <v>9.9871877646364737E-3</v>
      </c>
      <c r="N72" s="44">
        <f t="shared" si="3"/>
        <v>-0.16048958344617859</v>
      </c>
      <c r="O72" s="44">
        <f t="shared" si="3"/>
        <v>-0.19126704381778836</v>
      </c>
    </row>
    <row r="73" spans="1:15" x14ac:dyDescent="0.25">
      <c r="A73" s="41" t="str">
        <f t="shared" ref="A73:E75" si="4">A15</f>
        <v>B</v>
      </c>
      <c r="B73" s="41">
        <f t="shared" si="4"/>
        <v>14100</v>
      </c>
      <c r="C73" s="41">
        <f t="shared" si="4"/>
        <v>9409</v>
      </c>
      <c r="D73" s="41">
        <f t="shared" si="4"/>
        <v>463768</v>
      </c>
      <c r="E73" s="41">
        <f t="shared" si="4"/>
        <v>3332184</v>
      </c>
      <c r="F73" s="46" t="s">
        <v>151</v>
      </c>
      <c r="G73" s="61">
        <f>B$57 + C$56* (((D73-B$59)*COS(RADIANS(B$63)) - (E73-B$60)*SIN(RADIANS(B$63))) * (B$65/(B$64*B$61)) )</f>
        <v>14100.000000173166</v>
      </c>
      <c r="H73" s="61">
        <f>B$58 + (((D73-B$59)*SIN(RADIANS(B$63)) + (E73-B$60)*COS(RADIANS(B$63))) * (B$66/(B$64*B$62)) )</f>
        <v>9408.9900128122354</v>
      </c>
      <c r="I73" s="61">
        <f>B$59 + C$56* ((B73-B$57)*COS(RADIANS(B$63))*B$64*B$61/B$65) + ((C73-B$58)*SIN(RADIANS(B$63))*B$64*B$62/B$66)</f>
        <v>463768.16048958345</v>
      </c>
      <c r="J73" s="61">
        <f>B$60 - C$56* ((B73-B$57)*SIN(RADIANS(B$63))*B$64*B$61/B$65) + ((C73-B$58)*COS(RADIANS(B$63))*B$64*B$62/B$66)</f>
        <v>3332184.1912670438</v>
      </c>
      <c r="L73" s="45">
        <f t="shared" si="3"/>
        <v>-1.7316597222816199E-7</v>
      </c>
      <c r="M73" s="45">
        <f t="shared" si="3"/>
        <v>9.9871877646364737E-3</v>
      </c>
      <c r="N73" s="44">
        <f t="shared" si="3"/>
        <v>-0.16048958344617859</v>
      </c>
      <c r="O73" s="44">
        <f t="shared" si="3"/>
        <v>-0.19126704381778836</v>
      </c>
    </row>
    <row r="74" spans="1:15" x14ac:dyDescent="0.25">
      <c r="A74" s="41" t="str">
        <f t="shared" si="4"/>
        <v>C</v>
      </c>
      <c r="B74" s="41">
        <f t="shared" si="4"/>
        <v>17700</v>
      </c>
      <c r="C74" s="41">
        <f t="shared" si="4"/>
        <v>5161</v>
      </c>
      <c r="D74" s="41">
        <f t="shared" si="4"/>
        <v>423082</v>
      </c>
      <c r="E74" s="41">
        <f t="shared" si="4"/>
        <v>3227690</v>
      </c>
      <c r="F74" s="41"/>
      <c r="G74" s="61">
        <f>B$57 + C$56* (((D74-B$59)*COS(RADIANS(B$63)) - (E74-B$60)*SIN(RADIANS(B$63))) * (B$65/(B$64*B$61)) )</f>
        <v>17699.999999826836</v>
      </c>
      <c r="H74" s="61">
        <f>B$58 + (((D74-B$59)*SIN(RADIANS(B$63)) + (E74-B$60)*COS(RADIANS(B$63))) * (B$66/(B$64*B$62)) )</f>
        <v>5161.0099871877646</v>
      </c>
      <c r="I74" s="61">
        <f>B$59 + C$56* ((B74-B$57)*COS(RADIANS(B$63))*B$64*B$61/B$65) + ((C74-B$58)*SIN(RADIANS(B$63))*B$64*B$62/B$66)</f>
        <v>423081.83951041655</v>
      </c>
      <c r="J74" s="61">
        <f>B$60 - C$56* ((B74-B$57)*SIN(RADIANS(B$63))*B$64*B$61/B$65) + ((C74-B$58)*COS(RADIANS(B$63))*B$64*B$62/B$66)</f>
        <v>3227689.8087329562</v>
      </c>
      <c r="L74" s="45">
        <f t="shared" si="3"/>
        <v>1.7316415323875844E-7</v>
      </c>
      <c r="M74" s="45">
        <f t="shared" si="3"/>
        <v>-9.9871877646364737E-3</v>
      </c>
      <c r="N74" s="44">
        <f t="shared" si="3"/>
        <v>0.16048958344617859</v>
      </c>
      <c r="O74" s="44">
        <f t="shared" si="3"/>
        <v>0.19126704381778836</v>
      </c>
    </row>
    <row r="75" spans="1:15" x14ac:dyDescent="0.25">
      <c r="A75" s="41" t="str">
        <f t="shared" si="4"/>
        <v>D</v>
      </c>
      <c r="B75" s="41">
        <f t="shared" si="4"/>
        <v>17700</v>
      </c>
      <c r="C75" s="41">
        <f t="shared" si="4"/>
        <v>9409</v>
      </c>
      <c r="D75" s="41">
        <f t="shared" si="4"/>
        <v>491346</v>
      </c>
      <c r="E75" s="41">
        <f t="shared" si="4"/>
        <v>3309044</v>
      </c>
      <c r="F75" s="41"/>
      <c r="G75" s="61">
        <f>B$57 + C$56* (((D75-B$59)*COS(RADIANS(B$63)) - (E75-B$60)*SIN(RADIANS(B$63))) * (B$65/(B$64*B$61)) )</f>
        <v>17699.999999826832</v>
      </c>
      <c r="H75" s="61">
        <f>B$58 + (((D75-B$59)*SIN(RADIANS(B$63)) + (E75-B$60)*COS(RADIANS(B$63))) * (B$66/(B$64*B$62)) )</f>
        <v>9409.0099871877646</v>
      </c>
      <c r="I75" s="61">
        <f>B$59 + C$56* ((B75-B$57)*COS(RADIANS(B$63))*B$64*B$61/B$65) + ((C75-B$58)*SIN(RADIANS(B$63))*B$64*B$62/B$66)</f>
        <v>491345.83951041655</v>
      </c>
      <c r="J75" s="61">
        <f>B$60 - C$56* ((B75-B$57)*SIN(RADIANS(B$63))*B$64*B$61/B$65) + ((C75-B$58)*COS(RADIANS(B$63))*B$64*B$62/B$66)</f>
        <v>3309043.8087329562</v>
      </c>
      <c r="L75" s="45">
        <f t="shared" si="3"/>
        <v>1.7316779121756554E-7</v>
      </c>
      <c r="M75" s="45">
        <f t="shared" si="3"/>
        <v>-9.9871877646364737E-3</v>
      </c>
      <c r="N75" s="44">
        <f t="shared" si="3"/>
        <v>0.16048958344617859</v>
      </c>
      <c r="O75" s="44">
        <f t="shared" si="3"/>
        <v>0.19126704381778836</v>
      </c>
    </row>
    <row r="76" spans="1:15" x14ac:dyDescent="0.25">
      <c r="K76" s="74" t="s">
        <v>137</v>
      </c>
      <c r="L76" s="81">
        <f>MAX(MAX(L72:L75),-MIN(L72:L75))</f>
        <v>1.7316779121756554E-7</v>
      </c>
      <c r="M76" s="81">
        <f>MAX(MAX(M72:M75),-MIN(M72:M75))</f>
        <v>9.9871877646364737E-3</v>
      </c>
      <c r="N76" s="7" t="s">
        <v>150</v>
      </c>
    </row>
    <row r="78" spans="1:15" x14ac:dyDescent="0.25">
      <c r="A78" t="s">
        <v>153</v>
      </c>
      <c r="B78" t="str">
        <f>IF(AND(MAX(MAX(N72:N75),-MIN(N72:N75))&lt;1.5, MAX(MAX(O72:O75),-MIN(O72:O75))&lt;1.5), "PASS", "FAIL")</f>
        <v>PASS</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793237-E1DC-4193-8865-5B03B0636B4D}">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194</v>
      </c>
      <c r="B1" t="s">
        <v>189</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51</v>
      </c>
      <c r="D10" s="10" t="s">
        <v>178</v>
      </c>
      <c r="E10" s="9" t="s">
        <v>52</v>
      </c>
      <c r="F10" s="9"/>
    </row>
    <row r="11" spans="1:13" x14ac:dyDescent="0.25">
      <c r="A11" s="1" t="s">
        <v>47</v>
      </c>
      <c r="B11" t="s">
        <v>177</v>
      </c>
      <c r="D11" s="10" t="s">
        <v>179</v>
      </c>
      <c r="E11" t="s">
        <v>180</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14100</v>
      </c>
      <c r="C14" s="24">
        <v>5161</v>
      </c>
      <c r="D14" s="35">
        <v>491346</v>
      </c>
      <c r="E14" s="36">
        <v>3309044</v>
      </c>
      <c r="F14" s="72"/>
      <c r="G14" s="20" t="s">
        <v>105</v>
      </c>
    </row>
    <row r="15" spans="1:13" x14ac:dyDescent="0.25">
      <c r="A15" s="62" t="s">
        <v>4</v>
      </c>
      <c r="B15" s="25">
        <v>14100</v>
      </c>
      <c r="C15" s="26">
        <v>9409</v>
      </c>
      <c r="D15" s="37">
        <v>423082</v>
      </c>
      <c r="E15" s="38">
        <v>3227690</v>
      </c>
      <c r="F15" s="72"/>
      <c r="G15" s="20" t="s">
        <v>108</v>
      </c>
    </row>
    <row r="16" spans="1:13" x14ac:dyDescent="0.25">
      <c r="A16" s="62" t="s">
        <v>5</v>
      </c>
      <c r="B16" s="25">
        <v>17700</v>
      </c>
      <c r="C16" s="26">
        <v>5161</v>
      </c>
      <c r="D16" s="37">
        <v>463768</v>
      </c>
      <c r="E16" s="38">
        <v>3332184</v>
      </c>
      <c r="F16" s="72"/>
      <c r="G16" s="20" t="s">
        <v>107</v>
      </c>
    </row>
    <row r="17" spans="1:13" ht="15.75" thickBot="1" x14ac:dyDescent="0.3">
      <c r="A17" s="62" t="s">
        <v>6</v>
      </c>
      <c r="B17" s="27">
        <v>17700</v>
      </c>
      <c r="C17" s="28">
        <v>9409</v>
      </c>
      <c r="D17" s="39">
        <v>395504</v>
      </c>
      <c r="E17" s="40">
        <v>3250830</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3</v>
      </c>
      <c r="C23" s="7"/>
      <c r="E23" t="s">
        <v>163</v>
      </c>
      <c r="F23" s="20"/>
    </row>
    <row r="24" spans="1:13" x14ac:dyDescent="0.25">
      <c r="A24" s="75" t="s">
        <v>59</v>
      </c>
      <c r="B24" s="26">
        <v>2</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36000.078944357883</v>
      </c>
      <c r="C33" s="63" t="str">
        <f>B$30</f>
        <v>m</v>
      </c>
      <c r="E33" s="7" t="s">
        <v>1</v>
      </c>
      <c r="F33" s="7"/>
    </row>
    <row r="34" spans="1:8" x14ac:dyDescent="0.25">
      <c r="A34" s="11" t="s">
        <v>34</v>
      </c>
      <c r="B34" s="73">
        <f>SQRT((E17-E15)^2+(D17-D15)^2)</f>
        <v>36000.078944357883</v>
      </c>
      <c r="C34" s="63" t="str">
        <f t="shared" ref="C34:C36" si="0">B$30</f>
        <v>m</v>
      </c>
    </row>
    <row r="35" spans="1:8" x14ac:dyDescent="0.25">
      <c r="A35" s="13" t="s">
        <v>142</v>
      </c>
      <c r="B35" s="66">
        <f>B23 * AVERAGE(B33,B34) / (B16-B14)</f>
        <v>30.000065786964903</v>
      </c>
      <c r="C35" s="63" t="str">
        <f t="shared" si="0"/>
        <v>m</v>
      </c>
      <c r="E35" s="20" t="s">
        <v>141</v>
      </c>
      <c r="F35" s="20"/>
    </row>
    <row r="36" spans="1:8" x14ac:dyDescent="0.25">
      <c r="A36" s="13"/>
      <c r="B36" s="5" t="str">
        <f>TEXT(B35,"0.000000")</f>
        <v>30.000066</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106200.03301317754</v>
      </c>
      <c r="C39" s="63" t="str">
        <f>B$30</f>
        <v>m</v>
      </c>
    </row>
    <row r="40" spans="1:8" x14ac:dyDescent="0.25">
      <c r="A40" s="11" t="s">
        <v>33</v>
      </c>
      <c r="B40" s="73">
        <f>SQRT((E17-E16)^2+(D17-D16)^2)</f>
        <v>106200.03301317754</v>
      </c>
      <c r="C40" s="63" t="str">
        <f t="shared" ref="C40:C42" si="1">B$30</f>
        <v>m</v>
      </c>
    </row>
    <row r="41" spans="1:8" x14ac:dyDescent="0.25">
      <c r="A41" s="13" t="s">
        <v>143</v>
      </c>
      <c r="B41" s="66">
        <f>B24 * AVERAGE(B39,B40) / (C15-C14)</f>
        <v>50.000015542927279</v>
      </c>
      <c r="C41" s="63" t="str">
        <f t="shared" si="1"/>
        <v>m</v>
      </c>
      <c r="E41" s="20" t="s">
        <v>140</v>
      </c>
      <c r="F41" s="20"/>
    </row>
    <row r="42" spans="1:8" x14ac:dyDescent="0.25">
      <c r="A42" s="13"/>
      <c r="B42" s="5" t="str">
        <f>TEXT(B41,"0.000000")</f>
        <v>50.000016</v>
      </c>
      <c r="C42" s="63" t="str">
        <f t="shared" si="1"/>
        <v>m</v>
      </c>
      <c r="E42" t="s">
        <v>87</v>
      </c>
    </row>
    <row r="44" spans="1:8" x14ac:dyDescent="0.25">
      <c r="A44" s="2" t="s">
        <v>88</v>
      </c>
      <c r="B44" s="2"/>
      <c r="C44" s="2"/>
      <c r="D44" s="2"/>
      <c r="E44" s="2"/>
      <c r="F44" s="2"/>
      <c r="G44" s="2"/>
      <c r="H44" s="2"/>
    </row>
    <row r="45" spans="1:8" x14ac:dyDescent="0.25">
      <c r="A45" s="11" t="s">
        <v>84</v>
      </c>
      <c r="B45">
        <f>DEGREES(ATAN2(E15-E14,D15-D14))</f>
        <v>-140.00004603804271</v>
      </c>
      <c r="C45" s="70" t="s">
        <v>0</v>
      </c>
      <c r="E45" t="s">
        <v>126</v>
      </c>
    </row>
    <row r="46" spans="1:8" x14ac:dyDescent="0.25">
      <c r="A46" s="11" t="s">
        <v>85</v>
      </c>
      <c r="B46">
        <f>DEGREES(ATAN2(E17-E16,D17-D16))</f>
        <v>-140.00004603804271</v>
      </c>
      <c r="C46" s="70" t="s">
        <v>0</v>
      </c>
      <c r="E46" t="s">
        <v>31</v>
      </c>
    </row>
    <row r="47" spans="1:8" x14ac:dyDescent="0.25">
      <c r="A47" t="s">
        <v>104</v>
      </c>
      <c r="B47">
        <f>DEGREES(ATAN2(COS(RADIANS(B45))+COS(RADIANS(B46)), SIN(RADIANS(B45))+SIN(RADIANS(B46))))</f>
        <v>-140.00004603804271</v>
      </c>
      <c r="C47" s="70" t="s">
        <v>0</v>
      </c>
      <c r="E47" t="s">
        <v>101</v>
      </c>
    </row>
    <row r="48" spans="1:8" x14ac:dyDescent="0.25">
      <c r="A48" s="13" t="s">
        <v>72</v>
      </c>
      <c r="B48">
        <f>IF(B47&lt;0,B47+360,B47)</f>
        <v>219.99995396195729</v>
      </c>
      <c r="C48" s="70" t="s">
        <v>0</v>
      </c>
      <c r="E48" s="20" t="s">
        <v>102</v>
      </c>
      <c r="F48" s="20"/>
    </row>
    <row r="49" spans="1:8" x14ac:dyDescent="0.25">
      <c r="B49" s="5" t="str">
        <f>TEXT(B47,"0.00000")</f>
        <v>-140.00005</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15900</v>
      </c>
      <c r="C57" s="70" t="s">
        <v>120</v>
      </c>
      <c r="E57" s="20" t="s">
        <v>198</v>
      </c>
    </row>
    <row r="58" spans="1:8" x14ac:dyDescent="0.25">
      <c r="A58" s="20" t="s">
        <v>93</v>
      </c>
      <c r="B58">
        <f>AVERAGE(C14:C17)</f>
        <v>7285</v>
      </c>
      <c r="C58" s="70" t="s">
        <v>121</v>
      </c>
      <c r="E58" s="20" t="s">
        <v>198</v>
      </c>
    </row>
    <row r="59" spans="1:8" x14ac:dyDescent="0.25">
      <c r="A59" s="20" t="s">
        <v>94</v>
      </c>
      <c r="B59" s="61">
        <f>AVERAGE(D14:D17)</f>
        <v>443425</v>
      </c>
      <c r="C59" s="70" t="s">
        <v>19</v>
      </c>
      <c r="E59" s="20" t="s">
        <v>198</v>
      </c>
    </row>
    <row r="60" spans="1:8" x14ac:dyDescent="0.25">
      <c r="A60" s="20" t="s">
        <v>95</v>
      </c>
      <c r="B60" s="61">
        <f>AVERAGE(E14:E17)</f>
        <v>3279937</v>
      </c>
      <c r="C60" s="70" t="s">
        <v>20</v>
      </c>
      <c r="E60" s="20" t="s">
        <v>198</v>
      </c>
    </row>
    <row r="61" spans="1:8" x14ac:dyDescent="0.25">
      <c r="A61" s="20" t="s">
        <v>96</v>
      </c>
      <c r="B61" s="34">
        <f>B35</f>
        <v>30.000065786964903</v>
      </c>
      <c r="C61" s="70" t="s">
        <v>142</v>
      </c>
    </row>
    <row r="62" spans="1:8" x14ac:dyDescent="0.25">
      <c r="A62" s="20" t="s">
        <v>97</v>
      </c>
      <c r="B62" s="34">
        <f>B41</f>
        <v>50.000015542927279</v>
      </c>
      <c r="C62" s="70" t="s">
        <v>143</v>
      </c>
    </row>
    <row r="63" spans="1:8" x14ac:dyDescent="0.25">
      <c r="A63" s="20" t="s">
        <v>98</v>
      </c>
      <c r="B63">
        <f>B48</f>
        <v>219.99995396195729</v>
      </c>
      <c r="C63" s="63" t="s">
        <v>124</v>
      </c>
    </row>
    <row r="64" spans="1:8" x14ac:dyDescent="0.25">
      <c r="A64" s="20" t="s">
        <v>99</v>
      </c>
      <c r="B64" s="71">
        <v>1</v>
      </c>
      <c r="C64" s="70" t="s">
        <v>125</v>
      </c>
    </row>
    <row r="65" spans="1:15" x14ac:dyDescent="0.25">
      <c r="A65" s="20" t="s">
        <v>58</v>
      </c>
      <c r="B65">
        <f>B23</f>
        <v>3</v>
      </c>
      <c r="C65" s="70" t="s">
        <v>56</v>
      </c>
    </row>
    <row r="66" spans="1:15" x14ac:dyDescent="0.25">
      <c r="A66" s="20" t="s">
        <v>59</v>
      </c>
      <c r="B66">
        <f>B24</f>
        <v>2</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14100</v>
      </c>
      <c r="C72" s="41">
        <f t="shared" si="2"/>
        <v>5161</v>
      </c>
      <c r="D72" s="41">
        <f t="shared" si="2"/>
        <v>491346</v>
      </c>
      <c r="E72" s="41">
        <f t="shared" si="2"/>
        <v>3309044</v>
      </c>
      <c r="F72" s="41"/>
      <c r="G72" s="61">
        <f>B$57 + C$56* (((D72-B$59)*COS(RADIANS(B$63)) - (E72-B$60)*SIN(RADIANS(B$63))) * (B$65/(B$64*B$61)) )</f>
        <v>14100.000000173164</v>
      </c>
      <c r="H72" s="61">
        <f>B$58 + (((D72-B$59)*SIN(RADIANS(B$63)) + (E72-B$60)*COS(RADIANS(B$63))) * (B$66/(B$64*B$62)) )</f>
        <v>5160.9900128122363</v>
      </c>
      <c r="I72" s="61">
        <f>B$59 + C$56* ((B72-B$57)*COS(RADIANS(B$63))*B$64*B$61/B$65) + ((C72-B$58)*SIN(RADIANS(B$63))*B$64*B$62/B$66)</f>
        <v>491345.83951041655</v>
      </c>
      <c r="J72" s="61">
        <f>B$60 - C$56* ((B72-B$57)*SIN(RADIANS(B$63))*B$64*B$61/B$65) + ((C72-B$58)*COS(RADIANS(B$63))*B$64*B$62/B$66)</f>
        <v>3309043.8087329562</v>
      </c>
      <c r="L72" s="45">
        <f t="shared" ref="L72:O75" si="3">B72-G72</f>
        <v>-1.7316415323875844E-7</v>
      </c>
      <c r="M72" s="45">
        <f t="shared" si="3"/>
        <v>9.987187763726979E-3</v>
      </c>
      <c r="N72" s="44">
        <f t="shared" si="3"/>
        <v>0.16048958344617859</v>
      </c>
      <c r="O72" s="44">
        <f t="shared" si="3"/>
        <v>0.19126704381778836</v>
      </c>
    </row>
    <row r="73" spans="1:15" x14ac:dyDescent="0.25">
      <c r="A73" s="41" t="str">
        <f t="shared" ref="A73:E75" si="4">A15</f>
        <v>B</v>
      </c>
      <c r="B73" s="41">
        <f t="shared" si="4"/>
        <v>14100</v>
      </c>
      <c r="C73" s="41">
        <f t="shared" si="4"/>
        <v>9409</v>
      </c>
      <c r="D73" s="41">
        <f t="shared" si="4"/>
        <v>423082</v>
      </c>
      <c r="E73" s="41">
        <f t="shared" si="4"/>
        <v>3227690</v>
      </c>
      <c r="F73" s="46" t="s">
        <v>151</v>
      </c>
      <c r="G73" s="61">
        <f>B$57 + C$56* (((D73-B$59)*COS(RADIANS(B$63)) - (E73-B$60)*SIN(RADIANS(B$63))) * (B$65/(B$64*B$61)) )</f>
        <v>14100.000000173168</v>
      </c>
      <c r="H73" s="61">
        <f>B$58 + (((D73-B$59)*SIN(RADIANS(B$63)) + (E73-B$60)*COS(RADIANS(B$63))) * (B$66/(B$64*B$62)) )</f>
        <v>9408.9900128122354</v>
      </c>
      <c r="I73" s="61">
        <f>B$59 + C$56* ((B73-B$57)*COS(RADIANS(B$63))*B$64*B$61/B$65) + ((C73-B$58)*SIN(RADIANS(B$63))*B$64*B$62/B$66)</f>
        <v>423081.83951041655</v>
      </c>
      <c r="J73" s="61">
        <f>B$60 - C$56* ((B73-B$57)*SIN(RADIANS(B$63))*B$64*B$61/B$65) + ((C73-B$58)*COS(RADIANS(B$63))*B$64*B$62/B$66)</f>
        <v>3227689.8087329562</v>
      </c>
      <c r="L73" s="45">
        <f t="shared" si="3"/>
        <v>-1.7316779121756554E-7</v>
      </c>
      <c r="M73" s="45">
        <f t="shared" si="3"/>
        <v>9.9871877646364737E-3</v>
      </c>
      <c r="N73" s="44">
        <f t="shared" si="3"/>
        <v>0.16048958344617859</v>
      </c>
      <c r="O73" s="44">
        <f t="shared" si="3"/>
        <v>0.19126704381778836</v>
      </c>
    </row>
    <row r="74" spans="1:15" x14ac:dyDescent="0.25">
      <c r="A74" s="41" t="str">
        <f t="shared" si="4"/>
        <v>C</v>
      </c>
      <c r="B74" s="41">
        <f t="shared" si="4"/>
        <v>17700</v>
      </c>
      <c r="C74" s="41">
        <f t="shared" si="4"/>
        <v>5161</v>
      </c>
      <c r="D74" s="41">
        <f t="shared" si="4"/>
        <v>463768</v>
      </c>
      <c r="E74" s="41">
        <f t="shared" si="4"/>
        <v>3332184</v>
      </c>
      <c r="F74" s="41"/>
      <c r="G74" s="61">
        <f>B$57 + C$56* (((D74-B$59)*COS(RADIANS(B$63)) - (E74-B$60)*SIN(RADIANS(B$63))) * (B$65/(B$64*B$61)) )</f>
        <v>17699.999999826832</v>
      </c>
      <c r="H74" s="61">
        <f>B$58 + (((D74-B$59)*SIN(RADIANS(B$63)) + (E74-B$60)*COS(RADIANS(B$63))) * (B$66/(B$64*B$62)) )</f>
        <v>5161.0099871877646</v>
      </c>
      <c r="I74" s="61">
        <f>B$59 + C$56* ((B74-B$57)*COS(RADIANS(B$63))*B$64*B$61/B$65) + ((C74-B$58)*SIN(RADIANS(B$63))*B$64*B$62/B$66)</f>
        <v>463768.16048958345</v>
      </c>
      <c r="J74" s="61">
        <f>B$60 - C$56* ((B74-B$57)*SIN(RADIANS(B$63))*B$64*B$61/B$65) + ((C74-B$58)*COS(RADIANS(B$63))*B$64*B$62/B$66)</f>
        <v>3332184.1912670438</v>
      </c>
      <c r="L74" s="45">
        <f t="shared" si="3"/>
        <v>1.7316779121756554E-7</v>
      </c>
      <c r="M74" s="45">
        <f t="shared" si="3"/>
        <v>-9.9871877646364737E-3</v>
      </c>
      <c r="N74" s="44">
        <f t="shared" si="3"/>
        <v>-0.16048958344617859</v>
      </c>
      <c r="O74" s="44">
        <f t="shared" si="3"/>
        <v>-0.19126704381778836</v>
      </c>
    </row>
    <row r="75" spans="1:15" x14ac:dyDescent="0.25">
      <c r="A75" s="41" t="str">
        <f t="shared" si="4"/>
        <v>D</v>
      </c>
      <c r="B75" s="41">
        <f t="shared" si="4"/>
        <v>17700</v>
      </c>
      <c r="C75" s="41">
        <f t="shared" si="4"/>
        <v>9409</v>
      </c>
      <c r="D75" s="41">
        <f t="shared" si="4"/>
        <v>395504</v>
      </c>
      <c r="E75" s="41">
        <f t="shared" si="4"/>
        <v>3250830</v>
      </c>
      <c r="F75" s="41"/>
      <c r="G75" s="61">
        <f>B$57 + C$56* (((D75-B$59)*COS(RADIANS(B$63)) - (E75-B$60)*SIN(RADIANS(B$63))) * (B$65/(B$64*B$61)) )</f>
        <v>17699.999999826836</v>
      </c>
      <c r="H75" s="61">
        <f>B$58 + (((D75-B$59)*SIN(RADIANS(B$63)) + (E75-B$60)*COS(RADIANS(B$63))) * (B$66/(B$64*B$62)) )</f>
        <v>9409.0099871877646</v>
      </c>
      <c r="I75" s="61">
        <f>B$59 + C$56* ((B75-B$57)*COS(RADIANS(B$63))*B$64*B$61/B$65) + ((C75-B$58)*SIN(RADIANS(B$63))*B$64*B$62/B$66)</f>
        <v>395504.16048958345</v>
      </c>
      <c r="J75" s="61">
        <f>B$60 - C$56* ((B75-B$57)*SIN(RADIANS(B$63))*B$64*B$61/B$65) + ((C75-B$58)*COS(RADIANS(B$63))*B$64*B$62/B$66)</f>
        <v>3250830.1912670438</v>
      </c>
      <c r="L75" s="45">
        <f t="shared" si="3"/>
        <v>1.7316415323875844E-7</v>
      </c>
      <c r="M75" s="45">
        <f t="shared" si="3"/>
        <v>-9.9871877646364737E-3</v>
      </c>
      <c r="N75" s="44">
        <f t="shared" si="3"/>
        <v>-0.16048958344617859</v>
      </c>
      <c r="O75" s="44">
        <f t="shared" si="3"/>
        <v>-0.19126704381778836</v>
      </c>
    </row>
    <row r="76" spans="1:15" x14ac:dyDescent="0.25">
      <c r="K76" s="74" t="s">
        <v>137</v>
      </c>
      <c r="L76" s="81">
        <f>MAX(MAX(L72:L75),-MIN(L72:L75))</f>
        <v>1.7316779121756554E-7</v>
      </c>
      <c r="M76" s="81">
        <f>MAX(MAX(M72:M75),-MIN(M72:M75))</f>
        <v>9.9871877646364737E-3</v>
      </c>
      <c r="N76" s="7" t="s">
        <v>150</v>
      </c>
    </row>
    <row r="78" spans="1:15" x14ac:dyDescent="0.25">
      <c r="A78" t="s">
        <v>153</v>
      </c>
      <c r="B78" t="str">
        <f>IF(AND(MAX(MAX(N72:N75),-MIN(N72:N75))&lt;1.5, MAX(MAX(O72:O75),-MIN(O72:O75))&lt;1.5), "PASS", "FAIL")</f>
        <v>PASS</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93251A2-38D5-4BE8-8C0C-85E0902A2CC3}">
  <sheetPr>
    <tabColor theme="9" tint="0.59999389629810485"/>
  </sheetPr>
  <dimension ref="A1:O79"/>
  <sheetViews>
    <sheetView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193</v>
      </c>
      <c r="B1" t="s">
        <v>190</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51</v>
      </c>
      <c r="D10" s="10" t="s">
        <v>178</v>
      </c>
      <c r="E10" s="9" t="s">
        <v>52</v>
      </c>
      <c r="F10" s="9"/>
    </row>
    <row r="11" spans="1:13" x14ac:dyDescent="0.25">
      <c r="A11" s="1" t="s">
        <v>47</v>
      </c>
      <c r="B11" t="s">
        <v>177</v>
      </c>
      <c r="D11" s="10" t="s">
        <v>179</v>
      </c>
      <c r="E11" t="s">
        <v>180</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14100</v>
      </c>
      <c r="C14" s="24">
        <v>5161</v>
      </c>
      <c r="D14" s="35">
        <v>463768</v>
      </c>
      <c r="E14" s="36">
        <v>3332184</v>
      </c>
      <c r="F14" s="72"/>
      <c r="G14" s="20" t="s">
        <v>105</v>
      </c>
    </row>
    <row r="15" spans="1:13" x14ac:dyDescent="0.25">
      <c r="A15" s="62" t="s">
        <v>4</v>
      </c>
      <c r="B15" s="25">
        <v>14100</v>
      </c>
      <c r="C15" s="26">
        <v>9409</v>
      </c>
      <c r="D15" s="37">
        <v>395504</v>
      </c>
      <c r="E15" s="38">
        <v>3250830</v>
      </c>
      <c r="F15" s="72"/>
      <c r="G15" s="20" t="s">
        <v>108</v>
      </c>
    </row>
    <row r="16" spans="1:13" x14ac:dyDescent="0.25">
      <c r="A16" s="62" t="s">
        <v>5</v>
      </c>
      <c r="B16" s="25">
        <v>17700</v>
      </c>
      <c r="C16" s="26">
        <v>5161</v>
      </c>
      <c r="D16" s="37">
        <v>491346</v>
      </c>
      <c r="E16" s="38">
        <v>3309044</v>
      </c>
      <c r="F16" s="72"/>
      <c r="G16" s="20" t="s">
        <v>107</v>
      </c>
    </row>
    <row r="17" spans="1:13" ht="15.75" thickBot="1" x14ac:dyDescent="0.3">
      <c r="A17" s="62" t="s">
        <v>6</v>
      </c>
      <c r="B17" s="27">
        <v>17700</v>
      </c>
      <c r="C17" s="28">
        <v>9409</v>
      </c>
      <c r="D17" s="39">
        <v>423082</v>
      </c>
      <c r="E17" s="40">
        <v>3227690</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3</v>
      </c>
      <c r="C23" s="7"/>
      <c r="E23" t="s">
        <v>163</v>
      </c>
      <c r="F23" s="20"/>
    </row>
    <row r="24" spans="1:13" x14ac:dyDescent="0.25">
      <c r="A24" s="75" t="s">
        <v>59</v>
      </c>
      <c r="B24" s="26">
        <v>2</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36000.078944357883</v>
      </c>
      <c r="C33" s="63" t="str">
        <f>B$30</f>
        <v>m</v>
      </c>
      <c r="E33" s="7" t="s">
        <v>1</v>
      </c>
      <c r="F33" s="7"/>
    </row>
    <row r="34" spans="1:8" x14ac:dyDescent="0.25">
      <c r="A34" s="11" t="s">
        <v>34</v>
      </c>
      <c r="B34" s="73">
        <f>SQRT((E17-E15)^2+(D17-D15)^2)</f>
        <v>36000.078944357883</v>
      </c>
      <c r="C34" s="63" t="str">
        <f t="shared" ref="C34:C36" si="0">B$30</f>
        <v>m</v>
      </c>
    </row>
    <row r="35" spans="1:8" x14ac:dyDescent="0.25">
      <c r="A35" s="13" t="s">
        <v>142</v>
      </c>
      <c r="B35" s="66">
        <f>B23 * AVERAGE(B33,B34) / (B16-B14)</f>
        <v>30.000065786964903</v>
      </c>
      <c r="C35" s="63" t="str">
        <f t="shared" si="0"/>
        <v>m</v>
      </c>
      <c r="E35" s="20" t="s">
        <v>141</v>
      </c>
      <c r="F35" s="20"/>
    </row>
    <row r="36" spans="1:8" x14ac:dyDescent="0.25">
      <c r="A36" s="13"/>
      <c r="B36" s="5" t="str">
        <f>TEXT(B35,"0.000000")</f>
        <v>30.000066</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106200.03301317754</v>
      </c>
      <c r="C39" s="63" t="str">
        <f>B$30</f>
        <v>m</v>
      </c>
    </row>
    <row r="40" spans="1:8" x14ac:dyDescent="0.25">
      <c r="A40" s="11" t="s">
        <v>33</v>
      </c>
      <c r="B40" s="73">
        <f>SQRT((E17-E16)^2+(D17-D16)^2)</f>
        <v>106200.03301317754</v>
      </c>
      <c r="C40" s="63" t="str">
        <f t="shared" ref="C40:C42" si="1">B$30</f>
        <v>m</v>
      </c>
    </row>
    <row r="41" spans="1:8" x14ac:dyDescent="0.25">
      <c r="A41" s="13" t="s">
        <v>143</v>
      </c>
      <c r="B41" s="66">
        <f>B24 * AVERAGE(B39,B40) / (C15-C14)</f>
        <v>50.000015542927279</v>
      </c>
      <c r="C41" s="63" t="str">
        <f t="shared" si="1"/>
        <v>m</v>
      </c>
      <c r="E41" s="20" t="s">
        <v>140</v>
      </c>
      <c r="F41" s="20"/>
    </row>
    <row r="42" spans="1:8" x14ac:dyDescent="0.25">
      <c r="A42" s="13"/>
      <c r="B42" s="5" t="str">
        <f>TEXT(B41,"0.000000")</f>
        <v>50.000016</v>
      </c>
      <c r="C42" s="63" t="str">
        <f t="shared" si="1"/>
        <v>m</v>
      </c>
      <c r="E42" t="s">
        <v>87</v>
      </c>
    </row>
    <row r="44" spans="1:8" x14ac:dyDescent="0.25">
      <c r="A44" s="2" t="s">
        <v>88</v>
      </c>
      <c r="B44" s="2"/>
      <c r="C44" s="2"/>
      <c r="D44" s="2"/>
      <c r="E44" s="2"/>
      <c r="F44" s="2"/>
      <c r="G44" s="2"/>
      <c r="H44" s="2"/>
    </row>
    <row r="45" spans="1:8" x14ac:dyDescent="0.25">
      <c r="A45" s="11" t="s">
        <v>84</v>
      </c>
      <c r="B45">
        <f>DEGREES(ATAN2(E15-E14,D15-D14))</f>
        <v>-140.00004603804271</v>
      </c>
      <c r="C45" s="70" t="s">
        <v>0</v>
      </c>
      <c r="E45" t="s">
        <v>126</v>
      </c>
    </row>
    <row r="46" spans="1:8" x14ac:dyDescent="0.25">
      <c r="A46" s="11" t="s">
        <v>85</v>
      </c>
      <c r="B46">
        <f>DEGREES(ATAN2(E17-E16,D17-D16))</f>
        <v>-140.00004603804271</v>
      </c>
      <c r="C46" s="70" t="s">
        <v>0</v>
      </c>
      <c r="E46" t="s">
        <v>31</v>
      </c>
    </row>
    <row r="47" spans="1:8" x14ac:dyDescent="0.25">
      <c r="A47" t="s">
        <v>104</v>
      </c>
      <c r="B47">
        <f>DEGREES(ATAN2(COS(RADIANS(B45))+COS(RADIANS(B46)), SIN(RADIANS(B45))+SIN(RADIANS(B46))))</f>
        <v>-140.00004603804271</v>
      </c>
      <c r="C47" s="70" t="s">
        <v>0</v>
      </c>
      <c r="E47" t="s">
        <v>101</v>
      </c>
    </row>
    <row r="48" spans="1:8" x14ac:dyDescent="0.25">
      <c r="A48" s="13" t="s">
        <v>72</v>
      </c>
      <c r="B48">
        <f>IF(B47&lt;0,B47+360,B47)</f>
        <v>219.99995396195729</v>
      </c>
      <c r="C48" s="70" t="s">
        <v>0</v>
      </c>
      <c r="E48" s="20" t="s">
        <v>102</v>
      </c>
      <c r="F48" s="20"/>
    </row>
    <row r="49" spans="1:8" x14ac:dyDescent="0.25">
      <c r="B49" s="5" t="str">
        <f>TEXT(B47,"0.00000")</f>
        <v>-140.00005</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LEFT-HANDED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1049</v>
      </c>
      <c r="C56">
        <f>IF(B56=9666, 1, -1)</f>
        <v>-1</v>
      </c>
      <c r="E56" s="20" t="s">
        <v>135</v>
      </c>
    </row>
    <row r="57" spans="1:8" x14ac:dyDescent="0.25">
      <c r="A57" s="20" t="s">
        <v>92</v>
      </c>
      <c r="B57">
        <f>AVERAGE(B14:B17)</f>
        <v>15900</v>
      </c>
      <c r="C57" s="70" t="s">
        <v>120</v>
      </c>
      <c r="E57" s="20" t="s">
        <v>198</v>
      </c>
    </row>
    <row r="58" spans="1:8" x14ac:dyDescent="0.25">
      <c r="A58" s="20" t="s">
        <v>93</v>
      </c>
      <c r="B58">
        <f>AVERAGE(C14:C17)</f>
        <v>7285</v>
      </c>
      <c r="C58" s="70" t="s">
        <v>121</v>
      </c>
      <c r="E58" s="20" t="s">
        <v>198</v>
      </c>
    </row>
    <row r="59" spans="1:8" x14ac:dyDescent="0.25">
      <c r="A59" s="20" t="s">
        <v>94</v>
      </c>
      <c r="B59" s="61">
        <f>AVERAGE(D14:D17)</f>
        <v>443425</v>
      </c>
      <c r="C59" s="70" t="s">
        <v>19</v>
      </c>
      <c r="E59" s="20" t="s">
        <v>198</v>
      </c>
    </row>
    <row r="60" spans="1:8" x14ac:dyDescent="0.25">
      <c r="A60" s="20" t="s">
        <v>95</v>
      </c>
      <c r="B60" s="61">
        <f>AVERAGE(E14:E17)</f>
        <v>3279937</v>
      </c>
      <c r="C60" s="70" t="s">
        <v>20</v>
      </c>
      <c r="E60" s="20" t="s">
        <v>198</v>
      </c>
    </row>
    <row r="61" spans="1:8" x14ac:dyDescent="0.25">
      <c r="A61" s="20" t="s">
        <v>96</v>
      </c>
      <c r="B61" s="34">
        <f>B35</f>
        <v>30.000065786964903</v>
      </c>
      <c r="C61" s="70" t="s">
        <v>142</v>
      </c>
    </row>
    <row r="62" spans="1:8" x14ac:dyDescent="0.25">
      <c r="A62" s="20" t="s">
        <v>97</v>
      </c>
      <c r="B62" s="34">
        <f>B41</f>
        <v>50.000015542927279</v>
      </c>
      <c r="C62" s="70" t="s">
        <v>143</v>
      </c>
    </row>
    <row r="63" spans="1:8" x14ac:dyDescent="0.25">
      <c r="A63" s="20" t="s">
        <v>98</v>
      </c>
      <c r="B63">
        <f>B48</f>
        <v>219.99995396195729</v>
      </c>
      <c r="C63" s="63" t="s">
        <v>124</v>
      </c>
    </row>
    <row r="64" spans="1:8" x14ac:dyDescent="0.25">
      <c r="A64" s="20" t="s">
        <v>99</v>
      </c>
      <c r="B64" s="71">
        <v>1</v>
      </c>
      <c r="C64" s="70" t="s">
        <v>125</v>
      </c>
    </row>
    <row r="65" spans="1:15" x14ac:dyDescent="0.25">
      <c r="A65" s="20" t="s">
        <v>58</v>
      </c>
      <c r="B65">
        <f>B23</f>
        <v>3</v>
      </c>
      <c r="C65" s="70" t="s">
        <v>56</v>
      </c>
    </row>
    <row r="66" spans="1:15" x14ac:dyDescent="0.25">
      <c r="A66" s="20" t="s">
        <v>59</v>
      </c>
      <c r="B66">
        <f>B24</f>
        <v>2</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14100</v>
      </c>
      <c r="C72" s="41">
        <f t="shared" si="2"/>
        <v>5161</v>
      </c>
      <c r="D72" s="41">
        <f t="shared" si="2"/>
        <v>463768</v>
      </c>
      <c r="E72" s="41">
        <f t="shared" si="2"/>
        <v>3332184</v>
      </c>
      <c r="F72" s="41"/>
      <c r="G72" s="61">
        <f>B$57 + C$56* (((D72-B$59)*COS(RADIANS(B$63)) - (E72-B$60)*SIN(RADIANS(B$63))) * (B$65/(B$64*B$61)) )</f>
        <v>14100.000000173168</v>
      </c>
      <c r="H72" s="61">
        <f>B$58 + (((D72-B$59)*SIN(RADIANS(B$63)) + (E72-B$60)*COS(RADIANS(B$63))) * (B$66/(B$64*B$62)) )</f>
        <v>5161.0099871877646</v>
      </c>
      <c r="I72" s="61">
        <f>B$59 + C$56* ((B72-B$57)*COS(RADIANS(B$63))*B$64*B$61/B$65) + ((C72-B$58)*SIN(RADIANS(B$63))*B$64*B$62/B$66)</f>
        <v>463768.16048958345</v>
      </c>
      <c r="J72" s="61">
        <f>B$60 - C$56* ((B72-B$57)*SIN(RADIANS(B$63))*B$64*B$61/B$65) + ((C72-B$58)*COS(RADIANS(B$63))*B$64*B$62/B$66)</f>
        <v>3332184.1912670438</v>
      </c>
      <c r="L72" s="45">
        <f t="shared" ref="L72:O75" si="3">B72-G72</f>
        <v>-1.7316779121756554E-7</v>
      </c>
      <c r="M72" s="45">
        <f t="shared" si="3"/>
        <v>-9.9871877646364737E-3</v>
      </c>
      <c r="N72" s="44">
        <f t="shared" si="3"/>
        <v>-0.16048958344617859</v>
      </c>
      <c r="O72" s="44">
        <f t="shared" si="3"/>
        <v>-0.19126704381778836</v>
      </c>
    </row>
    <row r="73" spans="1:15" x14ac:dyDescent="0.25">
      <c r="A73" s="41" t="str">
        <f t="shared" ref="A73:E75" si="4">A15</f>
        <v>B</v>
      </c>
      <c r="B73" s="41">
        <f t="shared" si="4"/>
        <v>14100</v>
      </c>
      <c r="C73" s="41">
        <f t="shared" si="4"/>
        <v>9409</v>
      </c>
      <c r="D73" s="41">
        <f t="shared" si="4"/>
        <v>395504</v>
      </c>
      <c r="E73" s="41">
        <f t="shared" si="4"/>
        <v>3250830</v>
      </c>
      <c r="F73" s="46" t="s">
        <v>151</v>
      </c>
      <c r="G73" s="61">
        <f>B$57 + C$56* (((D73-B$59)*COS(RADIANS(B$63)) - (E73-B$60)*SIN(RADIANS(B$63))) * (B$65/(B$64*B$61)) )</f>
        <v>14100.000000173164</v>
      </c>
      <c r="H73" s="61">
        <f>B$58 + (((D73-B$59)*SIN(RADIANS(B$63)) + (E73-B$60)*COS(RADIANS(B$63))) * (B$66/(B$64*B$62)) )</f>
        <v>9409.0099871877646</v>
      </c>
      <c r="I73" s="61">
        <f>B$59 + C$56* ((B73-B$57)*COS(RADIANS(B$63))*B$64*B$61/B$65) + ((C73-B$58)*SIN(RADIANS(B$63))*B$64*B$62/B$66)</f>
        <v>395504.16048958345</v>
      </c>
      <c r="J73" s="61">
        <f>B$60 - C$56* ((B73-B$57)*SIN(RADIANS(B$63))*B$64*B$61/B$65) + ((C73-B$58)*COS(RADIANS(B$63))*B$64*B$62/B$66)</f>
        <v>3250830.1912670438</v>
      </c>
      <c r="L73" s="45">
        <f t="shared" si="3"/>
        <v>-1.7316415323875844E-7</v>
      </c>
      <c r="M73" s="45">
        <f t="shared" si="3"/>
        <v>-9.9871877646364737E-3</v>
      </c>
      <c r="N73" s="44">
        <f t="shared" si="3"/>
        <v>-0.16048958344617859</v>
      </c>
      <c r="O73" s="44">
        <f t="shared" si="3"/>
        <v>-0.19126704381778836</v>
      </c>
    </row>
    <row r="74" spans="1:15" x14ac:dyDescent="0.25">
      <c r="A74" s="41" t="str">
        <f t="shared" si="4"/>
        <v>C</v>
      </c>
      <c r="B74" s="41">
        <f t="shared" si="4"/>
        <v>17700</v>
      </c>
      <c r="C74" s="41">
        <f t="shared" si="4"/>
        <v>5161</v>
      </c>
      <c r="D74" s="41">
        <f t="shared" si="4"/>
        <v>491346</v>
      </c>
      <c r="E74" s="41">
        <f t="shared" si="4"/>
        <v>3309044</v>
      </c>
      <c r="F74" s="41"/>
      <c r="G74" s="61">
        <f>B$57 + C$56* (((D74-B$59)*COS(RADIANS(B$63)) - (E74-B$60)*SIN(RADIANS(B$63))) * (B$65/(B$64*B$61)) )</f>
        <v>17699.999999826836</v>
      </c>
      <c r="H74" s="61">
        <f>B$58 + (((D74-B$59)*SIN(RADIANS(B$63)) + (E74-B$60)*COS(RADIANS(B$63))) * (B$66/(B$64*B$62)) )</f>
        <v>5160.9900128122363</v>
      </c>
      <c r="I74" s="61">
        <f>B$59 + C$56* ((B74-B$57)*COS(RADIANS(B$63))*B$64*B$61/B$65) + ((C74-B$58)*SIN(RADIANS(B$63))*B$64*B$62/B$66)</f>
        <v>491345.83951041655</v>
      </c>
      <c r="J74" s="61">
        <f>B$60 - C$56* ((B74-B$57)*SIN(RADIANS(B$63))*B$64*B$61/B$65) + ((C74-B$58)*COS(RADIANS(B$63))*B$64*B$62/B$66)</f>
        <v>3309043.8087329562</v>
      </c>
      <c r="L74" s="45">
        <f t="shared" si="3"/>
        <v>1.7316415323875844E-7</v>
      </c>
      <c r="M74" s="45">
        <f t="shared" si="3"/>
        <v>9.987187763726979E-3</v>
      </c>
      <c r="N74" s="44">
        <f t="shared" si="3"/>
        <v>0.16048958344617859</v>
      </c>
      <c r="O74" s="44">
        <f t="shared" si="3"/>
        <v>0.19126704381778836</v>
      </c>
    </row>
    <row r="75" spans="1:15" x14ac:dyDescent="0.25">
      <c r="A75" s="41" t="str">
        <f t="shared" si="4"/>
        <v>D</v>
      </c>
      <c r="B75" s="41">
        <f t="shared" si="4"/>
        <v>17700</v>
      </c>
      <c r="C75" s="41">
        <f t="shared" si="4"/>
        <v>9409</v>
      </c>
      <c r="D75" s="41">
        <f t="shared" si="4"/>
        <v>423082</v>
      </c>
      <c r="E75" s="41">
        <f t="shared" si="4"/>
        <v>3227690</v>
      </c>
      <c r="F75" s="41"/>
      <c r="G75" s="61">
        <f>B$57 + C$56* (((D75-B$59)*COS(RADIANS(B$63)) - (E75-B$60)*SIN(RADIANS(B$63))) * (B$65/(B$64*B$61)) )</f>
        <v>17699.999999826832</v>
      </c>
      <c r="H75" s="61">
        <f>B$58 + (((D75-B$59)*SIN(RADIANS(B$63)) + (E75-B$60)*COS(RADIANS(B$63))) * (B$66/(B$64*B$62)) )</f>
        <v>9408.9900128122354</v>
      </c>
      <c r="I75" s="61">
        <f>B$59 + C$56* ((B75-B$57)*COS(RADIANS(B$63))*B$64*B$61/B$65) + ((C75-B$58)*SIN(RADIANS(B$63))*B$64*B$62/B$66)</f>
        <v>423081.83951041655</v>
      </c>
      <c r="J75" s="61">
        <f>B$60 - C$56* ((B75-B$57)*SIN(RADIANS(B$63))*B$64*B$61/B$65) + ((C75-B$58)*COS(RADIANS(B$63))*B$64*B$62/B$66)</f>
        <v>3227689.8087329562</v>
      </c>
      <c r="L75" s="45">
        <f t="shared" si="3"/>
        <v>1.7316779121756554E-7</v>
      </c>
      <c r="M75" s="45">
        <f t="shared" si="3"/>
        <v>9.9871877646364737E-3</v>
      </c>
      <c r="N75" s="44">
        <f t="shared" si="3"/>
        <v>0.16048958344617859</v>
      </c>
      <c r="O75" s="44">
        <f t="shared" si="3"/>
        <v>0.19126704381778836</v>
      </c>
    </row>
    <row r="76" spans="1:15" x14ac:dyDescent="0.25">
      <c r="K76" s="74" t="s">
        <v>137</v>
      </c>
      <c r="L76" s="81">
        <f>MAX(MAX(L72:L75),-MIN(L72:L75))</f>
        <v>1.7316779121756554E-7</v>
      </c>
      <c r="M76" s="81">
        <f>MAX(MAX(M72:M75),-MIN(M72:M75))</f>
        <v>9.9871877646364737E-3</v>
      </c>
      <c r="N76" s="7" t="s">
        <v>150</v>
      </c>
    </row>
    <row r="78" spans="1:15" x14ac:dyDescent="0.25">
      <c r="A78" t="s">
        <v>153</v>
      </c>
      <c r="B78" t="str">
        <f>IF(AND(MAX(MAX(N72:N75),-MIN(N72:N75))&lt;1.5, MAX(MAX(O72:O75),-MIN(O72:O75))&lt;1.5), "PASS", "FAIL")</f>
        <v>PASS</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AEBB25-C7E5-460C-8A75-C87B52A41742}">
  <sheetPr>
    <tabColor theme="9" tint="0.59999389629810485"/>
  </sheetPr>
  <dimension ref="A1:O79"/>
  <sheetViews>
    <sheetView topLeftCell="A40" workbookViewId="0">
      <selection activeCell="E63" sqref="E63"/>
    </sheetView>
  </sheetViews>
  <sheetFormatPr defaultRowHeight="15" x14ac:dyDescent="0.25"/>
  <cols>
    <col min="1" max="1" width="23.5703125" customWidth="1"/>
    <col min="2" max="3" width="15.7109375" customWidth="1"/>
    <col min="4" max="4" width="10.5703125" customWidth="1"/>
    <col min="5" max="6" width="12.42578125" customWidth="1"/>
    <col min="7" max="10" width="12.85546875" customWidth="1"/>
    <col min="11" max="11" width="6.7109375" customWidth="1"/>
    <col min="12" max="15" width="12.85546875" customWidth="1"/>
  </cols>
  <sheetData>
    <row r="1" spans="1:13" x14ac:dyDescent="0.25">
      <c r="A1" s="84" t="s">
        <v>192</v>
      </c>
      <c r="B1" t="s">
        <v>191</v>
      </c>
    </row>
    <row r="4" spans="1:13" x14ac:dyDescent="0.25">
      <c r="C4" s="7"/>
    </row>
    <row r="5" spans="1:13" x14ac:dyDescent="0.25">
      <c r="A5" s="20" t="s">
        <v>144</v>
      </c>
    </row>
    <row r="6" spans="1:13" x14ac:dyDescent="0.25">
      <c r="A6" s="20" t="s">
        <v>2</v>
      </c>
    </row>
    <row r="7" spans="1:13" x14ac:dyDescent="0.25">
      <c r="A7" s="20" t="s">
        <v>162</v>
      </c>
    </row>
    <row r="8" spans="1:13" x14ac:dyDescent="0.25">
      <c r="A8" s="13"/>
      <c r="C8" s="7"/>
    </row>
    <row r="9" spans="1:13" x14ac:dyDescent="0.25">
      <c r="A9" s="2" t="s">
        <v>55</v>
      </c>
      <c r="B9" s="2"/>
      <c r="C9" s="2"/>
      <c r="D9" s="2"/>
      <c r="E9" s="2"/>
      <c r="F9" s="2"/>
      <c r="G9" s="2"/>
      <c r="H9" s="2"/>
      <c r="L9" s="12"/>
      <c r="M9" s="8"/>
    </row>
    <row r="10" spans="1:13" x14ac:dyDescent="0.25">
      <c r="A10" s="1" t="s">
        <v>46</v>
      </c>
      <c r="B10" s="9" t="s">
        <v>51</v>
      </c>
      <c r="D10" s="10" t="s">
        <v>178</v>
      </c>
      <c r="E10" s="9" t="s">
        <v>52</v>
      </c>
      <c r="F10" s="9"/>
    </row>
    <row r="11" spans="1:13" x14ac:dyDescent="0.25">
      <c r="A11" s="1" t="s">
        <v>47</v>
      </c>
      <c r="B11" t="s">
        <v>177</v>
      </c>
      <c r="D11" s="10" t="s">
        <v>179</v>
      </c>
      <c r="E11" t="s">
        <v>180</v>
      </c>
    </row>
    <row r="12" spans="1:13" x14ac:dyDescent="0.25">
      <c r="A12" s="20"/>
      <c r="B12" s="6"/>
      <c r="C12" s="3"/>
      <c r="D12" s="4"/>
      <c r="E12" s="4"/>
      <c r="F12" s="4"/>
    </row>
    <row r="13" spans="1:13" ht="15.75" thickBot="1" x14ac:dyDescent="0.3">
      <c r="A13" s="29" t="s">
        <v>16</v>
      </c>
      <c r="B13" s="29" t="s">
        <v>14</v>
      </c>
      <c r="C13" s="29" t="s">
        <v>15</v>
      </c>
      <c r="D13" s="30" t="s">
        <v>17</v>
      </c>
      <c r="E13" s="30" t="s">
        <v>18</v>
      </c>
    </row>
    <row r="14" spans="1:13" x14ac:dyDescent="0.25">
      <c r="A14" s="62" t="s">
        <v>3</v>
      </c>
      <c r="B14" s="23">
        <v>14100</v>
      </c>
      <c r="C14" s="24">
        <v>5161</v>
      </c>
      <c r="D14" s="35">
        <v>423082</v>
      </c>
      <c r="E14" s="36">
        <v>3227690</v>
      </c>
      <c r="F14" s="72"/>
      <c r="G14" s="20" t="s">
        <v>105</v>
      </c>
    </row>
    <row r="15" spans="1:13" x14ac:dyDescent="0.25">
      <c r="A15" s="62" t="s">
        <v>4</v>
      </c>
      <c r="B15" s="25">
        <v>14100</v>
      </c>
      <c r="C15" s="26">
        <v>9409</v>
      </c>
      <c r="D15" s="37">
        <v>395504</v>
      </c>
      <c r="E15" s="38">
        <v>3250830</v>
      </c>
      <c r="F15" s="72"/>
      <c r="G15" s="20" t="s">
        <v>108</v>
      </c>
    </row>
    <row r="16" spans="1:13" x14ac:dyDescent="0.25">
      <c r="A16" s="62" t="s">
        <v>5</v>
      </c>
      <c r="B16" s="25">
        <v>17700</v>
      </c>
      <c r="C16" s="26">
        <v>5161</v>
      </c>
      <c r="D16" s="37">
        <v>491346</v>
      </c>
      <c r="E16" s="38">
        <v>3309044</v>
      </c>
      <c r="F16" s="72"/>
      <c r="G16" s="20" t="s">
        <v>107</v>
      </c>
    </row>
    <row r="17" spans="1:13" ht="15.75" thickBot="1" x14ac:dyDescent="0.3">
      <c r="A17" s="62" t="s">
        <v>6</v>
      </c>
      <c r="B17" s="27">
        <v>17700</v>
      </c>
      <c r="C17" s="28">
        <v>9409</v>
      </c>
      <c r="D17" s="39">
        <v>463768</v>
      </c>
      <c r="E17" s="40">
        <v>3332184</v>
      </c>
      <c r="F17" s="72"/>
      <c r="G17" s="20" t="s">
        <v>106</v>
      </c>
    </row>
    <row r="18" spans="1:13" x14ac:dyDescent="0.25">
      <c r="A18" s="3"/>
      <c r="B18" s="21"/>
      <c r="C18" s="21"/>
      <c r="D18" s="22"/>
      <c r="E18" s="22"/>
      <c r="F18" s="4"/>
    </row>
    <row r="19" spans="1:13" x14ac:dyDescent="0.25">
      <c r="A19" s="6" t="s">
        <v>110</v>
      </c>
      <c r="C19" s="3"/>
      <c r="D19" s="4"/>
      <c r="E19" s="4"/>
      <c r="F19" s="4"/>
    </row>
    <row r="20" spans="1:13" x14ac:dyDescent="0.25">
      <c r="A20" s="6" t="s">
        <v>109</v>
      </c>
      <c r="C20" s="3"/>
      <c r="D20" s="4"/>
      <c r="E20" s="4"/>
      <c r="F20" s="4"/>
    </row>
    <row r="21" spans="1:13" x14ac:dyDescent="0.25">
      <c r="A21" s="3"/>
      <c r="B21" s="6"/>
      <c r="C21" s="3"/>
      <c r="D21" s="4"/>
      <c r="E21" s="4"/>
      <c r="F21" s="4"/>
    </row>
    <row r="22" spans="1:13" x14ac:dyDescent="0.25">
      <c r="A22" s="2" t="s">
        <v>145</v>
      </c>
      <c r="B22" s="2"/>
      <c r="C22" s="2"/>
      <c r="D22" s="2"/>
      <c r="E22" s="2"/>
      <c r="F22" s="2"/>
      <c r="G22" s="2"/>
      <c r="H22" s="2"/>
      <c r="I22" s="2"/>
      <c r="J22" s="2"/>
      <c r="L22" s="12"/>
      <c r="M22" s="8"/>
    </row>
    <row r="23" spans="1:13" x14ac:dyDescent="0.25">
      <c r="A23" s="75" t="s">
        <v>58</v>
      </c>
      <c r="B23" s="26">
        <v>3</v>
      </c>
      <c r="C23" s="7"/>
      <c r="E23" t="s">
        <v>163</v>
      </c>
      <c r="F23" s="20"/>
    </row>
    <row r="24" spans="1:13" x14ac:dyDescent="0.25">
      <c r="A24" s="75" t="s">
        <v>59</v>
      </c>
      <c r="B24" s="26">
        <v>2</v>
      </c>
      <c r="C24" s="7"/>
      <c r="E24" t="s">
        <v>164</v>
      </c>
      <c r="F24" s="20"/>
    </row>
    <row r="26" spans="1:13" x14ac:dyDescent="0.25">
      <c r="A26" s="20"/>
      <c r="B26" s="6"/>
      <c r="C26" s="3"/>
      <c r="D26" s="4"/>
      <c r="E26" s="4"/>
      <c r="F26" s="4"/>
    </row>
    <row r="27" spans="1:13" x14ac:dyDescent="0.25">
      <c r="A27" s="76" t="s">
        <v>148</v>
      </c>
      <c r="C27" s="7"/>
    </row>
    <row r="29" spans="1:13" x14ac:dyDescent="0.25">
      <c r="A29" s="2" t="s">
        <v>118</v>
      </c>
      <c r="B29" s="2"/>
      <c r="C29" s="2"/>
      <c r="D29" s="2"/>
      <c r="E29" s="2"/>
      <c r="F29" s="2"/>
      <c r="G29" s="2"/>
      <c r="H29" s="2"/>
    </row>
    <row r="30" spans="1:13" x14ac:dyDescent="0.25">
      <c r="A30" s="13" t="s">
        <v>123</v>
      </c>
      <c r="B30" s="5" t="s">
        <v>22</v>
      </c>
      <c r="E30" s="7" t="s">
        <v>119</v>
      </c>
      <c r="F30" s="7"/>
    </row>
    <row r="31" spans="1:13" x14ac:dyDescent="0.25">
      <c r="A31" s="13"/>
      <c r="C31" s="7"/>
    </row>
    <row r="32" spans="1:13" x14ac:dyDescent="0.25">
      <c r="A32" s="2" t="s">
        <v>146</v>
      </c>
      <c r="B32" s="2"/>
      <c r="C32" s="2"/>
      <c r="D32" s="2"/>
      <c r="E32" s="2"/>
      <c r="F32" s="2"/>
      <c r="G32" s="2"/>
      <c r="H32" s="2"/>
    </row>
    <row r="33" spans="1:8" x14ac:dyDescent="0.25">
      <c r="A33" s="11" t="s">
        <v>60</v>
      </c>
      <c r="B33" s="73">
        <f>SQRT((E16-E14)^2+(D16-D14)^2)</f>
        <v>106200.03301317754</v>
      </c>
      <c r="C33" s="63" t="str">
        <f>B$30</f>
        <v>m</v>
      </c>
      <c r="E33" s="7" t="s">
        <v>1</v>
      </c>
      <c r="F33" s="7"/>
    </row>
    <row r="34" spans="1:8" x14ac:dyDescent="0.25">
      <c r="A34" s="11" t="s">
        <v>34</v>
      </c>
      <c r="B34" s="73">
        <f>SQRT((E17-E15)^2+(D17-D15)^2)</f>
        <v>106200.03301317754</v>
      </c>
      <c r="C34" s="63" t="str">
        <f t="shared" ref="C34:C36" si="0">B$30</f>
        <v>m</v>
      </c>
    </row>
    <row r="35" spans="1:8" x14ac:dyDescent="0.25">
      <c r="A35" s="13" t="s">
        <v>142</v>
      </c>
      <c r="B35" s="66">
        <f>B23 * AVERAGE(B33,B34) / (B16-B14)</f>
        <v>88.500027510981269</v>
      </c>
      <c r="C35" s="63" t="str">
        <f t="shared" si="0"/>
        <v>m</v>
      </c>
      <c r="E35" s="20" t="s">
        <v>141</v>
      </c>
      <c r="F35" s="20"/>
    </row>
    <row r="36" spans="1:8" x14ac:dyDescent="0.25">
      <c r="A36" s="13"/>
      <c r="B36" s="5" t="str">
        <f>TEXT(B35,"0.000000")</f>
        <v>88.500028</v>
      </c>
      <c r="C36" s="63" t="str">
        <f t="shared" si="0"/>
        <v>m</v>
      </c>
      <c r="E36" t="s">
        <v>87</v>
      </c>
    </row>
    <row r="37" spans="1:8" x14ac:dyDescent="0.25">
      <c r="A37" s="13"/>
      <c r="C37" s="7"/>
    </row>
    <row r="38" spans="1:8" x14ac:dyDescent="0.25">
      <c r="A38" s="2" t="s">
        <v>147</v>
      </c>
      <c r="B38" s="2"/>
      <c r="C38" s="2"/>
      <c r="D38" s="2"/>
      <c r="E38" s="2"/>
      <c r="F38" s="2"/>
      <c r="G38" s="2"/>
      <c r="H38" s="2"/>
    </row>
    <row r="39" spans="1:8" x14ac:dyDescent="0.25">
      <c r="A39" s="11" t="s">
        <v>61</v>
      </c>
      <c r="B39" s="73">
        <f>SQRT((E15-E14)^2+(D15-D14)^2)</f>
        <v>36000.078944357883</v>
      </c>
      <c r="C39" s="63" t="str">
        <f>B$30</f>
        <v>m</v>
      </c>
    </row>
    <row r="40" spans="1:8" x14ac:dyDescent="0.25">
      <c r="A40" s="11" t="s">
        <v>33</v>
      </c>
      <c r="B40" s="73">
        <f>SQRT((E17-E16)^2+(D17-D16)^2)</f>
        <v>36000.078944357883</v>
      </c>
      <c r="C40" s="63" t="str">
        <f t="shared" ref="C40:C42" si="1">B$30</f>
        <v>m</v>
      </c>
    </row>
    <row r="41" spans="1:8" x14ac:dyDescent="0.25">
      <c r="A41" s="13" t="s">
        <v>143</v>
      </c>
      <c r="B41" s="66">
        <f>B24 * AVERAGE(B39,B40) / (C15-C14)</f>
        <v>16.949189710149664</v>
      </c>
      <c r="C41" s="63" t="str">
        <f t="shared" si="1"/>
        <v>m</v>
      </c>
      <c r="E41" s="20" t="s">
        <v>140</v>
      </c>
      <c r="F41" s="20"/>
    </row>
    <row r="42" spans="1:8" x14ac:dyDescent="0.25">
      <c r="A42" s="13"/>
      <c r="B42" s="5" t="str">
        <f>TEXT(B41,"0.000000")</f>
        <v>16.949190</v>
      </c>
      <c r="C42" s="63" t="str">
        <f t="shared" si="1"/>
        <v>m</v>
      </c>
      <c r="E42" t="s">
        <v>87</v>
      </c>
    </row>
    <row r="44" spans="1:8" x14ac:dyDescent="0.25">
      <c r="A44" s="2" t="s">
        <v>88</v>
      </c>
      <c r="B44" s="2"/>
      <c r="C44" s="2"/>
      <c r="D44" s="2"/>
      <c r="E44" s="2"/>
      <c r="F44" s="2"/>
      <c r="G44" s="2"/>
      <c r="H44" s="2"/>
    </row>
    <row r="45" spans="1:8" x14ac:dyDescent="0.25">
      <c r="A45" s="11" t="s">
        <v>84</v>
      </c>
      <c r="B45">
        <f>DEGREES(ATAN2(E15-E14,D15-D14))</f>
        <v>-50.000840791697122</v>
      </c>
      <c r="C45" s="70" t="s">
        <v>0</v>
      </c>
      <c r="E45" t="s">
        <v>126</v>
      </c>
    </row>
    <row r="46" spans="1:8" x14ac:dyDescent="0.25">
      <c r="A46" s="11" t="s">
        <v>85</v>
      </c>
      <c r="B46">
        <f>DEGREES(ATAN2(E17-E16,D17-D16))</f>
        <v>-50.000840791697122</v>
      </c>
      <c r="C46" s="70" t="s">
        <v>0</v>
      </c>
      <c r="E46" t="s">
        <v>31</v>
      </c>
    </row>
    <row r="47" spans="1:8" x14ac:dyDescent="0.25">
      <c r="A47" t="s">
        <v>104</v>
      </c>
      <c r="B47">
        <f>DEGREES(ATAN2(COS(RADIANS(B45))+COS(RADIANS(B46)), SIN(RADIANS(B45))+SIN(RADIANS(B46))))</f>
        <v>-50.000840791697122</v>
      </c>
      <c r="C47" s="70" t="s">
        <v>0</v>
      </c>
      <c r="E47" t="s">
        <v>101</v>
      </c>
    </row>
    <row r="48" spans="1:8" x14ac:dyDescent="0.25">
      <c r="A48" s="13" t="s">
        <v>72</v>
      </c>
      <c r="B48">
        <f>IF(B47&lt;0,B47+360,B47)</f>
        <v>309.9991592083029</v>
      </c>
      <c r="C48" s="70" t="s">
        <v>0</v>
      </c>
      <c r="E48" s="20" t="s">
        <v>102</v>
      </c>
      <c r="F48" s="20"/>
    </row>
    <row r="49" spans="1:8" x14ac:dyDescent="0.25">
      <c r="B49" s="5" t="str">
        <f>TEXT(B47,"0.00000")</f>
        <v>-50.00084</v>
      </c>
      <c r="C49" s="70" t="s">
        <v>0</v>
      </c>
      <c r="E49" t="s">
        <v>86</v>
      </c>
    </row>
    <row r="51" spans="1:8" x14ac:dyDescent="0.25">
      <c r="A51" s="2" t="s">
        <v>90</v>
      </c>
      <c r="B51" s="2"/>
      <c r="C51" s="2"/>
      <c r="D51" s="2"/>
      <c r="E51" s="2"/>
      <c r="F51" s="2"/>
      <c r="G51" s="2"/>
      <c r="H51" s="2"/>
    </row>
    <row r="52" spans="1:8" x14ac:dyDescent="0.25">
      <c r="A52" s="13" t="s">
        <v>89</v>
      </c>
      <c r="B52" t="str">
        <f>IF((D16-D14)*COS(RADIANS(B48)) &gt; (E16-E14)*SIN(RADIANS(B48)), "RIGHT-HANDED","LEFT-HANDED")</f>
        <v>RIGHT-HANDED</v>
      </c>
      <c r="E52" s="20" t="s">
        <v>91</v>
      </c>
      <c r="F52" s="20"/>
    </row>
    <row r="54" spans="1:8" x14ac:dyDescent="0.25">
      <c r="A54" s="2" t="s">
        <v>199</v>
      </c>
      <c r="B54" s="2"/>
      <c r="C54" s="2"/>
      <c r="D54" s="2"/>
      <c r="E54" s="2"/>
      <c r="F54" s="2"/>
      <c r="G54" s="2"/>
      <c r="H54" s="2"/>
    </row>
    <row r="55" spans="1:8" x14ac:dyDescent="0.25">
      <c r="A55" s="43" t="s">
        <v>115</v>
      </c>
      <c r="B55" s="43" t="s">
        <v>116</v>
      </c>
      <c r="C55" s="43" t="s">
        <v>117</v>
      </c>
    </row>
    <row r="56" spans="1:8" x14ac:dyDescent="0.25">
      <c r="A56" s="20" t="s">
        <v>100</v>
      </c>
      <c r="B56">
        <f>IF(B52="RIGHT-HANDED", 9666, 1049)</f>
        <v>9666</v>
      </c>
      <c r="C56">
        <f>IF(B56=9666, 1, -1)</f>
        <v>1</v>
      </c>
      <c r="E56" s="20" t="s">
        <v>135</v>
      </c>
    </row>
    <row r="57" spans="1:8" x14ac:dyDescent="0.25">
      <c r="A57" s="20" t="s">
        <v>92</v>
      </c>
      <c r="B57">
        <f>AVERAGE(B14:B17)</f>
        <v>15900</v>
      </c>
      <c r="C57" s="70" t="s">
        <v>120</v>
      </c>
      <c r="E57" s="20" t="s">
        <v>198</v>
      </c>
    </row>
    <row r="58" spans="1:8" x14ac:dyDescent="0.25">
      <c r="A58" s="20" t="s">
        <v>93</v>
      </c>
      <c r="B58">
        <f>AVERAGE(C14:C17)</f>
        <v>7285</v>
      </c>
      <c r="C58" s="70" t="s">
        <v>121</v>
      </c>
      <c r="E58" s="20" t="s">
        <v>198</v>
      </c>
    </row>
    <row r="59" spans="1:8" x14ac:dyDescent="0.25">
      <c r="A59" s="20" t="s">
        <v>94</v>
      </c>
      <c r="B59" s="61">
        <f>AVERAGE(D14:D17)</f>
        <v>443425</v>
      </c>
      <c r="C59" s="70" t="s">
        <v>19</v>
      </c>
      <c r="E59" s="20" t="s">
        <v>198</v>
      </c>
    </row>
    <row r="60" spans="1:8" x14ac:dyDescent="0.25">
      <c r="A60" s="20" t="s">
        <v>95</v>
      </c>
      <c r="B60" s="61">
        <f>AVERAGE(E14:E17)</f>
        <v>3279937</v>
      </c>
      <c r="C60" s="70" t="s">
        <v>20</v>
      </c>
      <c r="E60" s="20" t="s">
        <v>198</v>
      </c>
    </row>
    <row r="61" spans="1:8" x14ac:dyDescent="0.25">
      <c r="A61" s="20" t="s">
        <v>96</v>
      </c>
      <c r="B61" s="34">
        <f>B35</f>
        <v>88.500027510981269</v>
      </c>
      <c r="C61" s="70" t="s">
        <v>142</v>
      </c>
    </row>
    <row r="62" spans="1:8" x14ac:dyDescent="0.25">
      <c r="A62" s="20" t="s">
        <v>97</v>
      </c>
      <c r="B62" s="34">
        <f>B41</f>
        <v>16.949189710149664</v>
      </c>
      <c r="C62" s="70" t="s">
        <v>143</v>
      </c>
    </row>
    <row r="63" spans="1:8" x14ac:dyDescent="0.25">
      <c r="A63" s="20" t="s">
        <v>98</v>
      </c>
      <c r="B63">
        <f>B48</f>
        <v>309.9991592083029</v>
      </c>
      <c r="C63" s="63" t="s">
        <v>124</v>
      </c>
    </row>
    <row r="64" spans="1:8" x14ac:dyDescent="0.25">
      <c r="A64" s="20" t="s">
        <v>99</v>
      </c>
      <c r="B64" s="71">
        <v>1</v>
      </c>
      <c r="C64" s="70" t="s">
        <v>125</v>
      </c>
    </row>
    <row r="65" spans="1:15" x14ac:dyDescent="0.25">
      <c r="A65" s="20" t="s">
        <v>58</v>
      </c>
      <c r="B65">
        <f>B23</f>
        <v>3</v>
      </c>
      <c r="C65" s="70" t="s">
        <v>56</v>
      </c>
    </row>
    <row r="66" spans="1:15" x14ac:dyDescent="0.25">
      <c r="A66" s="20" t="s">
        <v>59</v>
      </c>
      <c r="B66">
        <f>B24</f>
        <v>2</v>
      </c>
      <c r="C66" s="70" t="s">
        <v>57</v>
      </c>
    </row>
    <row r="68" spans="1:15" x14ac:dyDescent="0.25">
      <c r="A68" s="2" t="s">
        <v>103</v>
      </c>
      <c r="B68" s="2"/>
      <c r="C68" s="2"/>
      <c r="D68" s="2"/>
      <c r="E68" s="2"/>
      <c r="F68" s="2"/>
      <c r="G68" s="2"/>
      <c r="H68" s="2"/>
    </row>
    <row r="70" spans="1:15" x14ac:dyDescent="0.25">
      <c r="A70" s="15" t="s">
        <v>132</v>
      </c>
      <c r="B70" s="7" t="s">
        <v>122</v>
      </c>
      <c r="C70" s="7" t="s">
        <v>37</v>
      </c>
      <c r="D70" s="7" t="s">
        <v>122</v>
      </c>
      <c r="E70" s="7" t="s">
        <v>37</v>
      </c>
      <c r="F70" s="46"/>
      <c r="G70" s="78" t="s">
        <v>131</v>
      </c>
      <c r="H70" s="79"/>
      <c r="I70" s="78" t="s">
        <v>136</v>
      </c>
      <c r="J70" s="79"/>
      <c r="L70" s="80" t="s">
        <v>149</v>
      </c>
      <c r="M70" s="78"/>
      <c r="N70" s="5"/>
      <c r="O70" s="5"/>
    </row>
    <row r="71" spans="1:15" x14ac:dyDescent="0.25">
      <c r="A71" s="41" t="str">
        <f>A13</f>
        <v>Point Sequence*</v>
      </c>
      <c r="B71" s="41" t="str">
        <f t="shared" ref="B71:E72" si="2">B13</f>
        <v>Inline (integer)</v>
      </c>
      <c r="C71" s="41" t="str">
        <f t="shared" si="2"/>
        <v>Crossline (integer)</v>
      </c>
      <c r="D71" s="41" t="str">
        <f t="shared" si="2"/>
        <v>Easting (X)</v>
      </c>
      <c r="E71" s="41" t="str">
        <f t="shared" si="2"/>
        <v>Northing (Y)</v>
      </c>
      <c r="F71" s="42"/>
      <c r="G71" s="43" t="s">
        <v>133</v>
      </c>
      <c r="H71" s="43" t="s">
        <v>134</v>
      </c>
      <c r="I71" s="43" t="s">
        <v>35</v>
      </c>
      <c r="J71" s="43" t="s">
        <v>36</v>
      </c>
      <c r="L71" s="43" t="s">
        <v>138</v>
      </c>
      <c r="M71" s="43" t="s">
        <v>139</v>
      </c>
      <c r="N71" s="43" t="s">
        <v>38</v>
      </c>
      <c r="O71" s="43" t="s">
        <v>39</v>
      </c>
    </row>
    <row r="72" spans="1:15" x14ac:dyDescent="0.25">
      <c r="A72" s="41" t="str">
        <f>A14</f>
        <v>A</v>
      </c>
      <c r="B72" s="41">
        <f t="shared" si="2"/>
        <v>14100</v>
      </c>
      <c r="C72" s="41">
        <f t="shared" si="2"/>
        <v>5161</v>
      </c>
      <c r="D72" s="41">
        <f t="shared" si="2"/>
        <v>423082</v>
      </c>
      <c r="E72" s="41">
        <f t="shared" si="2"/>
        <v>3227690</v>
      </c>
      <c r="F72" s="41"/>
      <c r="G72" s="61">
        <f>B$57 + C$56* (((D72-B$59)*COS(RADIANS(B$63)) - (E72-B$60)*SIN(RADIANS(B$63))) * (B$65/(B$64*B$61)) )</f>
        <v>14100.000000173166</v>
      </c>
      <c r="H72" s="61">
        <f>B$58 + (((D72-B$59)*SIN(RADIANS(B$63)) + (E72-B$60)*COS(RADIANS(B$63))) * (B$66/(B$64*B$62)) )</f>
        <v>5161.086913174373</v>
      </c>
      <c r="I72" s="61">
        <f>B$59 + C$56* ((B72-B$57)*COS(RADIANS(B$63))*B$64*B$61/B$65) + ((C72-B$58)*SIN(RADIANS(B$63))*B$64*B$62/B$66)</f>
        <v>423082.56423671712</v>
      </c>
      <c r="J72" s="61">
        <f>B$60 - C$56* ((B72-B$57)*SIN(RADIANS(B$63))*B$64*B$61/B$65) + ((C72-B$58)*COS(RADIANS(B$63))*B$64*B$62/B$66)</f>
        <v>3227689.5265566199</v>
      </c>
      <c r="L72" s="45">
        <f t="shared" ref="L72:O75" si="3">B72-G72</f>
        <v>-1.7316597222816199E-7</v>
      </c>
      <c r="M72" s="45">
        <f t="shared" si="3"/>
        <v>-8.6913174372966751E-2</v>
      </c>
      <c r="N72" s="44">
        <f t="shared" si="3"/>
        <v>-0.56423671712400392</v>
      </c>
      <c r="O72" s="44">
        <f t="shared" si="3"/>
        <v>0.47344338009133935</v>
      </c>
    </row>
    <row r="73" spans="1:15" x14ac:dyDescent="0.25">
      <c r="A73" s="41" t="str">
        <f t="shared" ref="A73:E75" si="4">A15</f>
        <v>B</v>
      </c>
      <c r="B73" s="41">
        <f t="shared" si="4"/>
        <v>14100</v>
      </c>
      <c r="C73" s="41">
        <f t="shared" si="4"/>
        <v>9409</v>
      </c>
      <c r="D73" s="41">
        <f t="shared" si="4"/>
        <v>395504</v>
      </c>
      <c r="E73" s="41">
        <f t="shared" si="4"/>
        <v>3250830</v>
      </c>
      <c r="F73" s="46" t="s">
        <v>151</v>
      </c>
      <c r="G73" s="61">
        <f>B$57 + C$56* (((D73-B$59)*COS(RADIANS(B$63)) - (E73-B$60)*SIN(RADIANS(B$63))) * (B$65/(B$64*B$61)) )</f>
        <v>14100.000000173166</v>
      </c>
      <c r="H73" s="61">
        <f>B$58 + (((D73-B$59)*SIN(RADIANS(B$63)) + (E73-B$60)*COS(RADIANS(B$63))) * (B$66/(B$64*B$62)) )</f>
        <v>9409.086913174373</v>
      </c>
      <c r="I73" s="61">
        <f>B$59 + C$56* ((B73-B$57)*COS(RADIANS(B$63))*B$64*B$61/B$65) + ((C73-B$58)*SIN(RADIANS(B$63))*B$64*B$62/B$66)</f>
        <v>395504.56423671712</v>
      </c>
      <c r="J73" s="61">
        <f>B$60 - C$56* ((B73-B$57)*SIN(RADIANS(B$63))*B$64*B$61/B$65) + ((C73-B$58)*COS(RADIANS(B$63))*B$64*B$62/B$66)</f>
        <v>3250829.5265566199</v>
      </c>
      <c r="L73" s="45">
        <f t="shared" si="3"/>
        <v>-1.7316597222816199E-7</v>
      </c>
      <c r="M73" s="45">
        <f t="shared" si="3"/>
        <v>-8.6913174372966751E-2</v>
      </c>
      <c r="N73" s="44">
        <f t="shared" si="3"/>
        <v>-0.56423671712400392</v>
      </c>
      <c r="O73" s="44">
        <f t="shared" si="3"/>
        <v>0.47344338009133935</v>
      </c>
    </row>
    <row r="74" spans="1:15" x14ac:dyDescent="0.25">
      <c r="A74" s="41" t="str">
        <f t="shared" si="4"/>
        <v>C</v>
      </c>
      <c r="B74" s="41">
        <f t="shared" si="4"/>
        <v>17700</v>
      </c>
      <c r="C74" s="41">
        <f t="shared" si="4"/>
        <v>5161</v>
      </c>
      <c r="D74" s="41">
        <f t="shared" si="4"/>
        <v>491346</v>
      </c>
      <c r="E74" s="41">
        <f t="shared" si="4"/>
        <v>3309044</v>
      </c>
      <c r="F74" s="41"/>
      <c r="G74" s="61">
        <f>B$57 + C$56* (((D74-B$59)*COS(RADIANS(B$63)) - (E74-B$60)*SIN(RADIANS(B$63))) * (B$65/(B$64*B$61)) )</f>
        <v>17699.999999826836</v>
      </c>
      <c r="H74" s="61">
        <f>B$58 + (((D74-B$59)*SIN(RADIANS(B$63)) + (E74-B$60)*COS(RADIANS(B$63))) * (B$66/(B$64*B$62)) )</f>
        <v>5160.913086825627</v>
      </c>
      <c r="I74" s="61">
        <f>B$59 + C$56* ((B74-B$57)*COS(RADIANS(B$63))*B$64*B$61/B$65) + ((C74-B$58)*SIN(RADIANS(B$63))*B$64*B$62/B$66)</f>
        <v>491345.43576328288</v>
      </c>
      <c r="J74" s="61">
        <f>B$60 - C$56* ((B74-B$57)*SIN(RADIANS(B$63))*B$64*B$61/B$65) + ((C74-B$58)*COS(RADIANS(B$63))*B$64*B$62/B$66)</f>
        <v>3309044.4734433801</v>
      </c>
      <c r="L74" s="45">
        <f t="shared" si="3"/>
        <v>1.7316415323875844E-7</v>
      </c>
      <c r="M74" s="45">
        <f t="shared" si="3"/>
        <v>8.6913174372966751E-2</v>
      </c>
      <c r="N74" s="44">
        <f t="shared" si="3"/>
        <v>0.56423671712400392</v>
      </c>
      <c r="O74" s="44">
        <f t="shared" si="3"/>
        <v>-0.47344338009133935</v>
      </c>
    </row>
    <row r="75" spans="1:15" x14ac:dyDescent="0.25">
      <c r="A75" s="41" t="str">
        <f t="shared" si="4"/>
        <v>D</v>
      </c>
      <c r="B75" s="41">
        <f t="shared" si="4"/>
        <v>17700</v>
      </c>
      <c r="C75" s="41">
        <f t="shared" si="4"/>
        <v>9409</v>
      </c>
      <c r="D75" s="41">
        <f t="shared" si="4"/>
        <v>463768</v>
      </c>
      <c r="E75" s="41">
        <f t="shared" si="4"/>
        <v>3332184</v>
      </c>
      <c r="F75" s="41"/>
      <c r="G75" s="61">
        <f>B$57 + C$56* (((D75-B$59)*COS(RADIANS(B$63)) - (E75-B$60)*SIN(RADIANS(B$63))) * (B$65/(B$64*B$61)) )</f>
        <v>17699.999999826836</v>
      </c>
      <c r="H75" s="61">
        <f>B$58 + (((D75-B$59)*SIN(RADIANS(B$63)) + (E75-B$60)*COS(RADIANS(B$63))) * (B$66/(B$64*B$62)) )</f>
        <v>9408.913086825627</v>
      </c>
      <c r="I75" s="61">
        <f>B$59 + C$56* ((B75-B$57)*COS(RADIANS(B$63))*B$64*B$61/B$65) + ((C75-B$58)*SIN(RADIANS(B$63))*B$64*B$62/B$66)</f>
        <v>463767.43576328288</v>
      </c>
      <c r="J75" s="61">
        <f>B$60 - C$56* ((B75-B$57)*SIN(RADIANS(B$63))*B$64*B$61/B$65) + ((C75-B$58)*COS(RADIANS(B$63))*B$64*B$62/B$66)</f>
        <v>3332184.4734433801</v>
      </c>
      <c r="L75" s="45">
        <f t="shared" si="3"/>
        <v>1.7316415323875844E-7</v>
      </c>
      <c r="M75" s="45">
        <f t="shared" si="3"/>
        <v>8.6913174372966751E-2</v>
      </c>
      <c r="N75" s="44">
        <f t="shared" si="3"/>
        <v>0.56423671712400392</v>
      </c>
      <c r="O75" s="44">
        <f t="shared" si="3"/>
        <v>-0.47344338009133935</v>
      </c>
    </row>
    <row r="76" spans="1:15" x14ac:dyDescent="0.25">
      <c r="K76" s="74" t="s">
        <v>137</v>
      </c>
      <c r="L76" s="81">
        <f>MAX(MAX(L72:L75),-MIN(L72:L75))</f>
        <v>1.7316597222816199E-7</v>
      </c>
      <c r="M76" s="81">
        <f>MAX(MAX(M72:M75),-MIN(M72:M75))</f>
        <v>8.6913174372966751E-2</v>
      </c>
      <c r="N76" s="7" t="s">
        <v>150</v>
      </c>
    </row>
    <row r="78" spans="1:15" x14ac:dyDescent="0.25">
      <c r="A78" t="s">
        <v>153</v>
      </c>
      <c r="B78" t="str">
        <f>IF(AND(MAX(MAX(N72:N75),-MIN(N72:N75))&lt;1.5, MAX(MAX(O72:O75),-MIN(O72:O75))&lt;1.5), "PASS", "FAIL")</f>
        <v>PASS</v>
      </c>
      <c r="C78" s="20" t="s">
        <v>155</v>
      </c>
    </row>
    <row r="79" spans="1:15" x14ac:dyDescent="0.25">
      <c r="A79" s="11" t="s">
        <v>152</v>
      </c>
      <c r="B79" t="str">
        <f>IF(AND(L76&lt;B65, M76&lt;B66), "PASS", "FAIL")</f>
        <v>PASS</v>
      </c>
      <c r="C79" s="20" t="s">
        <v>154</v>
      </c>
    </row>
  </sheetData>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xml version="1.0" encoding="utf-8"?>
<p:properties xmlns:p="http://schemas.microsoft.com/office/2006/metadata/properties" xmlns:xsi="http://www.w3.org/2001/XMLSchema-instance" xmlns:pc="http://schemas.microsoft.com/office/infopath/2007/PartnerControls">
  <documentManagement>
    <Shell_x0020_SharePoint_x0020_SAEF_x0020_SiteCollectionName xmlns="http://schemas.microsoft.com/sharepoint/v3">Geomatics</Shell_x0020_SharePoint_x0020_SAEF_x0020_SiteCollectionName>
    <Shell_x0020_SharePoint_x0020_SAEF_x0020_IsRecord xmlns="http://schemas.microsoft.com/sharepoint/v3" xsi:nil="true"/>
    <Shell_x0020_SharePoint_x0020_SAEF_x0020_Owner xmlns="http://schemas.microsoft.com/sharepoint/v3" xsi:nil="true"/>
    <Shell_x0020_SharePoint_x0020_SAEF_x0020_DocumentTypeTaxHTField0 xmlns="http://schemas.microsoft.com/sharepoint/v3">
      <Terms xmlns="http://schemas.microsoft.com/office/infopath/2007/PartnerControls">
        <TermInfo xmlns="http://schemas.microsoft.com/office/infopath/2007/PartnerControls">
          <TermName xmlns="http://schemas.microsoft.com/office/infopath/2007/PartnerControls">_Information of Temporary Value (IoTV) [ARM]</TermName>
          <TermId xmlns="http://schemas.microsoft.com/office/infopath/2007/PartnerControls">dc22de30-e040-4f6f-a405-8651aa46b527</TermId>
        </TermInfo>
      </Terms>
    </Shell_x0020_SharePoint_x0020_SAEF_x0020_DocumentTypeTaxHTField0>
    <Shell_x0020_SharePoint_x0020_SAEF_x0020_GlobalFunctionTaxHTField0 xmlns="http://schemas.microsoft.com/sharepoint/v3">
      <Terms xmlns="http://schemas.microsoft.com/office/infopath/2007/PartnerControls">
        <TermInfo xmlns="http://schemas.microsoft.com/office/infopath/2007/PartnerControls">
          <TermName xmlns="http://schemas.microsoft.com/office/infopath/2007/PartnerControls">Not Applicable</TermName>
          <TermId xmlns="http://schemas.microsoft.com/office/infopath/2007/PartnerControls">ddce64fb-3cb8-4cd9-8e3d-0fe554247fd1</TermId>
        </TermInfo>
      </Terms>
    </Shell_x0020_SharePoint_x0020_SAEF_x0020_GlobalFunctionTaxHTField0>
    <_dlc_DocId xmlns="865b50da-97c0-4d70-bded-4ba99c2b3a44">AAFAA0086-6-5570</_dlc_DocId>
    <TaxCatchAll xmlns="865b50da-97c0-4d70-bded-4ba99c2b3a44">
      <Value>75</Value>
      <Value>5</Value>
      <Value>10</Value>
      <Value>9</Value>
      <Value>8</Value>
      <Value>7</Value>
      <Value>6</Value>
      <Value>287</Value>
      <Value>3</Value>
      <Value>2</Value>
      <Value>1</Value>
    </TaxCatchAll>
    <Shell_x0020_SharePoint_x0020_SAEF_x0020_SiteOwner xmlns="http://schemas.microsoft.com/sharepoint/v3">i:0#.w|asia-pac\rachana.ryadav</Shell_x0020_SharePoint_x0020_SAEF_x0020_SiteOwner>
    <Shell_x0020_SharePoint_x0020_SAEF_x0020_AssetIdentifier xmlns="http://schemas.microsoft.com/sharepoint/v3" xsi:nil="true"/>
    <Shell_x0020_SharePoint_x0020_SAEF_x0020_LanguageTaxHTField0 xmlns="http://schemas.microsoft.com/sharepoint/v3">
      <Terms xmlns="http://schemas.microsoft.com/office/infopath/2007/PartnerControls">
        <TermInfo xmlns="http://schemas.microsoft.com/office/infopath/2007/PartnerControls">
          <TermName xmlns="http://schemas.microsoft.com/office/infopath/2007/PartnerControls">English</TermName>
          <TermId xmlns="http://schemas.microsoft.com/office/infopath/2007/PartnerControls">bd3ad5ee-f0c3-40aa-8cc8-36ef09940af3</TermId>
        </TermInfo>
      </Terms>
    </Shell_x0020_SharePoint_x0020_SAEF_x0020_LanguageTaxHTField0>
    <Shell_x0020_SharePoint_x0020_SAEF_x0020_TRIMRecordNumber xmlns="http://schemas.microsoft.com/sharepoint/v3" xsi:nil="true"/>
    <Shell_x0020_SharePoint_x0020_SAEF_x0020_CountryOfJurisdictionTaxHTField0 xmlns="http://schemas.microsoft.com/sharepoint/v3">
      <Terms xmlns="http://schemas.microsoft.com/office/infopath/2007/PartnerControls">
        <TermInfo xmlns="http://schemas.microsoft.com/office/infopath/2007/PartnerControls">
          <TermName xmlns="http://schemas.microsoft.com/office/infopath/2007/PartnerControls">NETHERLANDS</TermName>
          <TermId xmlns="http://schemas.microsoft.com/office/infopath/2007/PartnerControls">54565ecb-470f-40ea-a584-819150a65a13</TermId>
        </TermInfo>
      </Terms>
    </Shell_x0020_SharePoint_x0020_SAEF_x0020_CountryOfJurisdictionTaxHTField0>
    <Shell_x0020_SharePoint_x0020_SAEF_x0020_SecurityClassificationTaxHTField0 xmlns="http://schemas.microsoft.com/sharepoint/v3">
      <Terms xmlns="http://schemas.microsoft.com/office/infopath/2007/PartnerControls">
        <TermInfo xmlns="http://schemas.microsoft.com/office/infopath/2007/PartnerControls">
          <TermName xmlns="http://schemas.microsoft.com/office/infopath/2007/PartnerControls">Restricted</TermName>
          <TermId xmlns="http://schemas.microsoft.com/office/infopath/2007/PartnerControls">21aa7f98-4035-4019-a764-107acb7269af</TermId>
        </TermInfo>
      </Terms>
    </Shell_x0020_SharePoint_x0020_SAEF_x0020_SecurityClassificationTaxHTField0>
    <Shell_x0020_SharePoint_x0020_SAEF_x0020_DocumentStatusTaxHTField0 xmlns="http://schemas.microsoft.com/sharepoint/v3">
      <Terms xmlns="http://schemas.microsoft.com/office/infopath/2007/PartnerControls">
        <TermInfo xmlns="http://schemas.microsoft.com/office/infopath/2007/PartnerControls">
          <TermName xmlns="http://schemas.microsoft.com/office/infopath/2007/PartnerControls">Draft</TermName>
          <TermId xmlns="http://schemas.microsoft.com/office/infopath/2007/PartnerControls">1c86f377-7d91-4c95-bd5b-c18c83fe0aa5</TermId>
        </TermInfo>
      </Terms>
    </Shell_x0020_SharePoint_x0020_SAEF_x0020_DocumentStatusTaxHTField0>
    <Shell_x0020_SharePoint_x0020_SAEF_x0020_BusinessUnitRegionTaxHTField0 xmlns="http://schemas.microsoft.com/sharepoint/v3">
      <Terms xmlns="http://schemas.microsoft.com/office/infopath/2007/PartnerControls">
        <TermInfo xmlns="http://schemas.microsoft.com/office/infopath/2007/PartnerControls">
          <TermName xmlns="http://schemas.microsoft.com/office/infopath/2007/PartnerControls">Lubricants</TermName>
          <TermId xmlns="http://schemas.microsoft.com/office/infopath/2007/PartnerControls">8885e6a9-5663-4a09-9c13-e04d88eed8d5</TermId>
        </TermInfo>
      </Terms>
    </Shell_x0020_SharePoint_x0020_SAEF_x0020_BusinessUnitRegionTaxHTField0>
    <Shell_x0020_SharePoint_x0020_SAEF_x0020_BusinessProcessTaxHTField0 xmlns="http://schemas.microsoft.com/sharepoint/v3">
      <Terms xmlns="http://schemas.microsoft.com/office/infopath/2007/PartnerControls">
        <TermInfo xmlns="http://schemas.microsoft.com/office/infopath/2007/PartnerControls">
          <TermName xmlns="http://schemas.microsoft.com/office/infopath/2007/PartnerControls">All - Records Management</TermName>
          <TermId xmlns="http://schemas.microsoft.com/office/infopath/2007/PartnerControls">1f68a0f2-47ab-4887-8df5-7c0616d5ad90</TermId>
        </TermInfo>
      </Terms>
    </Shell_x0020_SharePoint_x0020_SAEF_x0020_BusinessProcessTaxHTField0>
    <Shell_x0020_SharePoint_x0020_SAEF_x0020_BusinessTaxHTField0 xmlns="http://schemas.microsoft.com/sharepoint/v3">
      <Terms xmlns="http://schemas.microsoft.com/office/infopath/2007/PartnerControls">
        <TermInfo xmlns="http://schemas.microsoft.com/office/infopath/2007/PartnerControls">
          <TermName xmlns="http://schemas.microsoft.com/office/infopath/2007/PartnerControls">Projects ＆ Technology</TermName>
          <TermId xmlns="http://schemas.microsoft.com/office/infopath/2007/PartnerControls">71ef976b-0896-446b-8541-fe6e77f226a6</TermId>
        </TermInfo>
      </Terms>
    </Shell_x0020_SharePoint_x0020_SAEF_x0020_BusinessTaxHTField0>
    <Shell_x0020_SharePoint_x0020_SAEF_x0020_ExportControlClassificationTaxHTField0 xmlns="http://schemas.microsoft.com/sharepoint/v3">
      <Terms xmlns="http://schemas.microsoft.com/office/infopath/2007/PartnerControls">
        <TermInfo xmlns="http://schemas.microsoft.com/office/infopath/2007/PartnerControls">
          <TermName xmlns="http://schemas.microsoft.com/office/infopath/2007/PartnerControls">Non-US content - Non Controlled</TermName>
          <TermId xmlns="http://schemas.microsoft.com/office/infopath/2007/PartnerControls">2ac8835e-0587-4096-a6e2-1f68da1e6cb3</TermId>
        </TermInfo>
      </Terms>
    </Shell_x0020_SharePoint_x0020_SAEF_x0020_ExportControlClassificationTaxHTField0>
    <_dlc_DocIdUrl xmlns="865b50da-97c0-4d70-bded-4ba99c2b3a44">
      <Url>https://eu001-sp.shell.com/sites/AAFAA0086/_layouts/15/DocIdRedir.aspx?ID=AAFAA0086-6-5570</Url>
      <Description>AAFAA0086-6-5570</Description>
    </_dlc_DocIdUrl>
    <Shell_x0020_SharePoint_x0020_SAEF_x0020_LegalEntityTaxHTField0 xmlns="http://schemas.microsoft.com/sharepoint/v3">
      <Terms xmlns="http://schemas.microsoft.com/office/infopath/2007/PartnerControls">
        <TermInfo xmlns="http://schemas.microsoft.com/office/infopath/2007/PartnerControls">
          <TermName xmlns="http://schemas.microsoft.com/office/infopath/2007/PartnerControls">Shell Global Solutions International B.V.</TermName>
          <TermId xmlns="http://schemas.microsoft.com/office/infopath/2007/PartnerControls">c97403e1-4af2-48b1-b9b1-50ae27f1fcb2</TermId>
        </TermInfo>
      </Terms>
    </Shell_x0020_SharePoint_x0020_SAEF_x0020_LegalEntityTaxHTField0>
  </documentManagement>
</p:properties>
</file>

<file path=customXml/item2.xml><?xml version="1.0" encoding="utf-8"?>
<ct:contentTypeSchema xmlns:ct="http://schemas.microsoft.com/office/2006/metadata/contentType" xmlns:ma="http://schemas.microsoft.com/office/2006/metadata/properties/metaAttributes" ct:_="" ma:_="" ma:contentTypeName="Shell Document" ma:contentTypeID="0x0101006F0A470EEB1140E7AA14F4CE8A50B54C0001CB1477F4DD432AA86DD56CC3887AF400A528D06738B0424289118F0DCB76C528" ma:contentTypeVersion="79" ma:contentTypeDescription="Shell Document Content Type" ma:contentTypeScope="" ma:versionID="77cd607fde7fba2634e56d4d3d5c6337">
  <xsd:schema xmlns:xsd="http://www.w3.org/2001/XMLSchema" xmlns:xs="http://www.w3.org/2001/XMLSchema" xmlns:p="http://schemas.microsoft.com/office/2006/metadata/properties" xmlns:ns1="http://schemas.microsoft.com/sharepoint/v3" xmlns:ns2="865b50da-97c0-4d70-bded-4ba99c2b3a44" xmlns:ns4="68dfb5d1-2ffa-43da-a798-4f4ee150ffcc" targetNamespace="http://schemas.microsoft.com/office/2006/metadata/properties" ma:root="true" ma:fieldsID="afa3e22e95428747eb91315a341f5242" ns1:_="" ns2:_="" ns4:_="">
    <xsd:import namespace="http://schemas.microsoft.com/sharepoint/v3"/>
    <xsd:import namespace="865b50da-97c0-4d70-bded-4ba99c2b3a44"/>
    <xsd:import namespace="68dfb5d1-2ffa-43da-a798-4f4ee150ffcc"/>
    <xsd:element name="properties">
      <xsd:complexType>
        <xsd:sequence>
          <xsd:element name="documentManagement">
            <xsd:complexType>
              <xsd:all>
                <xsd:element ref="ns2:_dlc_DocIdUrl" minOccurs="0"/>
                <xsd:element ref="ns1:Shell_x0020_SharePoint_x0020_SAEF_x0020_SecurityClassificationTaxHTField0" minOccurs="0"/>
                <xsd:element ref="ns1:Shell_x0020_SharePoint_x0020_SAEF_x0020_ExportControlClassificationTaxHTField0" minOccurs="0"/>
                <xsd:element ref="ns1:Shell_x0020_SharePoint_x0020_SAEF_x0020_DocumentStatusTaxHTField0" minOccurs="0"/>
                <xsd:element ref="ns1:Shell_x0020_SharePoint_x0020_SAEF_x0020_DocumentTypeTaxHTField0" minOccurs="0"/>
                <xsd:element ref="ns1:Shell_x0020_SharePoint_x0020_SAEF_x0020_Owner" minOccurs="0"/>
                <xsd:element ref="ns1:Shell_x0020_SharePoint_x0020_SAEF_x0020_BusinessTaxHTField0" minOccurs="0"/>
                <xsd:element ref="ns1:Shell_x0020_SharePoint_x0020_SAEF_x0020_BusinessUnitRegionTaxHTField0" minOccurs="0"/>
                <xsd:element ref="ns1:Shell_x0020_SharePoint_x0020_SAEF_x0020_GlobalFunctionTaxHTField0" minOccurs="0"/>
                <xsd:element ref="ns1:Shell_x0020_SharePoint_x0020_SAEF_x0020_BusinessProcessTaxHTField0" minOccurs="0"/>
                <xsd:element ref="ns1:Shell_x0020_SharePoint_x0020_SAEF_x0020_LegalEntityTaxHTField0" minOccurs="0"/>
                <xsd:element ref="ns1:Shell_x0020_SharePoint_x0020_SAEF_x0020_SiteCollectionName" minOccurs="0"/>
                <xsd:element ref="ns1:Shell_x0020_SharePoint_x0020_SAEF_x0020_SiteOwner" minOccurs="0"/>
                <xsd:element ref="ns1:Shell_x0020_SharePoint_x0020_SAEF_x0020_LanguageTaxHTField0" minOccurs="0"/>
                <xsd:element ref="ns1:Shell_x0020_SharePoint_x0020_SAEF_x0020_CountryOfJurisdictionTaxHTField0" minOccurs="0"/>
                <xsd:element ref="ns1:Shell_x0020_SharePoint_x0020_SAEF_x0020_AssetIdentifier" minOccurs="0"/>
                <xsd:element ref="ns2:_dlc_DocId" minOccurs="0"/>
                <xsd:element ref="ns2:_dlc_DocIdPersistId" minOccurs="0"/>
                <xsd:element ref="ns1:Shell_x0020_SharePoint_x0020_SAEF_x0020_IsRecord" minOccurs="0"/>
                <xsd:element ref="ns1:Shell_x0020_SharePoint_x0020_SAEF_x0020_TRIMRecordNumber" minOccurs="0"/>
                <xsd:element ref="ns1:_dlc_Exempt" minOccurs="0"/>
                <xsd:element ref="ns1:_dlc_ExpireDateSaved" minOccurs="0"/>
                <xsd:element ref="ns1:_dlc_ExpireDate" minOccurs="0"/>
                <xsd:element ref="ns2:TaxCatchAll" minOccurs="0"/>
                <xsd:element ref="ns2:TaxCatchAllLabel" minOccurs="0"/>
                <xsd:element ref="ns1:AverageRating" minOccurs="0"/>
                <xsd:element ref="ns1:RatingCount" minOccurs="0"/>
                <xsd:element ref="ns4:MediaServiceMetadata" minOccurs="0"/>
                <xsd:element ref="ns4:MediaServiceFastMetadata" minOccurs="0"/>
                <xsd:element ref="ns4:MediaServiceAutoTags" minOccurs="0"/>
                <xsd:element ref="ns4:MediaServiceOCR" minOccurs="0"/>
                <xsd:element ref="ns4:MediaServiceDateTaken" minOccurs="0"/>
                <xsd:element ref="ns4:MediaServiceEventHashCode" minOccurs="0"/>
                <xsd:element ref="ns4:MediaServiceGenerationTime" minOccurs="0"/>
                <xsd:element ref="ns2:SharedWithUsers" minOccurs="0"/>
                <xsd:element ref="ns2:SharedWithDetail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Shell_x0020_SharePoint_x0020_SAEF_x0020_SecurityClassificationTaxHTField0" ma:index="3" nillable="true" ma:taxonomy="true" ma:internalName="Shell_x0020_SharePoint_x0020_SAEF_x0020_SecurityClassificationTaxHTField0" ma:taxonomyFieldName="Shell_x0020_SharePoint_x0020_SAEF_x0020_SecurityClassification" ma:displayName="Security Classification" ma:readOnly="false" ma:default="7;#Restricted|21aa7f98-4035-4019-a764-107acb7269af" ma:fieldId="{2ce2f798-4e95-48f9-a317-73f854109466}" ma:sspId="e3aebf70-341c-4d91-bdd3-aba9df361687" ma:termSetId="daf890f0-167e-4ee2-a9fd-a81536ed8167" ma:anchorId="00000000-0000-0000-0000-000000000000" ma:open="false" ma:isKeyword="false">
      <xsd:complexType>
        <xsd:sequence>
          <xsd:element ref="pc:Terms" minOccurs="0" maxOccurs="1"/>
        </xsd:sequence>
      </xsd:complexType>
    </xsd:element>
    <xsd:element name="Shell_x0020_SharePoint_x0020_SAEF_x0020_ExportControlClassificationTaxHTField0" ma:index="5" nillable="true" ma:taxonomy="true" ma:internalName="Shell_x0020_SharePoint_x0020_SAEF_x0020_ExportControlClassificationTaxHTField0" ma:taxonomyFieldName="Shell_x0020_SharePoint_x0020_SAEF_x0020_ExportControlClassification" ma:displayName="Export Control" ma:readOnly="false" ma:default="8;#Non-US content - Non Controlled|2ac8835e-0587-4096-a6e2-1f68da1e6cb3" ma:fieldId="{334f96ae-8e6f-4bca-bd92-9698e8369ad6}" ma:sspId="e3aebf70-341c-4d91-bdd3-aba9df361687" ma:termSetId="0a37200c-155d-4bd2-8a71-6ee4023d1aad" ma:anchorId="00000000-0000-0000-0000-000000000000" ma:open="false" ma:isKeyword="false">
      <xsd:complexType>
        <xsd:sequence>
          <xsd:element ref="pc:Terms" minOccurs="0" maxOccurs="1"/>
        </xsd:sequence>
      </xsd:complexType>
    </xsd:element>
    <xsd:element name="Shell_x0020_SharePoint_x0020_SAEF_x0020_DocumentStatusTaxHTField0" ma:index="7" nillable="true" ma:taxonomy="true" ma:internalName="Shell_x0020_SharePoint_x0020_SAEF_x0020_DocumentStatusTaxHTField0" ma:taxonomyFieldName="Shell_x0020_SharePoint_x0020_SAEF_x0020_DocumentStatus" ma:displayName="Document Status" ma:readOnly="false" ma:default="10;#Draft|1c86f377-7d91-4c95-bd5b-c18c83fe0aa5" ma:fieldId="{627a77c6-2170-43dd-a0ef-eb6a3870ea75}" ma:sspId="e3aebf70-341c-4d91-bdd3-aba9df361687" ma:termSetId="935aba77-d2cb-414d-bb70-87b73a0515d8" ma:anchorId="00000000-0000-0000-0000-000000000000" ma:open="false" ma:isKeyword="false">
      <xsd:complexType>
        <xsd:sequence>
          <xsd:element ref="pc:Terms" minOccurs="0" maxOccurs="1"/>
        </xsd:sequence>
      </xsd:complexType>
    </xsd:element>
    <xsd:element name="Shell_x0020_SharePoint_x0020_SAEF_x0020_DocumentTypeTaxHTField0" ma:index="9" nillable="true" ma:taxonomy="true" ma:internalName="Shell_x0020_SharePoint_x0020_SAEF_x0020_DocumentTypeTaxHTField0" ma:taxonomyFieldName="Shell_x0020_SharePoint_x0020_SAEF_x0020_DocumentType" ma:displayName="Document Type" ma:readOnly="false" ma:default="75;#_Information of Temporary Value (IoTV) [ARM]|dc22de30-e040-4f6f-a405-8651aa46b527" ma:fieldId="{566fdc14-b4fa-46ee-a88e-e2aac7ad2eac}" ma:sspId="e3aebf70-341c-4d91-bdd3-aba9df361687" ma:termSetId="c44bbaaa-530b-481e-814c-1a89fe9de40e" ma:anchorId="352dd3f6-c8ee-4c48-93af-e62c944275c3" ma:open="false" ma:isKeyword="false">
      <xsd:complexType>
        <xsd:sequence>
          <xsd:element ref="pc:Terms" minOccurs="0" maxOccurs="1"/>
        </xsd:sequence>
      </xsd:complexType>
    </xsd:element>
    <xsd:element name="Shell_x0020_SharePoint_x0020_SAEF_x0020_Owner" ma:index="12" nillable="true" ma:displayName="Owner" ma:internalName="Shell_x0020_SharePoint_x0020_SAEF_x0020_Owner">
      <xsd:simpleType>
        <xsd:restriction base="dms:Text"/>
      </xsd:simpleType>
    </xsd:element>
    <xsd:element name="Shell_x0020_SharePoint_x0020_SAEF_x0020_BusinessTaxHTField0" ma:index="13" nillable="true" ma:taxonomy="true" ma:internalName="Shell_x0020_SharePoint_x0020_SAEF_x0020_BusinessTaxHTField0" ma:taxonomyFieldName="Shell_x0020_SharePoint_x0020_SAEF_x0020_Business" ma:displayName="Business" ma:readOnly="false" ma:default="1;#Projects ＆ Technology|71ef976b-0896-446b-8541-fe6e77f226a6" ma:fieldId="{0d7acb72-5c17-4ee6-b184-d60d15597f6a}" ma:sspId="e3aebf70-341c-4d91-bdd3-aba9df361687" ma:termSetId="f928660f-a52c-4d0d-a7a1-af45e8e16dc6" ma:anchorId="00000000-0000-0000-0000-000000000000" ma:open="false" ma:isKeyword="false">
      <xsd:complexType>
        <xsd:sequence>
          <xsd:element ref="pc:Terms" minOccurs="0" maxOccurs="1"/>
        </xsd:sequence>
      </xsd:complexType>
    </xsd:element>
    <xsd:element name="Shell_x0020_SharePoint_x0020_SAEF_x0020_BusinessUnitRegionTaxHTField0" ma:index="15" nillable="true" ma:taxonomy="true" ma:internalName="Shell_x0020_SharePoint_x0020_SAEF_x0020_BusinessUnitRegionTaxHTField0" ma:taxonomyFieldName="Shell_x0020_SharePoint_x0020_SAEF_x0020_BusinessUnitRegion" ma:displayName="Business Unit/Region" ma:readOnly="false" ma:default="287;#Lubricants|8885e6a9-5663-4a09-9c13-e04d88eed8d5" ma:fieldId="{98984985-015b-4079-8918-b5a01b45e4b3}" ma:sspId="e3aebf70-341c-4d91-bdd3-aba9df361687" ma:termSetId="f928660f-a52c-4d0d-a7a1-af45e8e16dc6" ma:anchorId="00000000-0000-0000-0000-000000000000" ma:open="false" ma:isKeyword="false">
      <xsd:complexType>
        <xsd:sequence>
          <xsd:element ref="pc:Terms" minOccurs="0" maxOccurs="1"/>
        </xsd:sequence>
      </xsd:complexType>
    </xsd:element>
    <xsd:element name="Shell_x0020_SharePoint_x0020_SAEF_x0020_GlobalFunctionTaxHTField0" ma:index="17" nillable="true" ma:taxonomy="true" ma:internalName="Shell_x0020_SharePoint_x0020_SAEF_x0020_GlobalFunctionTaxHTField0" ma:taxonomyFieldName="Shell_x0020_SharePoint_x0020_SAEF_x0020_GlobalFunction" ma:displayName="Business Function" ma:readOnly="false" ma:default="2;#Not Applicable|ddce64fb-3cb8-4cd9-8e3d-0fe554247fd1" ma:fieldId="{1284211f-8330-48b1-a5cc-ec1f0d9b0f7a}" ma:sspId="e3aebf70-341c-4d91-bdd3-aba9df361687" ma:termSetId="354c4cc3-2d4b-4608-9bbd-a538d7fca2d9" ma:anchorId="00000000-0000-0000-0000-000000000000" ma:open="false" ma:isKeyword="false">
      <xsd:complexType>
        <xsd:sequence>
          <xsd:element ref="pc:Terms" minOccurs="0" maxOccurs="1"/>
        </xsd:sequence>
      </xsd:complexType>
    </xsd:element>
    <xsd:element name="Shell_x0020_SharePoint_x0020_SAEF_x0020_BusinessProcessTaxHTField0" ma:index="19" nillable="true" ma:taxonomy="true" ma:internalName="Shell_x0020_SharePoint_x0020_SAEF_x0020_BusinessProcessTaxHTField0" ma:taxonomyFieldName="Shell_x0020_SharePoint_x0020_SAEF_x0020_BusinessProcess" ma:displayName="Business Process" ma:default="9;#All - Records Management|1f68a0f2-47ab-4887-8df5-7c0616d5ad90" ma:fieldId="{f7493bb9-5348-44de-a787-5c9f505950a2}" ma:sspId="e3aebf70-341c-4d91-bdd3-aba9df361687" ma:termSetId="f105a133-66fc-4406-afa4-8b472c9cdbbb" ma:anchorId="00000000-0000-0000-0000-000000000000" ma:open="false" ma:isKeyword="false">
      <xsd:complexType>
        <xsd:sequence>
          <xsd:element ref="pc:Terms" minOccurs="0" maxOccurs="1"/>
        </xsd:sequence>
      </xsd:complexType>
    </xsd:element>
    <xsd:element name="Shell_x0020_SharePoint_x0020_SAEF_x0020_LegalEntityTaxHTField0" ma:index="21" nillable="true" ma:taxonomy="true" ma:internalName="Shell_x0020_SharePoint_x0020_SAEF_x0020_LegalEntityTaxHTField0" ma:taxonomyFieldName="Shell_x0020_SharePoint_x0020_SAEF_x0020_LegalEntity" ma:displayName="Legal Entity" ma:readOnly="false" ma:default="3;#Shell Global Solutions International B.V.|c97403e1-4af2-48b1-b9b1-50ae27f1fcb2" ma:fieldId="{529dd253-148e-4d10-9b8c-1444f6695d3b}" ma:sspId="e3aebf70-341c-4d91-bdd3-aba9df361687" ma:termSetId="94b6dd6e-4329-4f68-907b-ed5bdd50f8ac" ma:anchorId="00000000-0000-0000-0000-000000000000" ma:open="false" ma:isKeyword="false">
      <xsd:complexType>
        <xsd:sequence>
          <xsd:element ref="pc:Terms" minOccurs="0" maxOccurs="1"/>
        </xsd:sequence>
      </xsd:complexType>
    </xsd:element>
    <xsd:element name="Shell_x0020_SharePoint_x0020_SAEF_x0020_SiteCollectionName" ma:index="23" nillable="true" ma:displayName="Site Collection Name" ma:default="Geomatics" ma:hidden="true" ma:internalName="Shell_x0020_SharePoint_x0020_SAEF_x0020_SiteCollectionName" ma:readOnly="false">
      <xsd:simpleType>
        <xsd:restriction base="dms:Text"/>
      </xsd:simpleType>
    </xsd:element>
    <xsd:element name="Shell_x0020_SharePoint_x0020_SAEF_x0020_SiteOwner" ma:index="24" nillable="true" ma:displayName="Site Owner" ma:default="i:0#.w|asia-pac\rachana.ryadav" ma:hidden="true" ma:internalName="Shell_x0020_SharePoint_x0020_SAEF_x0020_SiteOwner" ma:readOnly="false">
      <xsd:simpleType>
        <xsd:restriction base="dms:Text"/>
      </xsd:simpleType>
    </xsd:element>
    <xsd:element name="Shell_x0020_SharePoint_x0020_SAEF_x0020_LanguageTaxHTField0" ma:index="25" nillable="true" ma:taxonomy="true" ma:internalName="Shell_x0020_SharePoint_x0020_SAEF_x0020_LanguageTaxHTField0" ma:taxonomyFieldName="Shell_x0020_SharePoint_x0020_SAEF_x0020_Language" ma:displayName="Language" ma:readOnly="false" ma:default="5;#English|bd3ad5ee-f0c3-40aa-8cc8-36ef09940af3" ma:fieldId="{a99e316a-5158-4b34-9a98-5674ef8a1639}" ma:sspId="e3aebf70-341c-4d91-bdd3-aba9df361687" ma:termSetId="b2561cd2-09b2-4dce-b5be-021768df6dab" ma:anchorId="00000000-0000-0000-0000-000000000000" ma:open="false" ma:isKeyword="false">
      <xsd:complexType>
        <xsd:sequence>
          <xsd:element ref="pc:Terms" minOccurs="0" maxOccurs="1"/>
        </xsd:sequence>
      </xsd:complexType>
    </xsd:element>
    <xsd:element name="Shell_x0020_SharePoint_x0020_SAEF_x0020_CountryOfJurisdictionTaxHTField0" ma:index="27" nillable="true" ma:taxonomy="true" ma:internalName="Shell_x0020_SharePoint_x0020_SAEF_x0020_CountryOfJurisdictionTaxHTField0" ma:taxonomyFieldName="Shell_x0020_SharePoint_x0020_SAEF_x0020_CountryOfJurisdiction" ma:displayName="Country of Jurisdiction" ma:readOnly="false" ma:default="6;#NETHERLANDS|54565ecb-470f-40ea-a584-819150a65a13" ma:fieldId="{dc07035f-7987-48f5-ba88-2d29e2b62c9e}" ma:sspId="e3aebf70-341c-4d91-bdd3-aba9df361687" ma:termSetId="a560ecad-89fd-4dcd-adad-4e15e7baec58" ma:anchorId="00000000-0000-0000-0000-000000000000" ma:open="false" ma:isKeyword="false">
      <xsd:complexType>
        <xsd:sequence>
          <xsd:element ref="pc:Terms" minOccurs="0" maxOccurs="1"/>
        </xsd:sequence>
      </xsd:complexType>
    </xsd:element>
    <xsd:element name="Shell_x0020_SharePoint_x0020_SAEF_x0020_AssetIdentifier" ma:index="29" nillable="true" ma:displayName="Asset Identifier" ma:hidden="true" ma:internalName="Shell_x0020_SharePoint_x0020_SAEF_x0020_AssetIdentifier">
      <xsd:simpleType>
        <xsd:restriction base="dms:Text"/>
      </xsd:simpleType>
    </xsd:element>
    <xsd:element name="Shell_x0020_SharePoint_x0020_SAEF_x0020_IsRecord" ma:index="38" nillable="true" ma:displayName="Is Archived" ma:hidden="true" ma:indexed="true" ma:internalName="Shell_x0020_SharePoint_x0020_SAEF_x0020_IsRecord">
      <xsd:simpleType>
        <xsd:restriction base="dms:Text"/>
      </xsd:simpleType>
    </xsd:element>
    <xsd:element name="Shell_x0020_SharePoint_x0020_SAEF_x0020_TRIMRecordNumber" ma:index="39" nillable="true" ma:displayName="TRIM Record Number" ma:hidden="true" ma:internalName="Shell_x0020_SharePoint_x0020_SAEF_x0020_TRIMRecordNumber">
      <xsd:simpleType>
        <xsd:restriction base="dms:Text"/>
      </xsd:simpleType>
    </xsd:element>
    <xsd:element name="_dlc_Exempt" ma:index="40" nillable="true" ma:displayName="Exempt from Policy" ma:hidden="true" ma:internalName="_dlc_Exempt" ma:readOnly="true">
      <xsd:simpleType>
        <xsd:restriction base="dms:Unknown"/>
      </xsd:simpleType>
    </xsd:element>
    <xsd:element name="_dlc_ExpireDateSaved" ma:index="41" nillable="true" ma:displayName="Original Expiration Date" ma:hidden="true" ma:internalName="_dlc_ExpireDateSaved" ma:readOnly="true">
      <xsd:simpleType>
        <xsd:restriction base="dms:DateTime"/>
      </xsd:simpleType>
    </xsd:element>
    <xsd:element name="_dlc_ExpireDate" ma:index="42" nillable="true" ma:displayName="Expiration Date" ma:description="" ma:hidden="true" ma:indexed="true" ma:internalName="_dlc_ExpireDate" ma:readOnly="true">
      <xsd:simpleType>
        <xsd:restriction base="dms:DateTime"/>
      </xsd:simpleType>
    </xsd:element>
    <xsd:element name="AverageRating" ma:index="45" nillable="true" ma:displayName="Rating (0-5)" ma:decimals="2" ma:description="Average value of all the ratings that have been submitted" ma:hidden="true" ma:internalName="AverageRating" ma:readOnly="true">
      <xsd:simpleType>
        <xsd:restriction base="dms:Number"/>
      </xsd:simpleType>
    </xsd:element>
    <xsd:element name="RatingCount" ma:index="46" nillable="true" ma:displayName="Number of Ratings" ma:decimals="0" ma:description="Number of ratings submitted" ma:hidden="true" ma:internalName="RatingCount" ma:readOnly="true">
      <xsd:simpleType>
        <xsd:restriction base="dms:Number"/>
      </xsd:simpleType>
    </xsd:element>
  </xsd:schema>
  <xsd:schema xmlns:xsd="http://www.w3.org/2001/XMLSchema" xmlns:xs="http://www.w3.org/2001/XMLSchema" xmlns:dms="http://schemas.microsoft.com/office/2006/documentManagement/types" xmlns:pc="http://schemas.microsoft.com/office/infopath/2007/PartnerControls" targetNamespace="865b50da-97c0-4d70-bded-4ba99c2b3a44" elementFormDefault="qualified">
    <xsd:import namespace="http://schemas.microsoft.com/office/2006/documentManagement/types"/>
    <xsd:import namespace="http://schemas.microsoft.com/office/infopath/2007/PartnerControls"/>
    <xsd:element name="_dlc_DocIdUrl" ma:index="2"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 ma:index="35" nillable="true" ma:displayName="Document ID Value" ma:description="The value of the document ID assigned to this item." ma:internalName="_dlc_DocId" ma:readOnly="true">
      <xsd:simpleType>
        <xsd:restriction base="dms:Text"/>
      </xsd:simpleType>
    </xsd:element>
    <xsd:element name="_dlc_DocIdPersistId" ma:index="37" nillable="true" ma:displayName="Persist ID" ma:description="Keep ID on add." ma:hidden="true" ma:internalName="_dlc_DocIdPersistId" ma:readOnly="true">
      <xsd:simpleType>
        <xsd:restriction base="dms:Boolean"/>
      </xsd:simpleType>
    </xsd:element>
    <xsd:element name="TaxCatchAll" ma:index="43" nillable="true" ma:displayName="Taxonomy Catch All Column" ma:description="" ma:hidden="true" ma:list="{69d1daf9-b9f2-4664-9634-51e9812b6265}" ma:internalName="TaxCatchAll" ma:showField="CatchAllData" ma:web="865b50da-97c0-4d70-bded-4ba99c2b3a44">
      <xsd:complexType>
        <xsd:complexContent>
          <xsd:extension base="dms:MultiChoiceLookup">
            <xsd:sequence>
              <xsd:element name="Value" type="dms:Lookup" maxOccurs="unbounded" minOccurs="0" nillable="true"/>
            </xsd:sequence>
          </xsd:extension>
        </xsd:complexContent>
      </xsd:complexType>
    </xsd:element>
    <xsd:element name="TaxCatchAllLabel" ma:index="44" nillable="true" ma:displayName="Taxonomy Catch All Column1" ma:description="" ma:hidden="true" ma:list="{69d1daf9-b9f2-4664-9634-51e9812b6265}" ma:internalName="TaxCatchAllLabel" ma:readOnly="true" ma:showField="CatchAllDataLabel" ma:web="865b50da-97c0-4d70-bded-4ba99c2b3a44">
      <xsd:complexType>
        <xsd:complexContent>
          <xsd:extension base="dms:MultiChoiceLookup">
            <xsd:sequence>
              <xsd:element name="Value" type="dms:Lookup" maxOccurs="unbounded" minOccurs="0" nillable="true"/>
            </xsd:sequence>
          </xsd:extension>
        </xsd:complexContent>
      </xsd:complexType>
    </xsd:element>
    <xsd:element name="SharedWithUsers" ma:index="54"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55" nillable="true" ma:displayName="Shared With Details" ma:internalName="SharedWithDetails"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68dfb5d1-2ffa-43da-a798-4f4ee150ffcc" elementFormDefault="qualified">
    <xsd:import namespace="http://schemas.microsoft.com/office/2006/documentManagement/types"/>
    <xsd:import namespace="http://schemas.microsoft.com/office/infopath/2007/PartnerControls"/>
    <xsd:element name="MediaServiceMetadata" ma:index="47" nillable="true" ma:displayName="MediaServiceMetadata" ma:description="" ma:hidden="true" ma:internalName="MediaServiceMetadata" ma:readOnly="true">
      <xsd:simpleType>
        <xsd:restriction base="dms:Note"/>
      </xsd:simpleType>
    </xsd:element>
    <xsd:element name="MediaServiceFastMetadata" ma:index="48" nillable="true" ma:displayName="MediaServiceFastMetadata" ma:description="" ma:hidden="true" ma:internalName="MediaServiceFastMetadata" ma:readOnly="true">
      <xsd:simpleType>
        <xsd:restriction base="dms:Note"/>
      </xsd:simpleType>
    </xsd:element>
    <xsd:element name="MediaServiceAutoTags" ma:index="49" nillable="true" ma:displayName="MediaServiceAutoTags" ma:internalName="MediaServiceAutoTags" ma:readOnly="true">
      <xsd:simpleType>
        <xsd:restriction base="dms:Text"/>
      </xsd:simpleType>
    </xsd:element>
    <xsd:element name="MediaServiceOCR" ma:index="50" nillable="true" ma:displayName="MediaServiceOCR" ma:internalName="MediaServiceOCR" ma:readOnly="true">
      <xsd:simpleType>
        <xsd:restriction base="dms:Note">
          <xsd:maxLength value="255"/>
        </xsd:restriction>
      </xsd:simpleType>
    </xsd:element>
    <xsd:element name="MediaServiceDateTaken" ma:index="51" nillable="true" ma:displayName="MediaServiceDateTaken" ma:hidden="true" ma:internalName="MediaServiceDateTaken" ma:readOnly="true">
      <xsd:simpleType>
        <xsd:restriction base="dms:Text"/>
      </xsd:simpleType>
    </xsd:element>
    <xsd:element name="MediaServiceEventHashCode" ma:index="52" nillable="true" ma:displayName="MediaServiceEventHashCode" ma:hidden="true" ma:internalName="MediaServiceEventHashCode" ma:readOnly="true">
      <xsd:simpleType>
        <xsd:restriction base="dms:Text"/>
      </xsd:simpleType>
    </xsd:element>
    <xsd:element name="MediaServiceGenerationTime" ma:index="53" nillable="true" ma:displayName="MediaServiceGenerationTime" ma:hidden="true" ma:internalName="MediaServiceGenerationTim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ma:index="11" ma:displayName="Author"/>
        <xsd:element ref="dcterms:created" minOccurs="0" maxOccurs="1"/>
        <xsd:element ref="dc:identifier" minOccurs="0" maxOccurs="1"/>
        <xsd:element name="contentType" minOccurs="0" maxOccurs="1" type="xsd:string" ma:index="36"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mso-contentType ?>
<p:Policy xmlns:p="office.server.policy" id="" local="true">
  <p:Name>Shell Document Base</p:Name>
  <p:Description/>
  <p:Statement/>
  <p:PolicyItems/>
</p:Policy>
</file>

<file path=customXml/item5.xml><?xml version="1.0" encoding="utf-8"?>
<?mso-contentType ?>
<spe:Receivers xmlns:spe="http://schemas.microsoft.com/sharepoint/events">
  <Receiver>
    <Name>Microsoft.Office.RecordsManagement.PolicyFeatures.ExpirationEventReceiver</Name>
    <Synchronization>Synchronous</Synchronization>
    <Type>10001</Type>
    <SequenceNumber>101</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10002</Type>
    <SequenceNumber>102</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10004</Type>
    <SequenceNumber>103</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10006</Type>
    <SequenceNumber>104</SequenceNumber>
    <Url/>
    <Assembly>Microsoft.Office.Policy, Version=15.0.0.0, Culture=neutral, PublicKeyToken=71e9bce111e9429c</Assembly>
    <Class>Microsoft.Office.RecordsManagement.Internal.UpdateExpireDate</Class>
    <Data/>
    <Filter/>
  </Receiver>
  <Receiver>
    <Name>Microsoft.Office.RecordsManagement.PolicyFeatures.ExpirationEventReceiver</Name>
    <Synchronization>Synchronous</Synchronization>
    <Type>10009</Type>
    <SequenceNumber>105</SequenceNumber>
    <Url/>
    <Assembly>Microsoft.Office.Policy, Version=15.0.0.0, Culture=neutral, PublicKeyToken=71e9bce111e9429c</Assembly>
    <Class>Microsoft.Office.RecordsManagement.Internal.UpdateExpireDate</Class>
    <Data/>
    <Filter/>
  </Receiver>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Props1.xml><?xml version="1.0" encoding="utf-8"?>
<ds:datastoreItem xmlns:ds="http://schemas.openxmlformats.org/officeDocument/2006/customXml" ds:itemID="{CF62D877-4EF2-43BD-AB78-2895B70CCE72}">
  <ds:schemaRefs>
    <ds:schemaRef ds:uri="http://purl.org/dc/dcmitype/"/>
    <ds:schemaRef ds:uri="68dfb5d1-2ffa-43da-a798-4f4ee150ffcc"/>
    <ds:schemaRef ds:uri="http://schemas.microsoft.com/office/2006/documentManagement/types"/>
    <ds:schemaRef ds:uri="http://purl.org/dc/elements/1.1/"/>
    <ds:schemaRef ds:uri="http://schemas.microsoft.com/office/2006/metadata/properties"/>
    <ds:schemaRef ds:uri="http://schemas.microsoft.com/sharepoint/v3"/>
    <ds:schemaRef ds:uri="http://schemas.openxmlformats.org/package/2006/metadata/core-properties"/>
    <ds:schemaRef ds:uri="http://purl.org/dc/terms/"/>
    <ds:schemaRef ds:uri="http://schemas.microsoft.com/office/infopath/2007/PartnerControls"/>
    <ds:schemaRef ds:uri="865b50da-97c0-4d70-bded-4ba99c2b3a44"/>
    <ds:schemaRef ds:uri="http://www.w3.org/XML/1998/namespace"/>
  </ds:schemaRefs>
</ds:datastoreItem>
</file>

<file path=customXml/itemProps2.xml><?xml version="1.0" encoding="utf-8"?>
<ds:datastoreItem xmlns:ds="http://schemas.openxmlformats.org/officeDocument/2006/customXml" ds:itemID="{AA07E1FB-83C8-4C94-A1FE-5EEE238C3CAF}">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865b50da-97c0-4d70-bded-4ba99c2b3a44"/>
    <ds:schemaRef ds:uri="68dfb5d1-2ffa-43da-a798-4f4ee150ffcc"/>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E0DEE584-8EF0-4229-B06F-8EC8702B2278}">
  <ds:schemaRefs>
    <ds:schemaRef ds:uri="http://schemas.microsoft.com/sharepoint/v3/contenttype/forms"/>
  </ds:schemaRefs>
</ds:datastoreItem>
</file>

<file path=customXml/itemProps4.xml><?xml version="1.0" encoding="utf-8"?>
<ds:datastoreItem xmlns:ds="http://schemas.openxmlformats.org/officeDocument/2006/customXml" ds:itemID="{43653032-5C39-4D10-97EE-43B8C29E45C6}">
  <ds:schemaRefs>
    <ds:schemaRef ds:uri="office.server.policy"/>
  </ds:schemaRefs>
</ds:datastoreItem>
</file>

<file path=customXml/itemProps5.xml><?xml version="1.0" encoding="utf-8"?>
<ds:datastoreItem xmlns:ds="http://schemas.openxmlformats.org/officeDocument/2006/customXml" ds:itemID="{5A3D667B-BAE5-4FB1-A2C3-D6C61E267600}">
  <ds:schemaRefs>
    <ds:schemaRef ds:uri="http://schemas.microsoft.com/sharepoint/event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13</vt:i4>
      </vt:variant>
    </vt:vector>
  </HeadingPairs>
  <TitlesOfParts>
    <vt:vector size="13" baseType="lpstr">
      <vt:lpstr>BinGridMath</vt:lpstr>
      <vt:lpstr>atan2</vt:lpstr>
      <vt:lpstr>increments</vt:lpstr>
      <vt:lpstr>Test1a</vt:lpstr>
      <vt:lpstr>Test1b</vt:lpstr>
      <vt:lpstr>Test1c</vt:lpstr>
      <vt:lpstr>Test1d</vt:lpstr>
      <vt:lpstr>Test1e</vt:lpstr>
      <vt:lpstr>Test2a</vt:lpstr>
      <vt:lpstr>Test2b</vt:lpstr>
      <vt:lpstr>Test2c</vt:lpstr>
      <vt:lpstr>Test2d</vt:lpstr>
      <vt:lpstr>Test2e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Kampes, Bert M SEPCO-UAX/Y/GD</dc:creator>
  <cp:lastModifiedBy>Kampes, Bert M SIEP-PTD/E/G</cp:lastModifiedBy>
  <dcterms:created xsi:type="dcterms:W3CDTF">2014-11-14T19:10:48Z</dcterms:created>
  <dcterms:modified xsi:type="dcterms:W3CDTF">2019-10-09T16:19:12Z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Shell SharePoint SAEF SecurityClassification">
    <vt:lpwstr>7;#Restricted|21aa7f98-4035-4019-a764-107acb7269af</vt:lpwstr>
  </property>
  <property fmtid="{D5CDD505-2E9C-101B-9397-08002B2CF9AE}" pid="3" name="_dlc_policyId">
    <vt:lpwstr/>
  </property>
  <property fmtid="{D5CDD505-2E9C-101B-9397-08002B2CF9AE}" pid="4" name="ContentTypeId">
    <vt:lpwstr>0x0101006F0A470EEB1140E7AA14F4CE8A50B54C0001CB1477F4DD432AA86DD56CC3887AF400A528D06738B0424289118F0DCB76C528</vt:lpwstr>
  </property>
  <property fmtid="{D5CDD505-2E9C-101B-9397-08002B2CF9AE}" pid="5" name="Shell SharePoint SAEF LegalEntity">
    <vt:lpwstr>3;#Shell Global Solutions International B.V.|c97403e1-4af2-48b1-b9b1-50ae27f1fcb2</vt:lpwstr>
  </property>
  <property fmtid="{D5CDD505-2E9C-101B-9397-08002B2CF9AE}" pid="6" name="Shell SharePoint SAEF GlobalFunction">
    <vt:lpwstr>2;#Not Applicable|ddce64fb-3cb8-4cd9-8e3d-0fe554247fd1</vt:lpwstr>
  </property>
  <property fmtid="{D5CDD505-2E9C-101B-9397-08002B2CF9AE}" pid="7" name="Shell SharePoint SAEF BusinessUnitRegion">
    <vt:lpwstr>287;#Lubricants|8885e6a9-5663-4a09-9c13-e04d88eed8d5</vt:lpwstr>
  </property>
  <property fmtid="{D5CDD505-2E9C-101B-9397-08002B2CF9AE}" pid="8" name="ItemRetentionFormula">
    <vt:lpwstr/>
  </property>
  <property fmtid="{D5CDD505-2E9C-101B-9397-08002B2CF9AE}" pid="9" name="Shell SharePoint SAEF CountryOfJurisdiction">
    <vt:lpwstr>6;#NETHERLANDS|54565ecb-470f-40ea-a584-819150a65a13</vt:lpwstr>
  </property>
  <property fmtid="{D5CDD505-2E9C-101B-9397-08002B2CF9AE}" pid="10" name="Shell SharePoint SAEF ExportControlClassification">
    <vt:lpwstr>8;#Non-US content - Non Controlled|2ac8835e-0587-4096-a6e2-1f68da1e6cb3</vt:lpwstr>
  </property>
  <property fmtid="{D5CDD505-2E9C-101B-9397-08002B2CF9AE}" pid="11" name="_dlc_DocIdItemGuid">
    <vt:lpwstr>a2ff8105-395c-4891-a4b0-973bc04a2bb7</vt:lpwstr>
  </property>
  <property fmtid="{D5CDD505-2E9C-101B-9397-08002B2CF9AE}" pid="12" name="Shell SharePoint SAEF DocumentStatus">
    <vt:lpwstr>10;#Draft|1c86f377-7d91-4c95-bd5b-c18c83fe0aa5</vt:lpwstr>
  </property>
  <property fmtid="{D5CDD505-2E9C-101B-9397-08002B2CF9AE}" pid="13" name="Shell SharePoint SAEF Language">
    <vt:lpwstr>5;#English|bd3ad5ee-f0c3-40aa-8cc8-36ef09940af3</vt:lpwstr>
  </property>
  <property fmtid="{D5CDD505-2E9C-101B-9397-08002B2CF9AE}" pid="14" name="Shell SharePoint SAEF Business">
    <vt:lpwstr>1;#Projects ＆ Technology|71ef976b-0896-446b-8541-fe6e77f226a6</vt:lpwstr>
  </property>
  <property fmtid="{D5CDD505-2E9C-101B-9397-08002B2CF9AE}" pid="15" name="Shell SharePoint SAEF BusinessProcess">
    <vt:lpwstr>9;#All - Records Management|1f68a0f2-47ab-4887-8df5-7c0616d5ad90</vt:lpwstr>
  </property>
  <property fmtid="{D5CDD505-2E9C-101B-9397-08002B2CF9AE}" pid="16" name="Shell SharePoint SAEF DocumentType">
    <vt:lpwstr>75;#_Information of Temporary Value (IoTV) [ARM]|dc22de30-e040-4f6f-a405-8651aa46b527</vt:lpwstr>
  </property>
</Properties>
</file>